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udickman\pySNNAP\Excel_files\"/>
    </mc:Choice>
  </mc:AlternateContent>
  <xr:revisionPtr revIDLastSave="0" documentId="13_ncr:1_{1F83DCD6-C917-4F1B-BC66-7C0EB5937992}" xr6:coauthVersionLast="47" xr6:coauthVersionMax="47" xr10:uidLastSave="{00000000-0000-0000-0000-000000000000}"/>
  <bookViews>
    <workbookView xWindow="-90" yWindow="0" windowWidth="9780" windowHeight="10170" tabRatio="874" activeTab="1" xr2:uid="{00000000-000D-0000-FFFF-FFFF00000000}"/>
  </bookViews>
  <sheets>
    <sheet name="Neu" sheetId="3" r:id="rId1"/>
    <sheet name="cs_g" sheetId="1" r:id="rId2"/>
    <sheet name="cs_E" sheetId="2" r:id="rId3"/>
    <sheet name="cs_FAT" sheetId="4" r:id="rId4"/>
    <sheet name="es" sheetId="5" r:id="rId5"/>
    <sheet name="BMP64_l.smu" sheetId="15" r:id="rId6"/>
    <sheet name="BMP64_r.smu" sheetId="16" r:id="rId7"/>
    <sheet name="BMP2SIMPLE_l.smu" sheetId="13" r:id="rId8"/>
    <sheet name="BMP2SIMPLE_r.smu" sheetId="17" r:id="rId9"/>
    <sheet name="BMP_TONIC_l.smu" sheetId="20" r:id="rId10"/>
    <sheet name="BMP_TONIC_r.smu" sheetId="21" r:id="rId11"/>
    <sheet name="BMP1_l.smu" sheetId="10" r:id="rId12"/>
    <sheet name="BMP1_r.smu" sheetId="18" r:id="rId13"/>
    <sheet name="VC_l.smu" sheetId="11" r:id="rId14"/>
    <sheet name="VC_r.smu" sheetId="19" r:id="rId15"/>
    <sheet name="BMP3SIMPLE.smu" sheetId="14" r:id="rId16"/>
    <sheet name="noise" sheetId="7" r:id="rId17"/>
  </sheets>
  <externalReferences>
    <externalReference r:id="rId1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7" i="3" l="1"/>
  <c r="Z38" i="3"/>
  <c r="Z39" i="3"/>
  <c r="Z40" i="3"/>
  <c r="O37" i="3"/>
  <c r="O38" i="3"/>
  <c r="O39" i="3"/>
  <c r="O40" i="3"/>
  <c r="D38" i="3"/>
  <c r="D39" i="3"/>
  <c r="D40" i="3"/>
  <c r="D37" i="3"/>
  <c r="J9" i="5" l="1"/>
  <c r="K10" i="5"/>
  <c r="N9" i="5"/>
  <c r="I8" i="5"/>
  <c r="L2" i="5" l="1"/>
  <c r="K2" i="5"/>
  <c r="J2" i="5"/>
  <c r="I2" i="5"/>
  <c r="H2" i="5"/>
  <c r="G2" i="5"/>
  <c r="F2" i="5"/>
  <c r="E2" i="5"/>
  <c r="D2" i="5"/>
  <c r="C2" i="5"/>
  <c r="L2" i="4"/>
  <c r="K2" i="4"/>
  <c r="J2" i="4"/>
  <c r="I2" i="4"/>
  <c r="H2" i="4"/>
  <c r="G2" i="4"/>
  <c r="F2" i="4"/>
  <c r="E2" i="4"/>
  <c r="D2" i="4"/>
  <c r="C2" i="4"/>
  <c r="L2" i="2"/>
  <c r="K2" i="2"/>
  <c r="J2" i="2"/>
  <c r="I2" i="2"/>
  <c r="H2" i="2"/>
  <c r="G2" i="2"/>
  <c r="F2" i="2"/>
  <c r="E2" i="2"/>
  <c r="D2" i="2"/>
  <c r="C2" i="2"/>
  <c r="B12" i="5"/>
  <c r="B11" i="5"/>
  <c r="B10" i="5"/>
  <c r="B9" i="5"/>
  <c r="B8" i="5"/>
  <c r="B7" i="5"/>
  <c r="B6" i="5"/>
  <c r="B5" i="5"/>
  <c r="B4" i="5"/>
  <c r="B3" i="5"/>
  <c r="B21" i="4"/>
  <c r="B19" i="4"/>
  <c r="B17" i="4"/>
  <c r="B15" i="4"/>
  <c r="B13" i="4"/>
  <c r="B11" i="4"/>
  <c r="B9" i="4"/>
  <c r="B7" i="4"/>
  <c r="B5" i="4"/>
  <c r="B3" i="4"/>
  <c r="B21" i="2"/>
  <c r="B19" i="2"/>
  <c r="B17" i="2"/>
  <c r="B15" i="2"/>
  <c r="B13" i="2"/>
  <c r="B11" i="2"/>
  <c r="B9" i="2"/>
  <c r="B7" i="2"/>
  <c r="B5" i="2"/>
  <c r="B3" i="2"/>
  <c r="K2" i="1"/>
  <c r="J2" i="1"/>
  <c r="I2" i="1"/>
  <c r="B19" i="1"/>
  <c r="B17" i="1"/>
  <c r="B15" i="1"/>
  <c r="A13" i="3"/>
  <c r="A12" i="3"/>
  <c r="A11" i="3"/>
  <c r="A10" i="3"/>
  <c r="A9" i="3"/>
  <c r="A7" i="3" l="1"/>
  <c r="A8" i="3"/>
  <c r="D3" i="5" l="1"/>
  <c r="A24" i="3" l="1"/>
  <c r="A5" i="3" l="1"/>
  <c r="A6" i="3"/>
  <c r="BD51" i="3" l="1"/>
  <c r="BD43" i="3"/>
  <c r="BD44" i="3"/>
  <c r="BD45" i="3"/>
  <c r="BD46" i="3"/>
  <c r="BD47" i="3"/>
  <c r="BD48" i="3"/>
  <c r="BD49" i="3"/>
  <c r="BD50" i="3"/>
  <c r="M3" i="5" l="1"/>
  <c r="G3" i="5"/>
  <c r="G4" i="5"/>
  <c r="A4" i="3" l="1"/>
  <c r="Y5" i="2" l="1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4" i="2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4" i="1"/>
  <c r="B43" i="1" l="1"/>
  <c r="B39" i="1"/>
  <c r="B37" i="1"/>
  <c r="B25" i="1"/>
  <c r="B23" i="1"/>
  <c r="B21" i="1"/>
  <c r="B13" i="1"/>
  <c r="B11" i="1"/>
  <c r="B9" i="1"/>
  <c r="B7" i="1"/>
  <c r="B5" i="1"/>
  <c r="B3" i="1"/>
  <c r="W2" i="1"/>
  <c r="V2" i="1"/>
  <c r="U2" i="1"/>
  <c r="T2" i="1"/>
  <c r="N2" i="1"/>
  <c r="M2" i="1"/>
  <c r="L2" i="1"/>
  <c r="H2" i="1"/>
  <c r="G2" i="1"/>
  <c r="F2" i="1"/>
  <c r="E2" i="1"/>
  <c r="D2" i="1"/>
  <c r="C2" i="1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5" i="4"/>
  <c r="Y6" i="4"/>
  <c r="Y7" i="4"/>
  <c r="Y8" i="4"/>
  <c r="Y9" i="4"/>
  <c r="Z45" i="4" l="1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19" i="4"/>
  <c r="Z20" i="4"/>
  <c r="Z21" i="4"/>
  <c r="Z22" i="4"/>
  <c r="Z23" i="4"/>
  <c r="Z24" i="4"/>
  <c r="Z25" i="4"/>
  <c r="Z26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B43" i="4"/>
  <c r="B41" i="4"/>
  <c r="B39" i="4"/>
  <c r="B37" i="4"/>
  <c r="B25" i="4"/>
  <c r="B23" i="4"/>
  <c r="W2" i="4"/>
  <c r="V2" i="4"/>
  <c r="U2" i="4"/>
  <c r="T2" i="4"/>
  <c r="N2" i="4"/>
  <c r="M2" i="4"/>
  <c r="B43" i="2"/>
  <c r="B41" i="2"/>
  <c r="B39" i="2"/>
  <c r="B37" i="2"/>
  <c r="B25" i="2"/>
  <c r="B23" i="2"/>
  <c r="W2" i="2"/>
  <c r="V2" i="2"/>
  <c r="U2" i="2"/>
  <c r="T2" i="2"/>
  <c r="N2" i="2"/>
  <c r="M2" i="2"/>
  <c r="W45" i="4" l="1"/>
  <c r="Z43" i="3"/>
  <c r="Z49" i="3"/>
  <c r="Z50" i="3"/>
  <c r="Z51" i="3"/>
  <c r="O43" i="3"/>
  <c r="O49" i="3"/>
  <c r="O50" i="3"/>
  <c r="O51" i="3"/>
  <c r="D43" i="3"/>
  <c r="D49" i="3"/>
  <c r="D50" i="3"/>
  <c r="D51" i="3"/>
  <c r="W22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6" i="5"/>
  <c r="W5" i="5"/>
  <c r="W4" i="5"/>
  <c r="W3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V4" i="5"/>
  <c r="V3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U3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S4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3" i="5"/>
  <c r="B23" i="5"/>
  <c r="W2" i="5"/>
  <c r="U2" i="5"/>
  <c r="T2" i="5"/>
  <c r="Z42" i="3" l="1"/>
  <c r="Z41" i="3"/>
  <c r="Z36" i="3"/>
  <c r="Z35" i="3"/>
  <c r="Z34" i="3"/>
  <c r="Z33" i="3"/>
  <c r="Z32" i="3"/>
  <c r="Z31" i="3"/>
  <c r="O42" i="3"/>
  <c r="O41" i="3"/>
  <c r="O36" i="3"/>
  <c r="O35" i="3"/>
  <c r="O34" i="3"/>
  <c r="O33" i="3"/>
  <c r="O32" i="3"/>
  <c r="O31" i="3"/>
  <c r="D32" i="3"/>
  <c r="D33" i="3"/>
  <c r="D34" i="3"/>
  <c r="D35" i="3"/>
  <c r="D36" i="3"/>
  <c r="D41" i="3"/>
  <c r="D42" i="3"/>
  <c r="D31" i="3"/>
  <c r="N13" i="5" l="1"/>
  <c r="N12" i="5"/>
  <c r="N11" i="5"/>
  <c r="N10" i="5"/>
  <c r="N8" i="5"/>
  <c r="N7" i="5"/>
  <c r="N6" i="5"/>
  <c r="N5" i="5"/>
  <c r="N4" i="5"/>
  <c r="N3" i="5"/>
  <c r="M12" i="5"/>
  <c r="M11" i="5"/>
  <c r="M10" i="5"/>
  <c r="L10" i="5"/>
  <c r="M9" i="5"/>
  <c r="L9" i="5"/>
  <c r="K9" i="5"/>
  <c r="M8" i="5"/>
  <c r="L8" i="5"/>
  <c r="K8" i="5"/>
  <c r="J8" i="5"/>
  <c r="M7" i="5"/>
  <c r="L7" i="5"/>
  <c r="K7" i="5"/>
  <c r="J7" i="5"/>
  <c r="I7" i="5"/>
  <c r="H7" i="5"/>
  <c r="M6" i="5"/>
  <c r="L6" i="5"/>
  <c r="K6" i="5"/>
  <c r="J6" i="5"/>
  <c r="I6" i="5"/>
  <c r="H6" i="5"/>
  <c r="M5" i="5"/>
  <c r="L5" i="5"/>
  <c r="K5" i="5"/>
  <c r="J5" i="5"/>
  <c r="I5" i="5"/>
  <c r="H5" i="5"/>
  <c r="G5" i="5"/>
  <c r="M4" i="5"/>
  <c r="L4" i="5"/>
  <c r="K4" i="5"/>
  <c r="J4" i="5"/>
  <c r="I4" i="5"/>
  <c r="H4" i="5"/>
  <c r="L3" i="5"/>
  <c r="K3" i="5"/>
  <c r="J3" i="5"/>
  <c r="I3" i="5"/>
  <c r="H3" i="5"/>
  <c r="F3" i="5"/>
  <c r="E3" i="5"/>
  <c r="N2" i="5"/>
  <c r="M2" i="5"/>
</calcChain>
</file>

<file path=xl/sharedStrings.xml><?xml version="1.0" encoding="utf-8"?>
<sst xmlns="http://schemas.openxmlformats.org/spreadsheetml/2006/main" count="1858" uniqueCount="237">
  <si>
    <t>Name</t>
  </si>
  <si>
    <t>Template</t>
  </si>
  <si>
    <t>g</t>
  </si>
  <si>
    <t>E</t>
  </si>
  <si>
    <t>Postsynaptic</t>
  </si>
  <si>
    <t>Presynaptic</t>
  </si>
  <si>
    <t>u1</t>
  </si>
  <si>
    <t>u2</t>
  </si>
  <si>
    <t>h</t>
  </si>
  <si>
    <t>s</t>
  </si>
  <si>
    <t>p</t>
  </si>
  <si>
    <t>tx</t>
  </si>
  <si>
    <t>ud</t>
  </si>
  <si>
    <t>ur</t>
  </si>
  <si>
    <t>duration</t>
  </si>
  <si>
    <t>Amplitude</t>
  </si>
  <si>
    <t>step size</t>
  </si>
  <si>
    <t>jitter in step size</t>
  </si>
  <si>
    <t>votage-dependent conductance (.vdg)</t>
  </si>
  <si>
    <t>electrical synapse (.es)</t>
  </si>
  <si>
    <t>chemical synapse (.cs)</t>
  </si>
  <si>
    <t>smu</t>
  </si>
  <si>
    <t>name</t>
  </si>
  <si>
    <t>stepsize</t>
  </si>
  <si>
    <t>graph</t>
  </si>
  <si>
    <t>store</t>
  </si>
  <si>
    <t>method</t>
  </si>
  <si>
    <t>variable</t>
  </si>
  <si>
    <t>start</t>
  </si>
  <si>
    <t>stop</t>
  </si>
  <si>
    <t># ticks</t>
  </si>
  <si>
    <t>time</t>
  </si>
  <si>
    <t>min</t>
  </si>
  <si>
    <t>max</t>
  </si>
  <si>
    <t>color</t>
  </si>
  <si>
    <t>variable 1</t>
  </si>
  <si>
    <t>graph (ous)</t>
  </si>
  <si>
    <t>Current injection</t>
  </si>
  <si>
    <t>neuron</t>
  </si>
  <si>
    <t>magnitude</t>
  </si>
  <si>
    <t>Size</t>
  </si>
  <si>
    <t>variable 2</t>
  </si>
  <si>
    <t>variable 3</t>
  </si>
  <si>
    <t>variable 4</t>
  </si>
  <si>
    <t>V</t>
  </si>
  <si>
    <t>example</t>
  </si>
  <si>
    <t>example variables</t>
  </si>
  <si>
    <t>Ivd</t>
  </si>
  <si>
    <t>current by voltage gated conductance</t>
  </si>
  <si>
    <t>voltage</t>
  </si>
  <si>
    <t>A</t>
  </si>
  <si>
    <t>B</t>
  </si>
  <si>
    <t>activation of conductance</t>
  </si>
  <si>
    <t>Inactivation of conductance</t>
  </si>
  <si>
    <t>Ics</t>
  </si>
  <si>
    <t>Cion</t>
  </si>
  <si>
    <t>amount of ion</t>
  </si>
  <si>
    <t xml:space="preserve">    variable.conductance.neuron</t>
  </si>
  <si>
    <t xml:space="preserve">    Ivd.Na.N1</t>
  </si>
  <si>
    <t xml:space="preserve">    variable.neuron</t>
  </si>
  <si>
    <t xml:space="preserve">    V.N1</t>
  </si>
  <si>
    <t>conductance</t>
  </si>
  <si>
    <t xml:space="preserve">neuron </t>
  </si>
  <si>
    <t>red indicates simlation longer than graph duration</t>
  </si>
  <si>
    <t xml:space="preserve">                         stimulation (.trt)</t>
  </si>
  <si>
    <t>output variables</t>
  </si>
  <si>
    <t>type "all" in first cell to output all graphed variables or type individual channels</t>
  </si>
  <si>
    <t>potential</t>
  </si>
  <si>
    <t>Voltage clamp</t>
  </si>
  <si>
    <t>syntax</t>
  </si>
  <si>
    <t>synapse</t>
  </si>
  <si>
    <t>variable.pre.post.type</t>
  </si>
  <si>
    <t>Ics.N1.N4.f_exc</t>
  </si>
  <si>
    <t>example synapses</t>
  </si>
  <si>
    <t>f_exc</t>
  </si>
  <si>
    <t>s_exc</t>
  </si>
  <si>
    <t>f_inh</t>
  </si>
  <si>
    <t>s_inh</t>
  </si>
  <si>
    <t>fast inhibitory</t>
  </si>
  <si>
    <t>fast excitatory</t>
  </si>
  <si>
    <t>slow inhibitory</t>
  </si>
  <si>
    <t>slow excitatory</t>
  </si>
  <si>
    <t>Ies.N1.N4</t>
  </si>
  <si>
    <t>chem syn current</t>
  </si>
  <si>
    <t>elec syn current</t>
  </si>
  <si>
    <t>Ies</t>
  </si>
  <si>
    <t>File</t>
  </si>
  <si>
    <t>leak</t>
  </si>
  <si>
    <t>vdg</t>
  </si>
  <si>
    <t>Na</t>
  </si>
  <si>
    <t>tmx</t>
  </si>
  <si>
    <t>tmin</t>
  </si>
  <si>
    <t>all</t>
  </si>
  <si>
    <t>An</t>
  </si>
  <si>
    <t>Bn</t>
  </si>
  <si>
    <t>th1</t>
  </si>
  <si>
    <t>ts1</t>
  </si>
  <si>
    <t>tp1</t>
  </si>
  <si>
    <t>th2</t>
  </si>
  <si>
    <t>ts2</t>
  </si>
  <si>
    <t>tp2</t>
  </si>
  <si>
    <t>ion</t>
  </si>
  <si>
    <t>K1</t>
  </si>
  <si>
    <t>K2</t>
  </si>
  <si>
    <t>ch</t>
  </si>
  <si>
    <t>Ion pools</t>
  </si>
  <si>
    <t>Conductance to ion</t>
  </si>
  <si>
    <t>Ion to conductance</t>
  </si>
  <si>
    <t>fBr = BR</t>
  </si>
  <si>
    <t>fBr = 1 + BR</t>
  </si>
  <si>
    <t>channel requires ion</t>
  </si>
  <si>
    <t>ion enhances channel only</t>
  </si>
  <si>
    <t>ion inhibits channel only</t>
  </si>
  <si>
    <t>b</t>
  </si>
  <si>
    <t>fBr = 1/(1 + b*(BR))</t>
  </si>
  <si>
    <t>Kca</t>
  </si>
  <si>
    <t>p1</t>
  </si>
  <si>
    <t>p2</t>
  </si>
  <si>
    <t>opt2</t>
  </si>
  <si>
    <t>opt1</t>
  </si>
  <si>
    <t xml:space="preserve">opt1  1: </t>
  </si>
  <si>
    <t xml:space="preserve"> 2: </t>
  </si>
  <si>
    <t xml:space="preserve">3: </t>
  </si>
  <si>
    <t xml:space="preserve">opt2  1: </t>
  </si>
  <si>
    <t xml:space="preserve">2: </t>
  </si>
  <si>
    <t xml:space="preserve">4: </t>
  </si>
  <si>
    <t xml:space="preserve">5: </t>
  </si>
  <si>
    <t>dBR/dt = (ion - BR)/p1</t>
  </si>
  <si>
    <t>BR = ion/(p1 + ion)</t>
  </si>
  <si>
    <t>BR = ion/(p1+ ion) + 1</t>
  </si>
  <si>
    <t>BR = 1/(1 + p1*ion)</t>
  </si>
  <si>
    <t>BR = exp((p1+ ion)/p2)</t>
  </si>
  <si>
    <t>cm</t>
  </si>
  <si>
    <t>IVDxREG</t>
  </si>
  <si>
    <t>currrent by conductance and regulation</t>
  </si>
  <si>
    <t>Napp</t>
  </si>
  <si>
    <t>sIVD_reg</t>
  </si>
  <si>
    <t>for total current</t>
  </si>
  <si>
    <t>slex</t>
  </si>
  <si>
    <t>trt current</t>
  </si>
  <si>
    <t>d(ion)/dt = K1*(K2*sum(Ivd) - ion)</t>
  </si>
  <si>
    <t>HCN</t>
  </si>
  <si>
    <t>depression</t>
  </si>
  <si>
    <t>facilitation</t>
  </si>
  <si>
    <t>taus</t>
  </si>
  <si>
    <t>u</t>
  </si>
  <si>
    <t>fBR</t>
  </si>
  <si>
    <t>fBR.ion.ch.neuron</t>
  </si>
  <si>
    <t>minimum activation</t>
  </si>
  <si>
    <t>half in/activation</t>
  </si>
  <si>
    <t>slope</t>
  </si>
  <si>
    <t>power</t>
  </si>
  <si>
    <t>maximum tau</t>
  </si>
  <si>
    <t>minimum tau</t>
  </si>
  <si>
    <t>CaN</t>
  </si>
  <si>
    <t>Kcaf</t>
  </si>
  <si>
    <t>green</t>
  </si>
  <si>
    <t>K_pp</t>
  </si>
  <si>
    <t>if u2 is empty it is assumed equal to u1</t>
  </si>
  <si>
    <t>midrange</t>
  </si>
  <si>
    <t>Voltage dependence</t>
  </si>
  <si>
    <t>fast</t>
  </si>
  <si>
    <t>slow</t>
  </si>
  <si>
    <t>Ach</t>
  </si>
  <si>
    <t>Colorbar</t>
  </si>
  <si>
    <t>B63l</t>
  </si>
  <si>
    <t>B63la</t>
  </si>
  <si>
    <t>B63ra</t>
  </si>
  <si>
    <t>B63rs</t>
  </si>
  <si>
    <t>B31rs</t>
  </si>
  <si>
    <t>B31ra</t>
  </si>
  <si>
    <t>B31ls</t>
  </si>
  <si>
    <t>B31la</t>
  </si>
  <si>
    <t>B32rs</t>
  </si>
  <si>
    <t>B32ra</t>
  </si>
  <si>
    <t>B32ls</t>
  </si>
  <si>
    <t>B32la</t>
  </si>
  <si>
    <t>Ka</t>
  </si>
  <si>
    <t>Kv</t>
  </si>
  <si>
    <t>K_main</t>
  </si>
  <si>
    <t>blue</t>
  </si>
  <si>
    <t>Initial voltage</t>
  </si>
  <si>
    <t>mV</t>
  </si>
  <si>
    <t>B63ls</t>
  </si>
  <si>
    <t>V.B63ls</t>
  </si>
  <si>
    <t>pink</t>
  </si>
  <si>
    <t>V.B31rs</t>
  </si>
  <si>
    <t>V.B63la</t>
  </si>
  <si>
    <t>yellow</t>
  </si>
  <si>
    <t>cyan</t>
  </si>
  <si>
    <t>Ics.B63la.B31rs.s_exc</t>
  </si>
  <si>
    <t>magenta</t>
  </si>
  <si>
    <t>Ics.B63la.B31rs.f_exc</t>
  </si>
  <si>
    <t>K_main_FALSE</t>
  </si>
  <si>
    <t>SIVD_reg</t>
  </si>
  <si>
    <t>red</t>
  </si>
  <si>
    <t>Ivd.Kv.B31rs</t>
  </si>
  <si>
    <t>orange</t>
  </si>
  <si>
    <t>Ivd.K_main.B31rs</t>
  </si>
  <si>
    <t>Ivd.Ka.B31rs</t>
  </si>
  <si>
    <t>BMP3SIMPLE</t>
  </si>
  <si>
    <t>B64ls</t>
  </si>
  <si>
    <t>B64la</t>
  </si>
  <si>
    <t>V.B64la</t>
  </si>
  <si>
    <t>V.B64ls</t>
  </si>
  <si>
    <t xml:space="preserve">    Ivd.Napp.B64ls</t>
  </si>
  <si>
    <t xml:space="preserve">    Ivd.Ka.B64ls</t>
  </si>
  <si>
    <t xml:space="preserve">    Ivd.Kv.B64ls</t>
  </si>
  <si>
    <t>B64rs</t>
  </si>
  <si>
    <t>B64ra</t>
  </si>
  <si>
    <t>V.B64ra</t>
  </si>
  <si>
    <t>V.B64rs</t>
  </si>
  <si>
    <t xml:space="preserve">    Ivd.Napp.B64rs</t>
  </si>
  <si>
    <t xml:space="preserve">    Ivd.Ka.B64rs</t>
  </si>
  <si>
    <t xml:space="preserve">    Ivd.Kv.B64rs</t>
  </si>
  <si>
    <t>BMP2SIMPLE_l</t>
  </si>
  <si>
    <t>BMP64_l</t>
  </si>
  <si>
    <t>BMP64_r</t>
  </si>
  <si>
    <t>BMP2SIMPLE_r</t>
  </si>
  <si>
    <t>V.B31ls</t>
  </si>
  <si>
    <t>V.B63rs</t>
  </si>
  <si>
    <t>Ics.B63ra.B31ls.s_exc</t>
  </si>
  <si>
    <t>Ivd.Kv.B31ls</t>
  </si>
  <si>
    <t>Ivd.K_main.B31ls</t>
  </si>
  <si>
    <t>Ivd.Ka.B31ls</t>
  </si>
  <si>
    <t>BMP1_l</t>
  </si>
  <si>
    <t>BMP1_r</t>
  </si>
  <si>
    <t>V.B63ra</t>
  </si>
  <si>
    <t>Ics.B63ra.B31ls.f_exc</t>
  </si>
  <si>
    <t>VC_l</t>
  </si>
  <si>
    <t>VC_r</t>
  </si>
  <si>
    <t>Ivd.Na.B31ls</t>
  </si>
  <si>
    <t>0.8=10</t>
  </si>
  <si>
    <t>BMP_TONIC_r</t>
  </si>
  <si>
    <t>BMP_TONIC_l</t>
  </si>
  <si>
    <t>Ics.B63la.B64ls.s_exc</t>
  </si>
  <si>
    <t>Ics.B63ra.B64rs.s_exc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</si>
</sst>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CD6D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CD0F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54">
    <xf numFmtId="0" fontId="0" fillId="0" borderId="0" xfId="0"/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3" borderId="0" xfId="0" applyFill="1"/>
    <xf numFmtId="0" fontId="0" fillId="3" borderId="3" xfId="0" applyFill="1" applyBorder="1"/>
    <xf numFmtId="0" fontId="0" fillId="4" borderId="6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" xfId="0" applyFill="1" applyBorder="1"/>
    <xf numFmtId="0" fontId="2" fillId="3" borderId="0" xfId="0" applyFont="1" applyFill="1" applyAlignment="1">
      <alignment horizontal="right"/>
    </xf>
    <xf numFmtId="0" fontId="2" fillId="3" borderId="0" xfId="0" applyFont="1" applyFill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0" fillId="3" borderId="31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0" xfId="0" applyFill="1" applyAlignment="1">
      <alignment horizontal="left" indent="1"/>
    </xf>
    <xf numFmtId="0" fontId="0" fillId="3" borderId="0" xfId="0" applyFill="1" applyAlignment="1">
      <alignment horizontal="right"/>
    </xf>
    <xf numFmtId="0" fontId="0" fillId="3" borderId="35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3" borderId="28" xfId="0" applyFill="1" applyBorder="1"/>
    <xf numFmtId="0" fontId="1" fillId="3" borderId="0" xfId="0" applyFont="1" applyFill="1"/>
    <xf numFmtId="49" fontId="0" fillId="3" borderId="0" xfId="0" applyNumberFormat="1" applyFill="1" applyAlignment="1">
      <alignment horizontal="right"/>
    </xf>
    <xf numFmtId="49" fontId="0" fillId="3" borderId="0" xfId="0" applyNumberFormat="1" applyFill="1"/>
    <xf numFmtId="0" fontId="2" fillId="4" borderId="12" xfId="0" applyFont="1" applyFill="1" applyBorder="1" applyAlignment="1">
      <alignment horizontal="center"/>
    </xf>
    <xf numFmtId="0" fontId="0" fillId="3" borderId="38" xfId="0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0" fillId="3" borderId="42" xfId="0" applyFill="1" applyBorder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3" borderId="43" xfId="0" applyFill="1" applyBorder="1"/>
    <xf numFmtId="0" fontId="0" fillId="4" borderId="47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5" borderId="48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49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35" xfId="0" applyFill="1" applyBorder="1"/>
    <xf numFmtId="0" fontId="0" fillId="3" borderId="36" xfId="0" applyFill="1" applyBorder="1"/>
    <xf numFmtId="0" fontId="0" fillId="4" borderId="31" xfId="0" applyFill="1" applyBorder="1"/>
    <xf numFmtId="0" fontId="0" fillId="4" borderId="52" xfId="0" applyFill="1" applyBorder="1" applyAlignment="1">
      <alignment horizontal="center"/>
    </xf>
    <xf numFmtId="0" fontId="0" fillId="3" borderId="53" xfId="0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0" xfId="0" applyFill="1" applyAlignment="1">
      <alignment horizontal="right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4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3" borderId="5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3" fillId="4" borderId="48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3" fillId="4" borderId="60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3" fillId="2" borderId="38" xfId="0" applyFont="1" applyFill="1" applyBorder="1" applyAlignment="1">
      <alignment horizontal="center" vertical="center"/>
    </xf>
    <xf numFmtId="0" fontId="3" fillId="2" borderId="62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6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4" borderId="45" xfId="0" applyFont="1" applyFill="1" applyBorder="1" applyAlignment="1">
      <alignment horizontal="center" vertical="center"/>
    </xf>
    <xf numFmtId="0" fontId="3" fillId="4" borderId="56" xfId="0" applyFont="1" applyFill="1" applyBorder="1" applyAlignment="1">
      <alignment horizontal="center" vertical="center"/>
    </xf>
    <xf numFmtId="0" fontId="3" fillId="4" borderId="46" xfId="0" applyFont="1" applyFill="1" applyBorder="1" applyAlignment="1">
      <alignment horizontal="center" vertical="center"/>
    </xf>
    <xf numFmtId="0" fontId="3" fillId="2" borderId="63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center" vertical="center"/>
    </xf>
    <xf numFmtId="0" fontId="3" fillId="4" borderId="50" xfId="0" applyFont="1" applyFill="1" applyBorder="1" applyAlignment="1">
      <alignment horizontal="center" vertical="center"/>
    </xf>
    <xf numFmtId="0" fontId="3" fillId="4" borderId="65" xfId="0" applyFont="1" applyFill="1" applyBorder="1" applyAlignment="1">
      <alignment horizontal="center" vertical="center"/>
    </xf>
    <xf numFmtId="0" fontId="3" fillId="4" borderId="52" xfId="0" applyFont="1" applyFill="1" applyBorder="1" applyAlignment="1">
      <alignment horizontal="center" vertical="center"/>
    </xf>
    <xf numFmtId="0" fontId="3" fillId="4" borderId="63" xfId="0" applyFont="1" applyFill="1" applyBorder="1" applyAlignment="1">
      <alignment horizontal="center" vertical="center"/>
    </xf>
    <xf numFmtId="0" fontId="3" fillId="2" borderId="65" xfId="0" applyFont="1" applyFill="1" applyBorder="1" applyAlignment="1">
      <alignment horizontal="center" vertical="center"/>
    </xf>
    <xf numFmtId="0" fontId="3" fillId="4" borderId="53" xfId="0" applyFont="1" applyFill="1" applyBorder="1" applyAlignment="1">
      <alignment horizontal="center" vertical="center"/>
    </xf>
    <xf numFmtId="0" fontId="3" fillId="4" borderId="66" xfId="0" applyFont="1" applyFill="1" applyBorder="1" applyAlignment="1">
      <alignment horizontal="center" vertical="center"/>
    </xf>
    <xf numFmtId="0" fontId="3" fillId="4" borderId="67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0" fillId="3" borderId="59" xfId="0" applyFill="1" applyBorder="1" applyAlignment="1">
      <alignment horizontal="center" vertical="center"/>
    </xf>
    <xf numFmtId="0" fontId="3" fillId="4" borderId="57" xfId="0" applyFont="1" applyFill="1" applyBorder="1" applyAlignment="1">
      <alignment horizontal="center" vertical="center"/>
    </xf>
    <xf numFmtId="0" fontId="3" fillId="4" borderId="61" xfId="0" applyFont="1" applyFill="1" applyBorder="1" applyAlignment="1">
      <alignment horizontal="center" vertical="center"/>
    </xf>
    <xf numFmtId="0" fontId="3" fillId="2" borderId="57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3" fillId="4" borderId="72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center" vertical="center"/>
    </xf>
    <xf numFmtId="0" fontId="0" fillId="19" borderId="1" xfId="0" applyFill="1" applyBorder="1"/>
    <xf numFmtId="0" fontId="6" fillId="3" borderId="0" xfId="0" applyFont="1" applyFill="1"/>
    <xf numFmtId="0" fontId="6" fillId="3" borderId="0" xfId="0" applyFont="1" applyFill="1" applyAlignment="1">
      <alignment horizontal="right"/>
    </xf>
    <xf numFmtId="0" fontId="0" fillId="18" borderId="10" xfId="0" applyFill="1" applyBorder="1" applyAlignment="1">
      <alignment horizontal="center"/>
    </xf>
    <xf numFmtId="0" fontId="7" fillId="4" borderId="38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48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18" borderId="31" xfId="0" applyFont="1" applyFill="1" applyBorder="1"/>
    <xf numFmtId="0" fontId="5" fillId="18" borderId="31" xfId="0" applyFont="1" applyFill="1" applyBorder="1"/>
    <xf numFmtId="0" fontId="1" fillId="18" borderId="6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0" fillId="20" borderId="0" xfId="0" applyFill="1"/>
    <xf numFmtId="0" fontId="6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8" fillId="0" borderId="0" xfId="0" applyFont="1"/>
    <xf numFmtId="0" fontId="0" fillId="3" borderId="47" xfId="0" applyFill="1" applyBorder="1" applyAlignment="1">
      <alignment horizontal="center" vertical="center"/>
    </xf>
    <xf numFmtId="0" fontId="0" fillId="4" borderId="53" xfId="0" applyFill="1" applyBorder="1"/>
    <xf numFmtId="0" fontId="0" fillId="4" borderId="66" xfId="0" applyFill="1" applyBorder="1"/>
    <xf numFmtId="0" fontId="0" fillId="4" borderId="54" xfId="0" applyFill="1" applyBorder="1" applyAlignment="1">
      <alignment horizontal="center"/>
    </xf>
    <xf numFmtId="0" fontId="0" fillId="4" borderId="53" xfId="0" applyFill="1" applyBorder="1" applyAlignment="1">
      <alignment horizontal="center"/>
    </xf>
    <xf numFmtId="0" fontId="0" fillId="4" borderId="66" xfId="0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3" borderId="25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9" fillId="4" borderId="52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0" fillId="4" borderId="65" xfId="0" applyFill="1" applyBorder="1" applyAlignment="1">
      <alignment horizontal="center"/>
    </xf>
    <xf numFmtId="0" fontId="0" fillId="4" borderId="57" xfId="0" applyFill="1" applyBorder="1" applyAlignment="1">
      <alignment horizontal="center"/>
    </xf>
    <xf numFmtId="0" fontId="0" fillId="20" borderId="1" xfId="0" applyFill="1" applyBorder="1"/>
    <xf numFmtId="0" fontId="0" fillId="20" borderId="1" xfId="0" applyFill="1" applyBorder="1" applyAlignment="1">
      <alignment horizontal="center"/>
    </xf>
    <xf numFmtId="0" fontId="12" fillId="4" borderId="50" xfId="0" applyFont="1" applyFill="1" applyBorder="1" applyAlignment="1">
      <alignment horizontal="center"/>
    </xf>
    <xf numFmtId="0" fontId="0" fillId="4" borderId="64" xfId="0" applyFill="1" applyBorder="1" applyAlignment="1">
      <alignment horizontal="center"/>
    </xf>
    <xf numFmtId="0" fontId="0" fillId="3" borderId="68" xfId="0" applyFill="1" applyBorder="1" applyAlignment="1">
      <alignment vertical="center"/>
    </xf>
    <xf numFmtId="0" fontId="0" fillId="3" borderId="70" xfId="0" applyFill="1" applyBorder="1" applyAlignment="1">
      <alignment vertical="center"/>
    </xf>
    <xf numFmtId="0" fontId="0" fillId="14" borderId="1" xfId="0" applyFill="1" applyBorder="1"/>
    <xf numFmtId="0" fontId="0" fillId="20" borderId="74" xfId="0" applyFill="1" applyBorder="1" applyAlignment="1">
      <alignment horizontal="center"/>
    </xf>
    <xf numFmtId="0" fontId="0" fillId="20" borderId="0" xfId="0" applyFill="1" applyAlignment="1">
      <alignment horizontal="center"/>
    </xf>
    <xf numFmtId="0" fontId="1" fillId="4" borderId="52" xfId="0" applyFont="1" applyFill="1" applyBorder="1" applyAlignment="1">
      <alignment horizontal="center"/>
    </xf>
    <xf numFmtId="0" fontId="0" fillId="18" borderId="0" xfId="0" applyFill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0" fillId="20" borderId="10" xfId="0" applyFill="1" applyBorder="1" applyAlignment="1">
      <alignment horizontal="center"/>
    </xf>
    <xf numFmtId="0" fontId="0" fillId="20" borderId="52" xfId="0" applyFill="1" applyBorder="1" applyAlignment="1">
      <alignment horizontal="center"/>
    </xf>
    <xf numFmtId="0" fontId="0" fillId="20" borderId="6" xfId="0" applyFill="1" applyBorder="1" applyAlignment="1">
      <alignment horizontal="center"/>
    </xf>
    <xf numFmtId="0" fontId="0" fillId="20" borderId="9" xfId="0" applyFill="1" applyBorder="1" applyAlignment="1">
      <alignment horizontal="center"/>
    </xf>
    <xf numFmtId="0" fontId="0" fillId="20" borderId="31" xfId="0" applyFill="1" applyBorder="1" applyAlignment="1">
      <alignment horizontal="center"/>
    </xf>
    <xf numFmtId="0" fontId="6" fillId="16" borderId="28" xfId="0" applyFont="1" applyFill="1" applyBorder="1" applyAlignment="1">
      <alignment horizontal="center"/>
    </xf>
    <xf numFmtId="0" fontId="6" fillId="16" borderId="29" xfId="0" applyFont="1" applyFill="1" applyBorder="1" applyAlignment="1">
      <alignment horizontal="center"/>
    </xf>
    <xf numFmtId="0" fontId="6" fillId="16" borderId="3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51" xfId="0" applyFill="1" applyBorder="1" applyAlignment="1">
      <alignment horizontal="center"/>
    </xf>
    <xf numFmtId="0" fontId="6" fillId="3" borderId="28" xfId="0" applyFont="1" applyFill="1" applyBorder="1" applyAlignment="1">
      <alignment horizontal="center"/>
    </xf>
    <xf numFmtId="0" fontId="6" fillId="3" borderId="30" xfId="0" applyFont="1" applyFill="1" applyBorder="1" applyAlignment="1">
      <alignment horizontal="center"/>
    </xf>
    <xf numFmtId="0" fontId="6" fillId="7" borderId="28" xfId="0" applyFont="1" applyFill="1" applyBorder="1" applyAlignment="1">
      <alignment horizontal="center"/>
    </xf>
    <xf numFmtId="0" fontId="6" fillId="7" borderId="29" xfId="0" applyFont="1" applyFill="1" applyBorder="1" applyAlignment="1">
      <alignment horizontal="center"/>
    </xf>
    <xf numFmtId="0" fontId="6" fillId="7" borderId="30" xfId="0" applyFont="1" applyFill="1" applyBorder="1" applyAlignment="1">
      <alignment horizontal="center"/>
    </xf>
    <xf numFmtId="0" fontId="6" fillId="8" borderId="28" xfId="0" applyFont="1" applyFill="1" applyBorder="1" applyAlignment="1">
      <alignment horizontal="center"/>
    </xf>
    <xf numFmtId="0" fontId="6" fillId="8" borderId="29" xfId="0" applyFont="1" applyFill="1" applyBorder="1" applyAlignment="1">
      <alignment horizontal="center"/>
    </xf>
    <xf numFmtId="0" fontId="6" fillId="8" borderId="30" xfId="0" applyFont="1" applyFill="1" applyBorder="1" applyAlignment="1">
      <alignment horizontal="center"/>
    </xf>
    <xf numFmtId="0" fontId="6" fillId="9" borderId="28" xfId="0" applyFont="1" applyFill="1" applyBorder="1" applyAlignment="1">
      <alignment horizontal="center"/>
    </xf>
    <xf numFmtId="0" fontId="6" fillId="9" borderId="29" xfId="0" applyFont="1" applyFill="1" applyBorder="1" applyAlignment="1">
      <alignment horizontal="center"/>
    </xf>
    <xf numFmtId="0" fontId="6" fillId="9" borderId="30" xfId="0" applyFont="1" applyFill="1" applyBorder="1" applyAlignment="1">
      <alignment horizontal="center"/>
    </xf>
    <xf numFmtId="0" fontId="6" fillId="15" borderId="28" xfId="0" applyFont="1" applyFill="1" applyBorder="1" applyAlignment="1">
      <alignment horizontal="center"/>
    </xf>
    <xf numFmtId="0" fontId="6" fillId="15" borderId="29" xfId="0" applyFont="1" applyFill="1" applyBorder="1" applyAlignment="1">
      <alignment horizontal="center"/>
    </xf>
    <xf numFmtId="0" fontId="6" fillId="15" borderId="30" xfId="0" applyFont="1" applyFill="1" applyBorder="1" applyAlignment="1">
      <alignment horizontal="center"/>
    </xf>
    <xf numFmtId="0" fontId="6" fillId="11" borderId="28" xfId="0" applyFont="1" applyFill="1" applyBorder="1" applyAlignment="1">
      <alignment horizontal="center"/>
    </xf>
    <xf numFmtId="0" fontId="6" fillId="11" borderId="29" xfId="0" applyFont="1" applyFill="1" applyBorder="1" applyAlignment="1">
      <alignment horizontal="center"/>
    </xf>
    <xf numFmtId="0" fontId="6" fillId="11" borderId="30" xfId="0" applyFont="1" applyFill="1" applyBorder="1" applyAlignment="1">
      <alignment horizontal="center"/>
    </xf>
    <xf numFmtId="0" fontId="6" fillId="6" borderId="28" xfId="0" applyFont="1" applyFill="1" applyBorder="1" applyAlignment="1">
      <alignment horizontal="center"/>
    </xf>
    <xf numFmtId="0" fontId="6" fillId="6" borderId="29" xfId="0" applyFont="1" applyFill="1" applyBorder="1" applyAlignment="1">
      <alignment horizontal="center"/>
    </xf>
    <xf numFmtId="0" fontId="6" fillId="6" borderId="30" xfId="0" applyFont="1" applyFill="1" applyBorder="1" applyAlignment="1">
      <alignment horizontal="center"/>
    </xf>
    <xf numFmtId="0" fontId="6" fillId="13" borderId="28" xfId="0" applyFont="1" applyFill="1" applyBorder="1" applyAlignment="1">
      <alignment horizontal="center"/>
    </xf>
    <xf numFmtId="0" fontId="6" fillId="13" borderId="29" xfId="0" applyFont="1" applyFill="1" applyBorder="1" applyAlignment="1">
      <alignment horizontal="center"/>
    </xf>
    <xf numFmtId="0" fontId="6" fillId="13" borderId="30" xfId="0" applyFont="1" applyFill="1" applyBorder="1" applyAlignment="1">
      <alignment horizontal="center"/>
    </xf>
    <xf numFmtId="0" fontId="6" fillId="12" borderId="28" xfId="0" applyFont="1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30" xfId="0" applyFont="1" applyFill="1" applyBorder="1" applyAlignment="1">
      <alignment horizontal="center"/>
    </xf>
    <xf numFmtId="0" fontId="6" fillId="10" borderId="28" xfId="0" applyFont="1" applyFill="1" applyBorder="1" applyAlignment="1">
      <alignment horizontal="center"/>
    </xf>
    <xf numFmtId="0" fontId="6" fillId="10" borderId="29" xfId="0" applyFont="1" applyFill="1" applyBorder="1" applyAlignment="1">
      <alignment horizontal="center"/>
    </xf>
    <xf numFmtId="0" fontId="6" fillId="10" borderId="30" xfId="0" applyFont="1" applyFill="1" applyBorder="1" applyAlignment="1">
      <alignment horizontal="center"/>
    </xf>
    <xf numFmtId="0" fontId="6" fillId="14" borderId="28" xfId="0" applyFont="1" applyFill="1" applyBorder="1" applyAlignment="1">
      <alignment horizontal="center"/>
    </xf>
    <xf numFmtId="0" fontId="6" fillId="14" borderId="29" xfId="0" applyFont="1" applyFill="1" applyBorder="1" applyAlignment="1">
      <alignment horizontal="center"/>
    </xf>
    <xf numFmtId="0" fontId="6" fillId="14" borderId="30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7" xfId="0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3" borderId="28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68" xfId="0" applyFill="1" applyBorder="1" applyAlignment="1">
      <alignment horizontal="center" vertical="center"/>
    </xf>
    <xf numFmtId="0" fontId="0" fillId="3" borderId="69" xfId="0" applyFill="1" applyBorder="1" applyAlignment="1">
      <alignment horizontal="center" vertical="center"/>
    </xf>
    <xf numFmtId="0" fontId="0" fillId="3" borderId="70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0" fillId="3" borderId="7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73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14" xfId="0" applyFill="1" applyBorder="1" applyAlignment="1">
      <alignment horizontal="center" vertical="center" textRotation="90"/>
    </xf>
  </cellXfs>
  <cellStyles count="1">
    <cellStyle name="Normal" xfId="0" builtinId="0"/>
  </cellStyles>
  <dxfs count="84"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</dxfs>
  <tableStyles count="0" defaultTableStyle="TableStyleMedium2" defaultPivotStyle="PivotStyleLight16"/>
  <colors>
    <mruColors>
      <color rgb="FFFF6D6D"/>
      <color rgb="FFFFCCCC"/>
      <color rgb="FFFF9B9D"/>
      <color rgb="FFCCECFF"/>
      <color rgb="FFFFCDCD"/>
      <color rgb="FFFCD0FA"/>
      <color rgb="FFFC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93134</xdr:colOff>
      <xdr:row>5</xdr:row>
      <xdr:rowOff>4762</xdr:rowOff>
    </xdr:from>
    <xdr:ext cx="2400300" cy="4392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𝑑𝐴𝑡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𝑑𝑡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−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e>
                        </m:d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type m:val="skw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𝑑𝐴𝑡</m:t>
                                </m:r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𝑑𝑡</m:t>
                                </m:r>
                              </m:den>
                            </m:f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𝐴𝑡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𝑑𝐴𝑡/𝑑𝑡=(𝑋𝑡 −(𝑢_1+𝑢_2 )(𝑑𝐴𝑡⁄𝑑𝑡)−𝐴𝑡)/(𝑢_1 𝑢_2 )</a:t>
              </a:r>
              <a:endParaRPr lang="en-US" sz="11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0SNNAP/SnnapV1/25012022%20-%20Coupling%20b63ls_b63la_b31ls%20-%20Avy%20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u"/>
      <sheetName val="excitability.smu"/>
      <sheetName val="BMP.smu"/>
      <sheetName val="cs_g"/>
      <sheetName val="cs_E"/>
      <sheetName val="cs_FAT"/>
      <sheetName val="es"/>
      <sheetName val="noise"/>
    </sheetNames>
    <sheetDataSet>
      <sheetData sheetId="0">
        <row r="24">
          <cell r="B2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62"/>
  <sheetViews>
    <sheetView topLeftCell="A18" zoomScale="85" zoomScaleNormal="85" workbookViewId="0">
      <selection activeCell="HO4" sqref="HO4:IO13"/>
    </sheetView>
  </sheetViews>
  <sheetFormatPr defaultColWidth="9.1796875" defaultRowHeight="14.5" x14ac:dyDescent="0.35"/>
  <cols>
    <col min="1" max="1" width="9.1796875" style="14"/>
    <col min="2" max="3" width="7.26953125" style="14" customWidth="1"/>
    <col min="4" max="4" width="8.1796875" style="14" customWidth="1"/>
    <col min="5" max="5" width="8.54296875" style="14" customWidth="1"/>
    <col min="6" max="6" width="6.26953125" style="14" customWidth="1"/>
    <col min="7" max="7" width="7.54296875" style="14" customWidth="1"/>
    <col min="8" max="12" width="6" style="14" customWidth="1"/>
    <col min="13" max="13" width="4.81640625" style="14" customWidth="1"/>
    <col min="14" max="14" width="7.54296875" style="14" customWidth="1"/>
    <col min="15" max="15" width="6.54296875" style="14" customWidth="1"/>
    <col min="16" max="16" width="6.26953125" style="14" customWidth="1"/>
    <col min="17" max="17" width="5.1796875" style="14" customWidth="1"/>
    <col min="18" max="18" width="5.26953125" style="14" customWidth="1"/>
    <col min="19" max="21" width="4.453125" style="14" customWidth="1"/>
    <col min="22" max="22" width="3.7265625" style="14" customWidth="1"/>
    <col min="23" max="23" width="4.1796875" style="14" customWidth="1"/>
    <col min="24" max="24" width="7" style="14" customWidth="1"/>
    <col min="25" max="25" width="7.54296875" style="14" customWidth="1"/>
    <col min="26" max="26" width="6.54296875" style="14" customWidth="1"/>
    <col min="27" max="27" width="5.1796875" style="14" customWidth="1"/>
    <col min="28" max="28" width="6.26953125" style="14" customWidth="1"/>
    <col min="29" max="29" width="3.26953125" style="14" customWidth="1"/>
    <col min="30" max="30" width="3.453125" style="14" customWidth="1"/>
    <col min="31" max="33" width="2.81640625" style="14" customWidth="1"/>
    <col min="34" max="36" width="5.26953125" style="14" customWidth="1"/>
    <col min="37" max="37" width="5.1796875" style="14" customWidth="1"/>
    <col min="38" max="38" width="6.453125" style="14" customWidth="1"/>
    <col min="39" max="39" width="5.81640625" style="14" customWidth="1"/>
    <col min="40" max="40" width="5.26953125" style="14" customWidth="1"/>
    <col min="41" max="41" width="6.54296875" style="14" customWidth="1"/>
    <col min="42" max="42" width="8.26953125" style="14" customWidth="1"/>
    <col min="43" max="52" width="5.26953125" style="14" customWidth="1"/>
    <col min="53" max="55" width="6.54296875" style="14" customWidth="1"/>
    <col min="56" max="56" width="8.7265625" style="14" customWidth="1"/>
    <col min="57" max="57" width="6.54296875" style="14" customWidth="1"/>
    <col min="58" max="59" width="5.1796875" style="14" customWidth="1"/>
    <col min="60" max="60" width="3.81640625" style="14" customWidth="1"/>
    <col min="61" max="61" width="6.1796875" style="14" customWidth="1"/>
    <col min="62" max="62" width="4" style="14" customWidth="1"/>
    <col min="63" max="66" width="6.1796875" style="14" customWidth="1"/>
    <col min="67" max="67" width="3.81640625" style="14" customWidth="1"/>
    <col min="68" max="68" width="7.26953125" style="14" customWidth="1"/>
    <col min="69" max="69" width="7.81640625" style="14" customWidth="1"/>
    <col min="70" max="71" width="6.1796875" style="14" customWidth="1"/>
    <col min="72" max="72" width="4" style="14" customWidth="1"/>
    <col min="73" max="74" width="6.1796875" style="14" customWidth="1"/>
    <col min="75" max="75" width="3.54296875" style="14" customWidth="1"/>
    <col min="76" max="78" width="6.1796875" style="14" customWidth="1"/>
    <col min="79" max="79" width="4" style="14" customWidth="1"/>
    <col min="80" max="80" width="7.1796875" style="14" customWidth="1"/>
    <col min="81" max="81" width="7.7265625" style="14" customWidth="1"/>
    <col min="82" max="83" width="6.1796875" style="14" customWidth="1"/>
    <col min="84" max="84" width="4.54296875" style="14" customWidth="1"/>
    <col min="85" max="86" width="6.1796875" style="14" customWidth="1"/>
    <col min="87" max="87" width="4.26953125" style="14" customWidth="1"/>
    <col min="88" max="94" width="3.54296875" style="14" customWidth="1"/>
    <col min="95" max="95" width="5.1796875" style="14" customWidth="1"/>
    <col min="96" max="103" width="3.26953125" style="14" customWidth="1"/>
    <col min="104" max="104" width="7.81640625" style="14" customWidth="1"/>
    <col min="105" max="106" width="3.81640625" style="14" customWidth="1"/>
    <col min="107" max="114" width="2.26953125" style="14" customWidth="1"/>
    <col min="115" max="133" width="2.54296875" style="14" hidden="1" customWidth="1"/>
    <col min="134" max="222" width="0.81640625" style="14" hidden="1" customWidth="1"/>
    <col min="223" max="229" width="4.81640625" style="14" customWidth="1"/>
    <col min="230" max="231" width="6.1796875" style="14" customWidth="1"/>
    <col min="232" max="242" width="4.453125" style="14" customWidth="1"/>
    <col min="243" max="243" width="6.1796875" style="14" customWidth="1"/>
    <col min="244" max="246" width="3.7265625" style="14" customWidth="1"/>
    <col min="247" max="249" width="1.1796875" style="14" customWidth="1"/>
    <col min="250" max="276" width="1.54296875" style="14" hidden="1" customWidth="1"/>
    <col min="277" max="277" width="1.7265625" style="14" hidden="1" customWidth="1"/>
    <col min="278" max="303" width="1.26953125" style="14" hidden="1" customWidth="1"/>
    <col min="304" max="310" width="0" style="14" hidden="1" customWidth="1"/>
    <col min="311" max="16384" width="9.1796875" style="14"/>
  </cols>
  <sheetData>
    <row r="1" spans="1:303" s="138" customFormat="1" ht="18.5" x14ac:dyDescent="0.45">
      <c r="D1" s="139" t="s">
        <v>86</v>
      </c>
      <c r="E1" s="201" t="s">
        <v>87</v>
      </c>
      <c r="F1" s="202"/>
      <c r="G1" s="227" t="s">
        <v>89</v>
      </c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8"/>
      <c r="AF1" s="228"/>
      <c r="AG1" s="229"/>
      <c r="AH1" s="206" t="s">
        <v>177</v>
      </c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8"/>
      <c r="BI1" s="224" t="s">
        <v>178</v>
      </c>
      <c r="BJ1" s="225"/>
      <c r="BK1" s="225"/>
      <c r="BL1" s="225"/>
      <c r="BM1" s="225"/>
      <c r="BN1" s="225"/>
      <c r="BO1" s="225"/>
      <c r="BP1" s="225"/>
      <c r="BQ1" s="225"/>
      <c r="BR1" s="225"/>
      <c r="BS1" s="225"/>
      <c r="BT1" s="225"/>
      <c r="BU1" s="225"/>
      <c r="BV1" s="225"/>
      <c r="BW1" s="225"/>
      <c r="BX1" s="225"/>
      <c r="BY1" s="225"/>
      <c r="BZ1" s="225"/>
      <c r="CA1" s="225"/>
      <c r="CB1" s="225"/>
      <c r="CC1" s="225"/>
      <c r="CD1" s="225"/>
      <c r="CE1" s="225"/>
      <c r="CF1" s="225"/>
      <c r="CG1" s="225"/>
      <c r="CH1" s="225"/>
      <c r="CI1" s="226"/>
      <c r="CJ1" s="209" t="s">
        <v>179</v>
      </c>
      <c r="CK1" s="210"/>
      <c r="CL1" s="210"/>
      <c r="CM1" s="210"/>
      <c r="CN1" s="210"/>
      <c r="CO1" s="210"/>
      <c r="CP1" s="210"/>
      <c r="CQ1" s="210"/>
      <c r="CR1" s="210"/>
      <c r="CS1" s="210"/>
      <c r="CT1" s="210"/>
      <c r="CU1" s="210"/>
      <c r="CV1" s="210"/>
      <c r="CW1" s="210"/>
      <c r="CX1" s="210"/>
      <c r="CY1" s="210"/>
      <c r="CZ1" s="210"/>
      <c r="DA1" s="210"/>
      <c r="DB1" s="210"/>
      <c r="DC1" s="210"/>
      <c r="DD1" s="210"/>
      <c r="DE1" s="210"/>
      <c r="DF1" s="210"/>
      <c r="DG1" s="210"/>
      <c r="DH1" s="210"/>
      <c r="DI1" s="210"/>
      <c r="DJ1" s="211"/>
      <c r="DK1" s="203" t="s">
        <v>193</v>
      </c>
      <c r="DL1" s="204"/>
      <c r="DM1" s="204"/>
      <c r="DN1" s="204"/>
      <c r="DO1" s="204"/>
      <c r="DP1" s="204"/>
      <c r="DQ1" s="204"/>
      <c r="DR1" s="204"/>
      <c r="DS1" s="204"/>
      <c r="DT1" s="204"/>
      <c r="DU1" s="204"/>
      <c r="DV1" s="204"/>
      <c r="DW1" s="204"/>
      <c r="DX1" s="204"/>
      <c r="DY1" s="204"/>
      <c r="DZ1" s="204"/>
      <c r="EA1" s="204"/>
      <c r="EB1" s="204"/>
      <c r="EC1" s="204"/>
      <c r="ED1" s="204"/>
      <c r="EE1" s="204"/>
      <c r="EF1" s="204"/>
      <c r="EG1" s="204"/>
      <c r="EH1" s="204"/>
      <c r="EI1" s="204"/>
      <c r="EJ1" s="204"/>
      <c r="EK1" s="205"/>
      <c r="EL1" s="221" t="s">
        <v>154</v>
      </c>
      <c r="EM1" s="222"/>
      <c r="EN1" s="222"/>
      <c r="EO1" s="222"/>
      <c r="EP1" s="222"/>
      <c r="EQ1" s="222"/>
      <c r="ER1" s="222"/>
      <c r="ES1" s="222"/>
      <c r="ET1" s="222"/>
      <c r="EU1" s="222"/>
      <c r="EV1" s="222"/>
      <c r="EW1" s="222"/>
      <c r="EX1" s="222"/>
      <c r="EY1" s="222"/>
      <c r="EZ1" s="222"/>
      <c r="FA1" s="222"/>
      <c r="FB1" s="222"/>
      <c r="FC1" s="222"/>
      <c r="FD1" s="222"/>
      <c r="FE1" s="222"/>
      <c r="FF1" s="222"/>
      <c r="FG1" s="222"/>
      <c r="FH1" s="222"/>
      <c r="FI1" s="222"/>
      <c r="FJ1" s="222"/>
      <c r="FK1" s="222"/>
      <c r="FL1" s="223"/>
      <c r="FM1" s="215" t="s">
        <v>115</v>
      </c>
      <c r="FN1" s="216"/>
      <c r="FO1" s="216"/>
      <c r="FP1" s="216"/>
      <c r="FQ1" s="216"/>
      <c r="FR1" s="216"/>
      <c r="FS1" s="216"/>
      <c r="FT1" s="216"/>
      <c r="FU1" s="216"/>
      <c r="FV1" s="216"/>
      <c r="FW1" s="216"/>
      <c r="FX1" s="216"/>
      <c r="FY1" s="216"/>
      <c r="FZ1" s="216"/>
      <c r="GA1" s="216"/>
      <c r="GB1" s="216"/>
      <c r="GC1" s="216"/>
      <c r="GD1" s="216"/>
      <c r="GE1" s="216"/>
      <c r="GF1" s="216"/>
      <c r="GG1" s="216"/>
      <c r="GH1" s="216"/>
      <c r="GI1" s="216"/>
      <c r="GJ1" s="216"/>
      <c r="GK1" s="216"/>
      <c r="GL1" s="216"/>
      <c r="GM1" s="217"/>
      <c r="GN1" s="230" t="s">
        <v>155</v>
      </c>
      <c r="GO1" s="231"/>
      <c r="GP1" s="231"/>
      <c r="GQ1" s="231"/>
      <c r="GR1" s="231"/>
      <c r="GS1" s="231"/>
      <c r="GT1" s="231"/>
      <c r="GU1" s="231"/>
      <c r="GV1" s="231"/>
      <c r="GW1" s="231"/>
      <c r="GX1" s="231"/>
      <c r="GY1" s="231"/>
      <c r="GZ1" s="231"/>
      <c r="HA1" s="231"/>
      <c r="HB1" s="231"/>
      <c r="HC1" s="231"/>
      <c r="HD1" s="231"/>
      <c r="HE1" s="231"/>
      <c r="HF1" s="231"/>
      <c r="HG1" s="231"/>
      <c r="HH1" s="231"/>
      <c r="HI1" s="231"/>
      <c r="HJ1" s="231"/>
      <c r="HK1" s="231"/>
      <c r="HL1" s="231"/>
      <c r="HM1" s="231"/>
      <c r="HN1" s="232"/>
      <c r="HO1" s="218" t="s">
        <v>135</v>
      </c>
      <c r="HP1" s="219"/>
      <c r="HQ1" s="219"/>
      <c r="HR1" s="219"/>
      <c r="HS1" s="219"/>
      <c r="HT1" s="219"/>
      <c r="HU1" s="219"/>
      <c r="HV1" s="219"/>
      <c r="HW1" s="219"/>
      <c r="HX1" s="219"/>
      <c r="HY1" s="219"/>
      <c r="HZ1" s="219"/>
      <c r="IA1" s="219"/>
      <c r="IB1" s="219"/>
      <c r="IC1" s="219"/>
      <c r="ID1" s="219"/>
      <c r="IE1" s="219"/>
      <c r="IF1" s="219"/>
      <c r="IG1" s="219"/>
      <c r="IH1" s="219"/>
      <c r="II1" s="219"/>
      <c r="IJ1" s="219"/>
      <c r="IK1" s="219"/>
      <c r="IL1" s="219"/>
      <c r="IM1" s="219"/>
      <c r="IN1" s="219"/>
      <c r="IO1" s="220"/>
      <c r="IP1" s="212" t="s">
        <v>141</v>
      </c>
      <c r="IQ1" s="213"/>
      <c r="IR1" s="213"/>
      <c r="IS1" s="213"/>
      <c r="IT1" s="213"/>
      <c r="IU1" s="213"/>
      <c r="IV1" s="213"/>
      <c r="IW1" s="213"/>
      <c r="IX1" s="213"/>
      <c r="IY1" s="213"/>
      <c r="IZ1" s="213"/>
      <c r="JA1" s="213"/>
      <c r="JB1" s="213"/>
      <c r="JC1" s="213"/>
      <c r="JD1" s="213"/>
      <c r="JE1" s="213"/>
      <c r="JF1" s="213"/>
      <c r="JG1" s="213"/>
      <c r="JH1" s="213"/>
      <c r="JI1" s="213"/>
      <c r="JJ1" s="213"/>
      <c r="JK1" s="213"/>
      <c r="JL1" s="213"/>
      <c r="JM1" s="213"/>
      <c r="JN1" s="213"/>
      <c r="JO1" s="213"/>
      <c r="JP1" s="214"/>
      <c r="JQ1" s="193" t="s">
        <v>157</v>
      </c>
      <c r="JR1" s="194"/>
      <c r="JS1" s="194"/>
      <c r="JT1" s="194"/>
      <c r="JU1" s="194"/>
      <c r="JV1" s="194"/>
      <c r="JW1" s="194"/>
      <c r="JX1" s="194"/>
      <c r="JY1" s="194"/>
      <c r="JZ1" s="194"/>
      <c r="KA1" s="194"/>
      <c r="KB1" s="194"/>
      <c r="KC1" s="194"/>
      <c r="KD1" s="194"/>
      <c r="KE1" s="194"/>
      <c r="KF1" s="194"/>
      <c r="KG1" s="194"/>
      <c r="KH1" s="194"/>
      <c r="KI1" s="194"/>
      <c r="KJ1" s="194"/>
      <c r="KK1" s="194"/>
      <c r="KL1" s="194"/>
      <c r="KM1" s="194"/>
      <c r="KN1" s="194"/>
      <c r="KO1" s="194"/>
      <c r="KP1" s="194"/>
      <c r="KQ1" s="195"/>
    </row>
    <row r="2" spans="1:303" ht="15" thickBot="1" x14ac:dyDescent="0.4">
      <c r="E2" s="196" t="s">
        <v>88</v>
      </c>
      <c r="F2" s="200"/>
      <c r="G2" s="196" t="s">
        <v>88</v>
      </c>
      <c r="H2" s="197"/>
      <c r="I2" s="198"/>
      <c r="J2" s="199" t="s">
        <v>50</v>
      </c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8"/>
      <c r="V2" s="199" t="s">
        <v>51</v>
      </c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200"/>
      <c r="AH2" s="196" t="s">
        <v>88</v>
      </c>
      <c r="AI2" s="197"/>
      <c r="AJ2" s="198"/>
      <c r="AK2" s="199" t="s">
        <v>50</v>
      </c>
      <c r="AL2" s="197"/>
      <c r="AM2" s="197"/>
      <c r="AN2" s="197"/>
      <c r="AO2" s="197"/>
      <c r="AP2" s="197"/>
      <c r="AQ2" s="197"/>
      <c r="AR2" s="197"/>
      <c r="AS2" s="197"/>
      <c r="AT2" s="197"/>
      <c r="AU2" s="197"/>
      <c r="AV2" s="198"/>
      <c r="AW2" s="199" t="s">
        <v>51</v>
      </c>
      <c r="AX2" s="197"/>
      <c r="AY2" s="197"/>
      <c r="AZ2" s="197"/>
      <c r="BA2" s="197"/>
      <c r="BB2" s="197"/>
      <c r="BC2" s="197"/>
      <c r="BD2" s="197"/>
      <c r="BE2" s="197"/>
      <c r="BF2" s="197"/>
      <c r="BG2" s="197"/>
      <c r="BH2" s="200"/>
      <c r="BI2" s="196" t="s">
        <v>88</v>
      </c>
      <c r="BJ2" s="197"/>
      <c r="BK2" s="198"/>
      <c r="BL2" s="199" t="s">
        <v>50</v>
      </c>
      <c r="BM2" s="197"/>
      <c r="BN2" s="197"/>
      <c r="BO2" s="197"/>
      <c r="BP2" s="197"/>
      <c r="BQ2" s="197"/>
      <c r="BR2" s="197"/>
      <c r="BS2" s="197"/>
      <c r="BT2" s="197"/>
      <c r="BU2" s="197"/>
      <c r="BV2" s="197"/>
      <c r="BW2" s="198"/>
      <c r="BX2" s="199" t="s">
        <v>51</v>
      </c>
      <c r="BY2" s="197"/>
      <c r="BZ2" s="197"/>
      <c r="CA2" s="197"/>
      <c r="CB2" s="197"/>
      <c r="CC2" s="197"/>
      <c r="CD2" s="197"/>
      <c r="CE2" s="197"/>
      <c r="CF2" s="197"/>
      <c r="CG2" s="197"/>
      <c r="CH2" s="197"/>
      <c r="CI2" s="200"/>
      <c r="CJ2" s="196" t="s">
        <v>88</v>
      </c>
      <c r="CK2" s="197"/>
      <c r="CL2" s="198"/>
      <c r="CM2" s="199" t="s">
        <v>50</v>
      </c>
      <c r="CN2" s="197"/>
      <c r="CO2" s="197"/>
      <c r="CP2" s="197"/>
      <c r="CQ2" s="197"/>
      <c r="CR2" s="197"/>
      <c r="CS2" s="197"/>
      <c r="CT2" s="197"/>
      <c r="CU2" s="197"/>
      <c r="CV2" s="197"/>
      <c r="CW2" s="197"/>
      <c r="CX2" s="198"/>
      <c r="CY2" s="199" t="s">
        <v>51</v>
      </c>
      <c r="CZ2" s="197"/>
      <c r="DA2" s="197"/>
      <c r="DB2" s="197"/>
      <c r="DC2" s="197"/>
      <c r="DD2" s="197"/>
      <c r="DE2" s="197"/>
      <c r="DF2" s="197"/>
      <c r="DG2" s="197"/>
      <c r="DH2" s="197"/>
      <c r="DI2" s="197"/>
      <c r="DJ2" s="200"/>
      <c r="DK2" s="196" t="s">
        <v>88</v>
      </c>
      <c r="DL2" s="197"/>
      <c r="DM2" s="198"/>
      <c r="DN2" s="199" t="s">
        <v>50</v>
      </c>
      <c r="DO2" s="197"/>
      <c r="DP2" s="197"/>
      <c r="DQ2" s="197"/>
      <c r="DR2" s="197"/>
      <c r="DS2" s="197"/>
      <c r="DT2" s="197"/>
      <c r="DU2" s="197"/>
      <c r="DV2" s="197"/>
      <c r="DW2" s="197"/>
      <c r="DX2" s="197"/>
      <c r="DY2" s="198"/>
      <c r="DZ2" s="199" t="s">
        <v>51</v>
      </c>
      <c r="EA2" s="197"/>
      <c r="EB2" s="197"/>
      <c r="EC2" s="197"/>
      <c r="ED2" s="197"/>
      <c r="EE2" s="197"/>
      <c r="EF2" s="197"/>
      <c r="EG2" s="197"/>
      <c r="EH2" s="197"/>
      <c r="EI2" s="197"/>
      <c r="EJ2" s="197"/>
      <c r="EK2" s="200"/>
      <c r="EL2" s="196" t="s">
        <v>88</v>
      </c>
      <c r="EM2" s="197"/>
      <c r="EN2" s="198"/>
      <c r="EO2" s="199" t="s">
        <v>50</v>
      </c>
      <c r="EP2" s="197"/>
      <c r="EQ2" s="197"/>
      <c r="ER2" s="197"/>
      <c r="ES2" s="197"/>
      <c r="ET2" s="197"/>
      <c r="EU2" s="197"/>
      <c r="EV2" s="197"/>
      <c r="EW2" s="197"/>
      <c r="EX2" s="197"/>
      <c r="EY2" s="197"/>
      <c r="EZ2" s="198"/>
      <c r="FA2" s="199" t="s">
        <v>51</v>
      </c>
      <c r="FB2" s="197"/>
      <c r="FC2" s="197"/>
      <c r="FD2" s="197"/>
      <c r="FE2" s="197"/>
      <c r="FF2" s="197"/>
      <c r="FG2" s="197"/>
      <c r="FH2" s="197"/>
      <c r="FI2" s="197"/>
      <c r="FJ2" s="197"/>
      <c r="FK2" s="197"/>
      <c r="FL2" s="200"/>
      <c r="FM2" s="196" t="s">
        <v>88</v>
      </c>
      <c r="FN2" s="197"/>
      <c r="FO2" s="198"/>
      <c r="FP2" s="199" t="s">
        <v>50</v>
      </c>
      <c r="FQ2" s="197"/>
      <c r="FR2" s="197"/>
      <c r="FS2" s="197"/>
      <c r="FT2" s="197"/>
      <c r="FU2" s="197"/>
      <c r="FV2" s="197"/>
      <c r="FW2" s="197"/>
      <c r="FX2" s="197"/>
      <c r="FY2" s="197"/>
      <c r="FZ2" s="197"/>
      <c r="GA2" s="198"/>
      <c r="GB2" s="199" t="s">
        <v>51</v>
      </c>
      <c r="GC2" s="197"/>
      <c r="GD2" s="197"/>
      <c r="GE2" s="197"/>
      <c r="GF2" s="197"/>
      <c r="GG2" s="197"/>
      <c r="GH2" s="197"/>
      <c r="GI2" s="197"/>
      <c r="GJ2" s="197"/>
      <c r="GK2" s="197"/>
      <c r="GL2" s="197"/>
      <c r="GM2" s="200"/>
      <c r="GN2" s="196" t="s">
        <v>88</v>
      </c>
      <c r="GO2" s="197"/>
      <c r="GP2" s="198"/>
      <c r="GQ2" s="199" t="s">
        <v>50</v>
      </c>
      <c r="GR2" s="197"/>
      <c r="GS2" s="197"/>
      <c r="GT2" s="197"/>
      <c r="GU2" s="197"/>
      <c r="GV2" s="197"/>
      <c r="GW2" s="197"/>
      <c r="GX2" s="197"/>
      <c r="GY2" s="197"/>
      <c r="GZ2" s="197"/>
      <c r="HA2" s="197"/>
      <c r="HB2" s="198"/>
      <c r="HC2" s="199" t="s">
        <v>51</v>
      </c>
      <c r="HD2" s="197"/>
      <c r="HE2" s="197"/>
      <c r="HF2" s="197"/>
      <c r="HG2" s="197"/>
      <c r="HH2" s="197"/>
      <c r="HI2" s="197"/>
      <c r="HJ2" s="197"/>
      <c r="HK2" s="197"/>
      <c r="HL2" s="197"/>
      <c r="HM2" s="197"/>
      <c r="HN2" s="200"/>
      <c r="HO2" s="196" t="s">
        <v>88</v>
      </c>
      <c r="HP2" s="197"/>
      <c r="HQ2" s="198"/>
      <c r="HR2" s="199" t="s">
        <v>50</v>
      </c>
      <c r="HS2" s="197"/>
      <c r="HT2" s="197"/>
      <c r="HU2" s="197"/>
      <c r="HV2" s="197"/>
      <c r="HW2" s="197"/>
      <c r="HX2" s="197"/>
      <c r="HY2" s="197"/>
      <c r="HZ2" s="197"/>
      <c r="IA2" s="197"/>
      <c r="IB2" s="197"/>
      <c r="IC2" s="198"/>
      <c r="ID2" s="199" t="s">
        <v>51</v>
      </c>
      <c r="IE2" s="197"/>
      <c r="IF2" s="197"/>
      <c r="IG2" s="197"/>
      <c r="IH2" s="197"/>
      <c r="II2" s="197"/>
      <c r="IJ2" s="197"/>
      <c r="IK2" s="197"/>
      <c r="IL2" s="197"/>
      <c r="IM2" s="197"/>
      <c r="IN2" s="197"/>
      <c r="IO2" s="200"/>
      <c r="IP2" s="196" t="s">
        <v>88</v>
      </c>
      <c r="IQ2" s="197"/>
      <c r="IR2" s="198"/>
      <c r="IS2" s="199" t="s">
        <v>50</v>
      </c>
      <c r="IT2" s="197"/>
      <c r="IU2" s="197"/>
      <c r="IV2" s="197"/>
      <c r="IW2" s="197"/>
      <c r="IX2" s="197"/>
      <c r="IY2" s="197"/>
      <c r="IZ2" s="197"/>
      <c r="JA2" s="197"/>
      <c r="JB2" s="197"/>
      <c r="JC2" s="197"/>
      <c r="JD2" s="198"/>
      <c r="JE2" s="199" t="s">
        <v>51</v>
      </c>
      <c r="JF2" s="197"/>
      <c r="JG2" s="197"/>
      <c r="JH2" s="197"/>
      <c r="JI2" s="197"/>
      <c r="JJ2" s="197"/>
      <c r="JK2" s="197"/>
      <c r="JL2" s="197"/>
      <c r="JM2" s="197"/>
      <c r="JN2" s="197"/>
      <c r="JO2" s="197"/>
      <c r="JP2" s="200"/>
      <c r="JQ2" s="196" t="s">
        <v>88</v>
      </c>
      <c r="JR2" s="197"/>
      <c r="JS2" s="198"/>
      <c r="JT2" s="199" t="s">
        <v>50</v>
      </c>
      <c r="JU2" s="197"/>
      <c r="JV2" s="197"/>
      <c r="JW2" s="197"/>
      <c r="JX2" s="197"/>
      <c r="JY2" s="197"/>
      <c r="JZ2" s="197"/>
      <c r="KA2" s="197"/>
      <c r="KB2" s="197"/>
      <c r="KC2" s="197"/>
      <c r="KD2" s="197"/>
      <c r="KE2" s="198"/>
      <c r="KF2" s="199" t="s">
        <v>51</v>
      </c>
      <c r="KG2" s="197"/>
      <c r="KH2" s="197"/>
      <c r="KI2" s="197"/>
      <c r="KJ2" s="197"/>
      <c r="KK2" s="197"/>
      <c r="KL2" s="197"/>
      <c r="KM2" s="197"/>
      <c r="KN2" s="197"/>
      <c r="KO2" s="197"/>
      <c r="KP2" s="197"/>
      <c r="KQ2" s="200"/>
    </row>
    <row r="3" spans="1:303" ht="15" thickBot="1" x14ac:dyDescent="0.4">
      <c r="B3" s="84" t="s">
        <v>0</v>
      </c>
      <c r="C3" s="85" t="s">
        <v>1</v>
      </c>
      <c r="D3" s="52" t="s">
        <v>132</v>
      </c>
      <c r="E3" s="88" t="s">
        <v>2</v>
      </c>
      <c r="F3" s="89" t="s">
        <v>3</v>
      </c>
      <c r="G3" s="90" t="s">
        <v>2</v>
      </c>
      <c r="H3" s="91" t="s">
        <v>10</v>
      </c>
      <c r="I3" s="91" t="s">
        <v>3</v>
      </c>
      <c r="J3" s="91" t="s">
        <v>93</v>
      </c>
      <c r="K3" s="91" t="s">
        <v>8</v>
      </c>
      <c r="L3" s="91" t="s">
        <v>9</v>
      </c>
      <c r="M3" s="91" t="s">
        <v>10</v>
      </c>
      <c r="N3" s="91" t="s">
        <v>90</v>
      </c>
      <c r="O3" s="91" t="s">
        <v>91</v>
      </c>
      <c r="P3" s="91" t="s">
        <v>95</v>
      </c>
      <c r="Q3" s="91" t="s">
        <v>96</v>
      </c>
      <c r="R3" s="91" t="s">
        <v>97</v>
      </c>
      <c r="S3" s="91" t="s">
        <v>98</v>
      </c>
      <c r="T3" s="91" t="s">
        <v>99</v>
      </c>
      <c r="U3" s="91" t="s">
        <v>100</v>
      </c>
      <c r="V3" s="91" t="s">
        <v>94</v>
      </c>
      <c r="W3" s="91" t="s">
        <v>8</v>
      </c>
      <c r="X3" s="91" t="s">
        <v>9</v>
      </c>
      <c r="Y3" s="91" t="s">
        <v>10</v>
      </c>
      <c r="Z3" s="91" t="s">
        <v>90</v>
      </c>
      <c r="AA3" s="91" t="s">
        <v>91</v>
      </c>
      <c r="AB3" s="91" t="s">
        <v>95</v>
      </c>
      <c r="AC3" s="91" t="s">
        <v>96</v>
      </c>
      <c r="AD3" s="91" t="s">
        <v>97</v>
      </c>
      <c r="AE3" s="91" t="s">
        <v>98</v>
      </c>
      <c r="AF3" s="91" t="s">
        <v>99</v>
      </c>
      <c r="AG3" s="92" t="s">
        <v>100</v>
      </c>
      <c r="AH3" s="90" t="s">
        <v>2</v>
      </c>
      <c r="AI3" s="91" t="s">
        <v>10</v>
      </c>
      <c r="AJ3" s="91" t="s">
        <v>3</v>
      </c>
      <c r="AK3" s="91" t="s">
        <v>93</v>
      </c>
      <c r="AL3" s="91" t="s">
        <v>8</v>
      </c>
      <c r="AM3" s="91" t="s">
        <v>9</v>
      </c>
      <c r="AN3" s="91" t="s">
        <v>10</v>
      </c>
      <c r="AO3" s="91" t="s">
        <v>90</v>
      </c>
      <c r="AP3" s="91" t="s">
        <v>91</v>
      </c>
      <c r="AQ3" s="91" t="s">
        <v>95</v>
      </c>
      <c r="AR3" s="91" t="s">
        <v>96</v>
      </c>
      <c r="AS3" s="91" t="s">
        <v>97</v>
      </c>
      <c r="AT3" s="91" t="s">
        <v>98</v>
      </c>
      <c r="AU3" s="91" t="s">
        <v>99</v>
      </c>
      <c r="AV3" s="91" t="s">
        <v>100</v>
      </c>
      <c r="AW3" s="91" t="s">
        <v>94</v>
      </c>
      <c r="AX3" s="91" t="s">
        <v>8</v>
      </c>
      <c r="AY3" s="91" t="s">
        <v>9</v>
      </c>
      <c r="AZ3" s="91" t="s">
        <v>10</v>
      </c>
      <c r="BA3" s="91" t="s">
        <v>90</v>
      </c>
      <c r="BB3" s="91" t="s">
        <v>91</v>
      </c>
      <c r="BC3" s="91" t="s">
        <v>95</v>
      </c>
      <c r="BD3" s="91" t="s">
        <v>96</v>
      </c>
      <c r="BE3" s="91" t="s">
        <v>97</v>
      </c>
      <c r="BF3" s="91" t="s">
        <v>98</v>
      </c>
      <c r="BG3" s="91" t="s">
        <v>99</v>
      </c>
      <c r="BH3" s="92" t="s">
        <v>100</v>
      </c>
      <c r="BI3" s="90" t="s">
        <v>2</v>
      </c>
      <c r="BJ3" s="91" t="s">
        <v>10</v>
      </c>
      <c r="BK3" s="91" t="s">
        <v>3</v>
      </c>
      <c r="BL3" s="91" t="s">
        <v>93</v>
      </c>
      <c r="BM3" s="91" t="s">
        <v>8</v>
      </c>
      <c r="BN3" s="91" t="s">
        <v>9</v>
      </c>
      <c r="BO3" s="91" t="s">
        <v>10</v>
      </c>
      <c r="BP3" s="91" t="s">
        <v>90</v>
      </c>
      <c r="BQ3" s="91" t="s">
        <v>91</v>
      </c>
      <c r="BR3" s="91" t="s">
        <v>95</v>
      </c>
      <c r="BS3" s="91" t="s">
        <v>96</v>
      </c>
      <c r="BT3" s="91" t="s">
        <v>97</v>
      </c>
      <c r="BU3" s="91" t="s">
        <v>98</v>
      </c>
      <c r="BV3" s="91" t="s">
        <v>99</v>
      </c>
      <c r="BW3" s="91" t="s">
        <v>100</v>
      </c>
      <c r="BX3" s="91" t="s">
        <v>94</v>
      </c>
      <c r="BY3" s="91" t="s">
        <v>8</v>
      </c>
      <c r="BZ3" s="91" t="s">
        <v>9</v>
      </c>
      <c r="CA3" s="91" t="s">
        <v>10</v>
      </c>
      <c r="CB3" s="91" t="s">
        <v>90</v>
      </c>
      <c r="CC3" s="91" t="s">
        <v>91</v>
      </c>
      <c r="CD3" s="91" t="s">
        <v>95</v>
      </c>
      <c r="CE3" s="91" t="s">
        <v>96</v>
      </c>
      <c r="CF3" s="91" t="s">
        <v>97</v>
      </c>
      <c r="CG3" s="91" t="s">
        <v>98</v>
      </c>
      <c r="CH3" s="91" t="s">
        <v>99</v>
      </c>
      <c r="CI3" s="92" t="s">
        <v>100</v>
      </c>
      <c r="CJ3" s="90" t="s">
        <v>2</v>
      </c>
      <c r="CK3" s="91" t="s">
        <v>10</v>
      </c>
      <c r="CL3" s="91" t="s">
        <v>3</v>
      </c>
      <c r="CM3" s="91" t="s">
        <v>93</v>
      </c>
      <c r="CN3" s="91" t="s">
        <v>8</v>
      </c>
      <c r="CO3" s="91" t="s">
        <v>9</v>
      </c>
      <c r="CP3" s="91" t="s">
        <v>10</v>
      </c>
      <c r="CQ3" s="91" t="s">
        <v>90</v>
      </c>
      <c r="CR3" s="91" t="s">
        <v>91</v>
      </c>
      <c r="CS3" s="91" t="s">
        <v>95</v>
      </c>
      <c r="CT3" s="91" t="s">
        <v>96</v>
      </c>
      <c r="CU3" s="91" t="s">
        <v>97</v>
      </c>
      <c r="CV3" s="91" t="s">
        <v>98</v>
      </c>
      <c r="CW3" s="91" t="s">
        <v>99</v>
      </c>
      <c r="CX3" s="91" t="s">
        <v>100</v>
      </c>
      <c r="CY3" s="91" t="s">
        <v>94</v>
      </c>
      <c r="CZ3" s="91" t="s">
        <v>8</v>
      </c>
      <c r="DA3" s="91" t="s">
        <v>9</v>
      </c>
      <c r="DB3" s="91" t="s">
        <v>10</v>
      </c>
      <c r="DC3" s="91" t="s">
        <v>90</v>
      </c>
      <c r="DD3" s="91" t="s">
        <v>91</v>
      </c>
      <c r="DE3" s="91" t="s">
        <v>95</v>
      </c>
      <c r="DF3" s="91" t="s">
        <v>96</v>
      </c>
      <c r="DG3" s="91" t="s">
        <v>97</v>
      </c>
      <c r="DH3" s="91" t="s">
        <v>98</v>
      </c>
      <c r="DI3" s="91" t="s">
        <v>99</v>
      </c>
      <c r="DJ3" s="92" t="s">
        <v>100</v>
      </c>
      <c r="DK3" s="90" t="s">
        <v>2</v>
      </c>
      <c r="DL3" s="91" t="s">
        <v>10</v>
      </c>
      <c r="DM3" s="91" t="s">
        <v>3</v>
      </c>
      <c r="DN3" s="91" t="s">
        <v>93</v>
      </c>
      <c r="DO3" s="91" t="s">
        <v>8</v>
      </c>
      <c r="DP3" s="91" t="s">
        <v>9</v>
      </c>
      <c r="DQ3" s="91" t="s">
        <v>10</v>
      </c>
      <c r="DR3" s="91" t="s">
        <v>90</v>
      </c>
      <c r="DS3" s="91" t="s">
        <v>91</v>
      </c>
      <c r="DT3" s="91" t="s">
        <v>95</v>
      </c>
      <c r="DU3" s="91" t="s">
        <v>96</v>
      </c>
      <c r="DV3" s="91" t="s">
        <v>97</v>
      </c>
      <c r="DW3" s="91" t="s">
        <v>98</v>
      </c>
      <c r="DX3" s="91" t="s">
        <v>99</v>
      </c>
      <c r="DY3" s="91" t="s">
        <v>100</v>
      </c>
      <c r="DZ3" s="91" t="s">
        <v>94</v>
      </c>
      <c r="EA3" s="91" t="s">
        <v>8</v>
      </c>
      <c r="EB3" s="91" t="s">
        <v>9</v>
      </c>
      <c r="EC3" s="91" t="s">
        <v>10</v>
      </c>
      <c r="ED3" s="91" t="s">
        <v>90</v>
      </c>
      <c r="EE3" s="91" t="s">
        <v>91</v>
      </c>
      <c r="EF3" s="91" t="s">
        <v>95</v>
      </c>
      <c r="EG3" s="91" t="s">
        <v>96</v>
      </c>
      <c r="EH3" s="91" t="s">
        <v>97</v>
      </c>
      <c r="EI3" s="91" t="s">
        <v>98</v>
      </c>
      <c r="EJ3" s="91" t="s">
        <v>99</v>
      </c>
      <c r="EK3" s="92" t="s">
        <v>100</v>
      </c>
      <c r="EL3" s="90" t="s">
        <v>2</v>
      </c>
      <c r="EM3" s="91" t="s">
        <v>10</v>
      </c>
      <c r="EN3" s="91" t="s">
        <v>3</v>
      </c>
      <c r="EO3" s="91" t="s">
        <v>93</v>
      </c>
      <c r="EP3" s="91" t="s">
        <v>8</v>
      </c>
      <c r="EQ3" s="91" t="s">
        <v>9</v>
      </c>
      <c r="ER3" s="91" t="s">
        <v>10</v>
      </c>
      <c r="ES3" s="91" t="s">
        <v>90</v>
      </c>
      <c r="ET3" s="91" t="s">
        <v>91</v>
      </c>
      <c r="EU3" s="91" t="s">
        <v>95</v>
      </c>
      <c r="EV3" s="91" t="s">
        <v>96</v>
      </c>
      <c r="EW3" s="91" t="s">
        <v>97</v>
      </c>
      <c r="EX3" s="91" t="s">
        <v>98</v>
      </c>
      <c r="EY3" s="91" t="s">
        <v>99</v>
      </c>
      <c r="EZ3" s="91" t="s">
        <v>100</v>
      </c>
      <c r="FA3" s="91" t="s">
        <v>94</v>
      </c>
      <c r="FB3" s="91" t="s">
        <v>8</v>
      </c>
      <c r="FC3" s="91" t="s">
        <v>9</v>
      </c>
      <c r="FD3" s="91" t="s">
        <v>10</v>
      </c>
      <c r="FE3" s="91" t="s">
        <v>90</v>
      </c>
      <c r="FF3" s="91" t="s">
        <v>91</v>
      </c>
      <c r="FG3" s="91" t="s">
        <v>95</v>
      </c>
      <c r="FH3" s="91" t="s">
        <v>96</v>
      </c>
      <c r="FI3" s="91" t="s">
        <v>97</v>
      </c>
      <c r="FJ3" s="91" t="s">
        <v>98</v>
      </c>
      <c r="FK3" s="91" t="s">
        <v>99</v>
      </c>
      <c r="FL3" s="92" t="s">
        <v>100</v>
      </c>
      <c r="FM3" s="90" t="s">
        <v>2</v>
      </c>
      <c r="FN3" s="91" t="s">
        <v>10</v>
      </c>
      <c r="FO3" s="91" t="s">
        <v>3</v>
      </c>
      <c r="FP3" s="91" t="s">
        <v>93</v>
      </c>
      <c r="FQ3" s="91" t="s">
        <v>8</v>
      </c>
      <c r="FR3" s="91" t="s">
        <v>9</v>
      </c>
      <c r="FS3" s="91" t="s">
        <v>10</v>
      </c>
      <c r="FT3" s="91" t="s">
        <v>90</v>
      </c>
      <c r="FU3" s="91" t="s">
        <v>91</v>
      </c>
      <c r="FV3" s="91" t="s">
        <v>95</v>
      </c>
      <c r="FW3" s="91" t="s">
        <v>96</v>
      </c>
      <c r="FX3" s="91" t="s">
        <v>97</v>
      </c>
      <c r="FY3" s="91" t="s">
        <v>98</v>
      </c>
      <c r="FZ3" s="91" t="s">
        <v>99</v>
      </c>
      <c r="GA3" s="91" t="s">
        <v>100</v>
      </c>
      <c r="GB3" s="91" t="s">
        <v>94</v>
      </c>
      <c r="GC3" s="91" t="s">
        <v>8</v>
      </c>
      <c r="GD3" s="91" t="s">
        <v>9</v>
      </c>
      <c r="GE3" s="91" t="s">
        <v>10</v>
      </c>
      <c r="GF3" s="91" t="s">
        <v>90</v>
      </c>
      <c r="GG3" s="91" t="s">
        <v>91</v>
      </c>
      <c r="GH3" s="91" t="s">
        <v>95</v>
      </c>
      <c r="GI3" s="91" t="s">
        <v>96</v>
      </c>
      <c r="GJ3" s="91" t="s">
        <v>97</v>
      </c>
      <c r="GK3" s="91" t="s">
        <v>98</v>
      </c>
      <c r="GL3" s="91" t="s">
        <v>99</v>
      </c>
      <c r="GM3" s="92" t="s">
        <v>100</v>
      </c>
      <c r="GN3" s="90" t="s">
        <v>2</v>
      </c>
      <c r="GO3" s="91" t="s">
        <v>10</v>
      </c>
      <c r="GP3" s="91" t="s">
        <v>3</v>
      </c>
      <c r="GQ3" s="91" t="s">
        <v>93</v>
      </c>
      <c r="GR3" s="91" t="s">
        <v>8</v>
      </c>
      <c r="GS3" s="91" t="s">
        <v>9</v>
      </c>
      <c r="GT3" s="91" t="s">
        <v>10</v>
      </c>
      <c r="GU3" s="91" t="s">
        <v>90</v>
      </c>
      <c r="GV3" s="91" t="s">
        <v>91</v>
      </c>
      <c r="GW3" s="91" t="s">
        <v>95</v>
      </c>
      <c r="GX3" s="91" t="s">
        <v>96</v>
      </c>
      <c r="GY3" s="91" t="s">
        <v>97</v>
      </c>
      <c r="GZ3" s="91" t="s">
        <v>98</v>
      </c>
      <c r="HA3" s="91" t="s">
        <v>99</v>
      </c>
      <c r="HB3" s="91" t="s">
        <v>100</v>
      </c>
      <c r="HC3" s="91" t="s">
        <v>94</v>
      </c>
      <c r="HD3" s="91" t="s">
        <v>8</v>
      </c>
      <c r="HE3" s="91" t="s">
        <v>9</v>
      </c>
      <c r="HF3" s="91" t="s">
        <v>10</v>
      </c>
      <c r="HG3" s="91" t="s">
        <v>90</v>
      </c>
      <c r="HH3" s="91" t="s">
        <v>91</v>
      </c>
      <c r="HI3" s="91" t="s">
        <v>95</v>
      </c>
      <c r="HJ3" s="91" t="s">
        <v>96</v>
      </c>
      <c r="HK3" s="91" t="s">
        <v>97</v>
      </c>
      <c r="HL3" s="91" t="s">
        <v>98</v>
      </c>
      <c r="HM3" s="91" t="s">
        <v>99</v>
      </c>
      <c r="HN3" s="92" t="s">
        <v>100</v>
      </c>
      <c r="HO3" s="90" t="s">
        <v>2</v>
      </c>
      <c r="HP3" s="91" t="s">
        <v>10</v>
      </c>
      <c r="HQ3" s="91" t="s">
        <v>3</v>
      </c>
      <c r="HR3" s="91" t="s">
        <v>93</v>
      </c>
      <c r="HS3" s="91" t="s">
        <v>8</v>
      </c>
      <c r="HT3" s="91" t="s">
        <v>9</v>
      </c>
      <c r="HU3" s="91" t="s">
        <v>10</v>
      </c>
      <c r="HV3" s="91" t="s">
        <v>90</v>
      </c>
      <c r="HW3" s="91" t="s">
        <v>91</v>
      </c>
      <c r="HX3" s="91" t="s">
        <v>95</v>
      </c>
      <c r="HY3" s="91" t="s">
        <v>96</v>
      </c>
      <c r="HZ3" s="91" t="s">
        <v>97</v>
      </c>
      <c r="IA3" s="91" t="s">
        <v>98</v>
      </c>
      <c r="IB3" s="91" t="s">
        <v>99</v>
      </c>
      <c r="IC3" s="91" t="s">
        <v>100</v>
      </c>
      <c r="ID3" s="91" t="s">
        <v>94</v>
      </c>
      <c r="IE3" s="91" t="s">
        <v>8</v>
      </c>
      <c r="IF3" s="91" t="s">
        <v>9</v>
      </c>
      <c r="IG3" s="91" t="s">
        <v>10</v>
      </c>
      <c r="IH3" s="91" t="s">
        <v>90</v>
      </c>
      <c r="II3" s="91" t="s">
        <v>91</v>
      </c>
      <c r="IJ3" s="91" t="s">
        <v>95</v>
      </c>
      <c r="IK3" s="91" t="s">
        <v>96</v>
      </c>
      <c r="IL3" s="91" t="s">
        <v>97</v>
      </c>
      <c r="IM3" s="91" t="s">
        <v>98</v>
      </c>
      <c r="IN3" s="91" t="s">
        <v>99</v>
      </c>
      <c r="IO3" s="92" t="s">
        <v>100</v>
      </c>
      <c r="IP3" s="90" t="s">
        <v>2</v>
      </c>
      <c r="IQ3" s="91" t="s">
        <v>10</v>
      </c>
      <c r="IR3" s="91" t="s">
        <v>3</v>
      </c>
      <c r="IS3" s="91" t="s">
        <v>93</v>
      </c>
      <c r="IT3" s="91" t="s">
        <v>8</v>
      </c>
      <c r="IU3" s="91" t="s">
        <v>9</v>
      </c>
      <c r="IV3" s="91" t="s">
        <v>10</v>
      </c>
      <c r="IW3" s="91" t="s">
        <v>90</v>
      </c>
      <c r="IX3" s="91" t="s">
        <v>91</v>
      </c>
      <c r="IY3" s="91" t="s">
        <v>95</v>
      </c>
      <c r="IZ3" s="91" t="s">
        <v>96</v>
      </c>
      <c r="JA3" s="91" t="s">
        <v>97</v>
      </c>
      <c r="JB3" s="91" t="s">
        <v>98</v>
      </c>
      <c r="JC3" s="91" t="s">
        <v>99</v>
      </c>
      <c r="JD3" s="91" t="s">
        <v>100</v>
      </c>
      <c r="JE3" s="91" t="s">
        <v>94</v>
      </c>
      <c r="JF3" s="91" t="s">
        <v>8</v>
      </c>
      <c r="JG3" s="91" t="s">
        <v>9</v>
      </c>
      <c r="JH3" s="91" t="s">
        <v>10</v>
      </c>
      <c r="JI3" s="91" t="s">
        <v>90</v>
      </c>
      <c r="JJ3" s="91" t="s">
        <v>91</v>
      </c>
      <c r="JK3" s="91" t="s">
        <v>95</v>
      </c>
      <c r="JL3" s="91" t="s">
        <v>96</v>
      </c>
      <c r="JM3" s="91" t="s">
        <v>97</v>
      </c>
      <c r="JN3" s="91" t="s">
        <v>98</v>
      </c>
      <c r="JO3" s="91" t="s">
        <v>99</v>
      </c>
      <c r="JP3" s="92" t="s">
        <v>100</v>
      </c>
      <c r="JQ3" s="90" t="s">
        <v>2</v>
      </c>
      <c r="JR3" s="91" t="s">
        <v>10</v>
      </c>
      <c r="JS3" s="91" t="s">
        <v>3</v>
      </c>
      <c r="JT3" s="91" t="s">
        <v>93</v>
      </c>
      <c r="JU3" s="91" t="s">
        <v>8</v>
      </c>
      <c r="JV3" s="91" t="s">
        <v>9</v>
      </c>
      <c r="JW3" s="91" t="s">
        <v>10</v>
      </c>
      <c r="JX3" s="91" t="s">
        <v>90</v>
      </c>
      <c r="JY3" s="91" t="s">
        <v>91</v>
      </c>
      <c r="JZ3" s="91" t="s">
        <v>95</v>
      </c>
      <c r="KA3" s="91" t="s">
        <v>96</v>
      </c>
      <c r="KB3" s="91" t="s">
        <v>97</v>
      </c>
      <c r="KC3" s="91" t="s">
        <v>98</v>
      </c>
      <c r="KD3" s="91" t="s">
        <v>99</v>
      </c>
      <c r="KE3" s="91" t="s">
        <v>100</v>
      </c>
      <c r="KF3" s="91" t="s">
        <v>94</v>
      </c>
      <c r="KG3" s="91" t="s">
        <v>8</v>
      </c>
      <c r="KH3" s="91" t="s">
        <v>9</v>
      </c>
      <c r="KI3" s="91" t="s">
        <v>10</v>
      </c>
      <c r="KJ3" s="91" t="s">
        <v>90</v>
      </c>
      <c r="KK3" s="91" t="s">
        <v>91</v>
      </c>
      <c r="KL3" s="91" t="s">
        <v>95</v>
      </c>
      <c r="KM3" s="91" t="s">
        <v>96</v>
      </c>
      <c r="KN3" s="91" t="s">
        <v>97</v>
      </c>
      <c r="KO3" s="91" t="s">
        <v>98</v>
      </c>
      <c r="KP3" s="91" t="s">
        <v>99</v>
      </c>
      <c r="KQ3" s="92" t="s">
        <v>100</v>
      </c>
    </row>
    <row r="4" spans="1:303" x14ac:dyDescent="0.35">
      <c r="A4" s="83" t="str">
        <f>Neu!B4</f>
        <v>B63ls</v>
      </c>
      <c r="B4" s="146" t="s">
        <v>183</v>
      </c>
      <c r="C4" s="137"/>
      <c r="D4" s="140">
        <v>3.0000000000000001E-3</v>
      </c>
      <c r="E4" s="87">
        <v>2.5000000000000001E-2</v>
      </c>
      <c r="F4" s="17">
        <v>-60</v>
      </c>
      <c r="G4" s="87">
        <v>7.5</v>
      </c>
      <c r="H4" s="16">
        <v>1</v>
      </c>
      <c r="I4" s="16">
        <v>50</v>
      </c>
      <c r="J4" s="16">
        <v>0</v>
      </c>
      <c r="K4" s="16">
        <v>-42.1</v>
      </c>
      <c r="L4" s="150">
        <v>4.8</v>
      </c>
      <c r="M4" s="16">
        <v>3</v>
      </c>
      <c r="N4" s="148">
        <v>1.5E-3</v>
      </c>
      <c r="O4" s="148">
        <v>4.4999999999999999E-4</v>
      </c>
      <c r="P4" s="16">
        <v>-32.700000000000003</v>
      </c>
      <c r="Q4" s="16">
        <v>1.85</v>
      </c>
      <c r="R4" s="16">
        <v>1</v>
      </c>
      <c r="S4" s="16"/>
      <c r="T4" s="16"/>
      <c r="U4" s="16"/>
      <c r="V4" s="16">
        <v>0</v>
      </c>
      <c r="W4" s="62">
        <v>-51.5</v>
      </c>
      <c r="X4" s="16">
        <v>9.1999999999999993</v>
      </c>
      <c r="Y4" s="16">
        <v>1</v>
      </c>
      <c r="Z4" s="16">
        <v>0.01</v>
      </c>
      <c r="AA4" s="16">
        <v>2.3999999999999998E-3</v>
      </c>
      <c r="AB4" s="16">
        <v>-39.200000000000003</v>
      </c>
      <c r="AC4" s="16">
        <v>3.5</v>
      </c>
      <c r="AD4" s="16">
        <v>1</v>
      </c>
      <c r="AE4" s="16"/>
      <c r="AF4" s="16"/>
      <c r="AG4" s="17"/>
      <c r="AH4" s="87">
        <v>50</v>
      </c>
      <c r="AI4" s="150">
        <v>4</v>
      </c>
      <c r="AJ4" s="16">
        <v>-70</v>
      </c>
      <c r="AK4" s="16">
        <v>0</v>
      </c>
      <c r="AL4" s="16">
        <v>-26.4</v>
      </c>
      <c r="AM4" s="150">
        <v>8.8000000000000007</v>
      </c>
      <c r="AN4" s="150">
        <v>1</v>
      </c>
      <c r="AO4" s="16">
        <v>2.7E-2</v>
      </c>
      <c r="AP4" s="16">
        <v>2.16E-3</v>
      </c>
      <c r="AQ4" s="16">
        <v>-24</v>
      </c>
      <c r="AR4" s="16">
        <v>11.7</v>
      </c>
      <c r="AS4" s="16">
        <v>1</v>
      </c>
      <c r="AT4" s="16"/>
      <c r="AU4" s="16"/>
      <c r="AV4" s="16"/>
      <c r="AW4" s="16">
        <v>0.15</v>
      </c>
      <c r="AX4" s="16">
        <v>-16.399999999999999</v>
      </c>
      <c r="AY4" s="16">
        <v>1.5</v>
      </c>
      <c r="AZ4" s="16">
        <v>2</v>
      </c>
      <c r="BA4" s="16">
        <v>0.2</v>
      </c>
      <c r="BB4" s="16">
        <v>0.02</v>
      </c>
      <c r="BC4" s="16">
        <v>-24</v>
      </c>
      <c r="BD4" s="16">
        <v>8.3000000000000007</v>
      </c>
      <c r="BE4" s="16">
        <v>1</v>
      </c>
      <c r="BF4" s="16"/>
      <c r="BG4" s="16"/>
      <c r="BH4" s="17"/>
      <c r="BI4" s="87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7"/>
      <c r="CJ4" s="87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7"/>
      <c r="DK4" s="87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7"/>
      <c r="EL4" s="87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7"/>
      <c r="FM4" s="87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7"/>
      <c r="GN4" s="87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7"/>
      <c r="HO4" s="87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7"/>
      <c r="IP4" s="87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7"/>
      <c r="JQ4" s="87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7"/>
    </row>
    <row r="5" spans="1:303" x14ac:dyDescent="0.35">
      <c r="A5" s="83" t="str">
        <f>Neu!B5</f>
        <v>B63la</v>
      </c>
      <c r="B5" s="147" t="s">
        <v>166</v>
      </c>
      <c r="C5" s="137"/>
      <c r="D5" s="140">
        <v>3.0000000000000001E-3</v>
      </c>
      <c r="E5" s="87">
        <v>1.1999999999999999E-3</v>
      </c>
      <c r="F5" s="17">
        <v>-60</v>
      </c>
      <c r="G5" s="41">
        <v>7.5</v>
      </c>
      <c r="H5" s="62">
        <v>1</v>
      </c>
      <c r="I5" s="62">
        <v>50</v>
      </c>
      <c r="J5" s="62">
        <v>0</v>
      </c>
      <c r="K5" s="16">
        <v>-42.1</v>
      </c>
      <c r="L5" s="149">
        <v>4.8</v>
      </c>
      <c r="M5" s="62">
        <v>3</v>
      </c>
      <c r="N5" s="62">
        <v>1.5E-3</v>
      </c>
      <c r="O5" s="148">
        <v>4.4999999999999999E-4</v>
      </c>
      <c r="P5" s="16">
        <v>-32.700000000000003</v>
      </c>
      <c r="Q5" s="16">
        <v>1.85</v>
      </c>
      <c r="R5" s="16">
        <v>1</v>
      </c>
      <c r="S5" s="16"/>
      <c r="T5" s="16"/>
      <c r="U5" s="16"/>
      <c r="V5" s="16">
        <v>0</v>
      </c>
      <c r="W5" s="62">
        <v>-51.5</v>
      </c>
      <c r="X5" s="16">
        <v>9.1999999999999993</v>
      </c>
      <c r="Y5" s="16">
        <v>1</v>
      </c>
      <c r="Z5" s="16">
        <v>0.01</v>
      </c>
      <c r="AA5" s="16">
        <v>2.3999999999999998E-3</v>
      </c>
      <c r="AB5" s="16">
        <v>-39.200000000000003</v>
      </c>
      <c r="AC5" s="16">
        <v>3.5</v>
      </c>
      <c r="AD5" s="16">
        <v>1</v>
      </c>
      <c r="AE5" s="62"/>
      <c r="AF5" s="62"/>
      <c r="AG5" s="46"/>
      <c r="AH5" s="62">
        <v>60</v>
      </c>
      <c r="AI5" s="149">
        <v>4</v>
      </c>
      <c r="AJ5" s="62">
        <v>-70</v>
      </c>
      <c r="AK5" s="62">
        <v>0</v>
      </c>
      <c r="AL5" s="62">
        <v>-26.4</v>
      </c>
      <c r="AM5" s="149">
        <v>8.8000000000000007</v>
      </c>
      <c r="AN5" s="149">
        <v>1</v>
      </c>
      <c r="AO5" s="62">
        <v>2.7E-2</v>
      </c>
      <c r="AP5" s="62">
        <v>2.16E-3</v>
      </c>
      <c r="AQ5" s="62">
        <v>-24</v>
      </c>
      <c r="AR5" s="62">
        <v>11.7</v>
      </c>
      <c r="AS5" s="62">
        <v>1</v>
      </c>
      <c r="AT5" s="62"/>
      <c r="AU5" s="62"/>
      <c r="AV5" s="62"/>
      <c r="AW5" s="62">
        <v>0.15</v>
      </c>
      <c r="AX5" s="62">
        <v>-16.399999999999999</v>
      </c>
      <c r="AY5" s="62">
        <v>1.5</v>
      </c>
      <c r="AZ5" s="62">
        <v>2</v>
      </c>
      <c r="BA5" s="62">
        <v>0.2</v>
      </c>
      <c r="BB5" s="62">
        <v>0.02</v>
      </c>
      <c r="BC5" s="62">
        <v>-24</v>
      </c>
      <c r="BD5" s="62">
        <v>8.3000000000000007</v>
      </c>
      <c r="BE5" s="62">
        <v>1</v>
      </c>
      <c r="BF5" s="62"/>
      <c r="BG5" s="62"/>
      <c r="BH5" s="62"/>
      <c r="BI5" s="175"/>
      <c r="BJ5" s="16"/>
      <c r="BK5" s="16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18"/>
      <c r="CJ5" s="41"/>
      <c r="CK5" s="62"/>
      <c r="CL5" s="62"/>
      <c r="CM5" s="62"/>
      <c r="CN5" s="62"/>
      <c r="CO5" s="62"/>
      <c r="CP5" s="62"/>
      <c r="CQ5" s="62"/>
      <c r="CR5" s="62"/>
      <c r="CS5" s="62"/>
      <c r="CT5" s="62"/>
      <c r="CU5" s="62"/>
      <c r="CV5" s="62"/>
      <c r="CW5" s="62"/>
      <c r="CX5" s="62"/>
      <c r="CY5" s="62"/>
      <c r="CZ5" s="62"/>
      <c r="DA5" s="62"/>
      <c r="DB5" s="62"/>
      <c r="DC5" s="62"/>
      <c r="DD5" s="62"/>
      <c r="DE5" s="62"/>
      <c r="DF5" s="62"/>
      <c r="DG5" s="62"/>
      <c r="DH5" s="62"/>
      <c r="DI5" s="62"/>
      <c r="DJ5" s="18"/>
      <c r="DK5" s="41"/>
      <c r="DL5" s="62"/>
      <c r="DM5" s="62"/>
      <c r="DN5" s="62"/>
      <c r="DO5" s="62"/>
      <c r="DP5" s="62"/>
      <c r="DQ5" s="62"/>
      <c r="DR5" s="62"/>
      <c r="DS5" s="62"/>
      <c r="DT5" s="62"/>
      <c r="DU5" s="62"/>
      <c r="DV5" s="62"/>
      <c r="DW5" s="62"/>
      <c r="DX5" s="62"/>
      <c r="DY5" s="62"/>
      <c r="DZ5" s="62"/>
      <c r="EA5" s="62"/>
      <c r="EB5" s="62"/>
      <c r="EC5" s="62"/>
      <c r="ED5" s="62"/>
      <c r="EE5" s="62"/>
      <c r="EF5" s="62"/>
      <c r="EG5" s="62"/>
      <c r="EH5" s="62"/>
      <c r="EI5" s="62"/>
      <c r="EJ5" s="62"/>
      <c r="EK5" s="18"/>
      <c r="EL5" s="87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7"/>
      <c r="FM5" s="41"/>
      <c r="FN5" s="62"/>
      <c r="FO5" s="62"/>
      <c r="FP5" s="62"/>
      <c r="FQ5" s="62"/>
      <c r="FR5" s="62"/>
      <c r="FS5" s="62"/>
      <c r="FT5" s="62"/>
      <c r="FU5" s="62"/>
      <c r="FV5" s="62"/>
      <c r="FW5" s="62"/>
      <c r="FX5" s="62"/>
      <c r="FY5" s="62"/>
      <c r="FZ5" s="62"/>
      <c r="GA5" s="62"/>
      <c r="GB5" s="62"/>
      <c r="GC5" s="62"/>
      <c r="GD5" s="62"/>
      <c r="GE5" s="62"/>
      <c r="GF5" s="62"/>
      <c r="GG5" s="62"/>
      <c r="GH5" s="62"/>
      <c r="GI5" s="62"/>
      <c r="GJ5" s="62"/>
      <c r="GK5" s="62"/>
      <c r="GL5" s="62"/>
      <c r="GM5" s="18"/>
      <c r="GN5" s="41"/>
      <c r="GO5" s="62"/>
      <c r="GP5" s="62"/>
      <c r="GQ5" s="62"/>
      <c r="GR5" s="62"/>
      <c r="GS5" s="62"/>
      <c r="GT5" s="62"/>
      <c r="GU5" s="62"/>
      <c r="GV5" s="62"/>
      <c r="GW5" s="62"/>
      <c r="GX5" s="62"/>
      <c r="GY5" s="62"/>
      <c r="GZ5" s="62"/>
      <c r="HA5" s="62"/>
      <c r="HB5" s="62"/>
      <c r="HC5" s="62"/>
      <c r="HD5" s="62"/>
      <c r="HE5" s="62"/>
      <c r="HF5" s="62"/>
      <c r="HG5" s="62"/>
      <c r="HH5" s="62"/>
      <c r="HI5" s="62"/>
      <c r="HJ5" s="62"/>
      <c r="HK5" s="62"/>
      <c r="HL5" s="62"/>
      <c r="HM5" s="62"/>
      <c r="HN5" s="18"/>
      <c r="HO5" s="41"/>
      <c r="HP5" s="62"/>
      <c r="HQ5" s="62"/>
      <c r="HR5" s="62"/>
      <c r="HS5" s="62"/>
      <c r="HT5" s="62"/>
      <c r="HU5" s="62"/>
      <c r="HV5" s="62"/>
      <c r="HW5" s="62"/>
      <c r="HX5" s="62"/>
      <c r="HY5" s="62"/>
      <c r="HZ5" s="62"/>
      <c r="IA5" s="62"/>
      <c r="IB5" s="62"/>
      <c r="IC5" s="62"/>
      <c r="ID5" s="62"/>
      <c r="IE5" s="62"/>
      <c r="IF5" s="62"/>
      <c r="IG5" s="62"/>
      <c r="IH5" s="62"/>
      <c r="II5" s="62"/>
      <c r="IJ5" s="62"/>
      <c r="IK5" s="62"/>
      <c r="IL5" s="62"/>
      <c r="IM5" s="62"/>
      <c r="IN5" s="62"/>
      <c r="IO5" s="18"/>
      <c r="IP5" s="41"/>
      <c r="IQ5" s="62"/>
      <c r="IR5" s="62"/>
      <c r="IS5" s="62"/>
      <c r="IT5" s="62"/>
      <c r="IU5" s="62"/>
      <c r="IV5" s="62"/>
      <c r="IW5" s="62"/>
      <c r="IX5" s="62"/>
      <c r="IY5" s="62"/>
      <c r="IZ5" s="62"/>
      <c r="JA5" s="62"/>
      <c r="JB5" s="62"/>
      <c r="JC5" s="62"/>
      <c r="JD5" s="62"/>
      <c r="JE5" s="62"/>
      <c r="JF5" s="62"/>
      <c r="JG5" s="62"/>
      <c r="JH5" s="62"/>
      <c r="JI5" s="62"/>
      <c r="JJ5" s="62"/>
      <c r="JK5" s="62"/>
      <c r="JL5" s="62"/>
      <c r="JM5" s="62"/>
      <c r="JN5" s="62"/>
      <c r="JO5" s="62"/>
      <c r="JP5" s="18"/>
      <c r="JQ5" s="41"/>
      <c r="JR5" s="62"/>
      <c r="JS5" s="62"/>
      <c r="JT5" s="62"/>
      <c r="JU5" s="62"/>
      <c r="JV5" s="62"/>
      <c r="JW5" s="62"/>
      <c r="JX5" s="62"/>
      <c r="JY5" s="62"/>
      <c r="JZ5" s="62"/>
      <c r="KA5" s="62"/>
      <c r="KB5" s="62"/>
      <c r="KC5" s="62"/>
      <c r="KD5" s="62"/>
      <c r="KE5" s="62"/>
      <c r="KF5" s="62"/>
      <c r="KG5" s="62"/>
      <c r="KH5" s="62"/>
      <c r="KI5" s="62"/>
      <c r="KJ5" s="62"/>
      <c r="KK5" s="62"/>
      <c r="KL5" s="62"/>
      <c r="KM5" s="62"/>
      <c r="KN5" s="62"/>
      <c r="KO5" s="62"/>
      <c r="KP5" s="62"/>
      <c r="KQ5" s="18"/>
    </row>
    <row r="6" spans="1:303" x14ac:dyDescent="0.35">
      <c r="A6" s="83" t="str">
        <f>Neu!B6</f>
        <v>B31rs</v>
      </c>
      <c r="B6" s="147" t="s">
        <v>169</v>
      </c>
      <c r="C6" s="137"/>
      <c r="D6" s="18">
        <v>1.0999999999999999E-2</v>
      </c>
      <c r="E6" s="41">
        <v>0.37</v>
      </c>
      <c r="F6" s="17">
        <v>-60</v>
      </c>
      <c r="G6" s="183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51"/>
      <c r="AF6" s="151"/>
      <c r="AG6" s="151"/>
      <c r="AH6" s="176">
        <v>9.5</v>
      </c>
      <c r="AI6" s="176">
        <v>1</v>
      </c>
      <c r="AJ6" s="176">
        <v>-85</v>
      </c>
      <c r="AK6" s="177">
        <v>0</v>
      </c>
      <c r="AL6" s="177">
        <v>-14</v>
      </c>
      <c r="AM6" s="177">
        <v>20</v>
      </c>
      <c r="AN6" s="177">
        <v>3</v>
      </c>
      <c r="AO6" s="176">
        <v>0.02</v>
      </c>
      <c r="AP6" s="176">
        <v>2.7500000000000002E-4</v>
      </c>
      <c r="AQ6" s="176">
        <v>-88</v>
      </c>
      <c r="AR6" s="176">
        <v>30</v>
      </c>
      <c r="AS6" s="176">
        <v>1</v>
      </c>
      <c r="AT6" s="176">
        <v>-50</v>
      </c>
      <c r="AU6" s="176">
        <v>-5</v>
      </c>
      <c r="AV6" s="176">
        <v>1</v>
      </c>
      <c r="AW6" s="176">
        <v>0</v>
      </c>
      <c r="AX6" s="176">
        <v>-30</v>
      </c>
      <c r="AY6" s="176">
        <v>11</v>
      </c>
      <c r="AZ6" s="176">
        <v>1</v>
      </c>
      <c r="BA6" s="176">
        <v>0.33</v>
      </c>
      <c r="BB6" s="176">
        <v>8.0000000000000002E-3</v>
      </c>
      <c r="BC6" s="176">
        <v>-80</v>
      </c>
      <c r="BD6" s="176">
        <v>70</v>
      </c>
      <c r="BE6" s="176">
        <v>1</v>
      </c>
      <c r="BF6" s="176">
        <v>-73</v>
      </c>
      <c r="BG6" s="176">
        <v>-9</v>
      </c>
      <c r="BH6" s="176">
        <v>1</v>
      </c>
      <c r="BI6" s="151">
        <v>15</v>
      </c>
      <c r="BJ6" s="151">
        <v>1</v>
      </c>
      <c r="BK6" s="151">
        <v>-70</v>
      </c>
      <c r="BL6" s="151">
        <v>0</v>
      </c>
      <c r="BM6" s="151">
        <v>6</v>
      </c>
      <c r="BN6" s="151">
        <v>14</v>
      </c>
      <c r="BO6" s="151">
        <v>1</v>
      </c>
      <c r="BP6" s="151">
        <v>1.4E-2</v>
      </c>
      <c r="BQ6" s="151">
        <v>3.0000000000000001E-3</v>
      </c>
      <c r="BR6" s="151">
        <v>20</v>
      </c>
      <c r="BS6" s="151">
        <v>7</v>
      </c>
      <c r="BT6" s="151">
        <v>1</v>
      </c>
      <c r="BU6" s="151">
        <v>-15</v>
      </c>
      <c r="BV6" s="151">
        <v>-6</v>
      </c>
      <c r="BW6" s="151">
        <v>1</v>
      </c>
      <c r="BX6" s="151">
        <v>0</v>
      </c>
      <c r="BY6" s="151">
        <v>-31</v>
      </c>
      <c r="BZ6" s="151">
        <v>7</v>
      </c>
      <c r="CA6" s="151">
        <v>1</v>
      </c>
      <c r="CB6" s="151">
        <v>0.875</v>
      </c>
      <c r="CC6" s="151">
        <v>0.11</v>
      </c>
      <c r="CD6" s="151">
        <v>-15</v>
      </c>
      <c r="CE6" s="151">
        <v>6</v>
      </c>
      <c r="CF6" s="151">
        <v>1</v>
      </c>
      <c r="CG6" s="151">
        <v>-73</v>
      </c>
      <c r="CH6" s="151">
        <v>-9</v>
      </c>
      <c r="CI6" s="151">
        <v>1</v>
      </c>
      <c r="CJ6" s="151">
        <v>5</v>
      </c>
      <c r="CK6" s="151">
        <v>1</v>
      </c>
      <c r="CL6" s="151">
        <v>-35</v>
      </c>
      <c r="CM6" s="151">
        <v>0</v>
      </c>
      <c r="CN6" s="151">
        <v>19</v>
      </c>
      <c r="CO6" s="151">
        <v>11</v>
      </c>
      <c r="CP6" s="151">
        <v>1</v>
      </c>
      <c r="CQ6" s="151">
        <v>1.4E-2</v>
      </c>
      <c r="CR6" s="151">
        <v>3.0000000000000001E-3</v>
      </c>
      <c r="CS6" s="151">
        <v>20</v>
      </c>
      <c r="CT6" s="151">
        <v>7</v>
      </c>
      <c r="CU6" s="151">
        <v>1</v>
      </c>
      <c r="CV6" s="151">
        <v>-15</v>
      </c>
      <c r="CW6" s="151">
        <v>-6</v>
      </c>
      <c r="CX6" s="151">
        <v>1</v>
      </c>
      <c r="CY6" s="151">
        <v>0</v>
      </c>
      <c r="CZ6" s="151">
        <v>1000</v>
      </c>
      <c r="DA6" s="151">
        <v>7</v>
      </c>
      <c r="DB6" s="151">
        <v>1</v>
      </c>
      <c r="DC6" s="177"/>
      <c r="DD6" s="177"/>
      <c r="DE6" s="177"/>
      <c r="DF6" s="177"/>
      <c r="DG6" s="177"/>
      <c r="DH6" s="177"/>
      <c r="DI6" s="177"/>
      <c r="DJ6" s="188"/>
      <c r="DK6" s="151">
        <v>200</v>
      </c>
      <c r="DL6" s="151">
        <v>1</v>
      </c>
      <c r="DM6" s="151">
        <v>-35</v>
      </c>
      <c r="DN6" s="151">
        <v>0</v>
      </c>
      <c r="DO6" s="151">
        <v>-20</v>
      </c>
      <c r="DP6" s="151">
        <v>2</v>
      </c>
      <c r="DQ6" s="151">
        <v>1</v>
      </c>
      <c r="DR6" s="151">
        <v>1.4E-2</v>
      </c>
      <c r="DS6" s="151">
        <v>3.0000000000000001E-3</v>
      </c>
      <c r="DT6" s="151">
        <v>20</v>
      </c>
      <c r="DU6" s="151">
        <v>7</v>
      </c>
      <c r="DV6" s="151">
        <v>1</v>
      </c>
      <c r="DW6" s="151">
        <v>-15</v>
      </c>
      <c r="DX6" s="151">
        <v>-6</v>
      </c>
      <c r="DY6" s="151">
        <v>1</v>
      </c>
      <c r="DZ6" s="151">
        <v>0</v>
      </c>
      <c r="EA6" s="151">
        <v>1000</v>
      </c>
      <c r="EB6" s="151">
        <v>7</v>
      </c>
      <c r="EC6" s="151">
        <v>1</v>
      </c>
      <c r="ED6" s="177"/>
      <c r="EE6" s="177"/>
      <c r="EF6" s="177"/>
      <c r="EG6" s="177"/>
      <c r="EH6" s="177"/>
      <c r="EI6" s="177"/>
      <c r="EJ6" s="177"/>
      <c r="EK6" s="188"/>
      <c r="EL6" s="189"/>
      <c r="EM6" s="190"/>
      <c r="EN6" s="190"/>
      <c r="EO6" s="190"/>
      <c r="EP6" s="190"/>
      <c r="EQ6" s="190"/>
      <c r="ER6" s="190"/>
      <c r="ES6" s="190"/>
      <c r="ET6" s="190"/>
      <c r="EU6" s="190"/>
      <c r="EV6" s="190"/>
      <c r="EW6" s="190"/>
      <c r="EX6" s="190"/>
      <c r="EY6" s="190"/>
      <c r="EZ6" s="190"/>
      <c r="FA6" s="190"/>
      <c r="FB6" s="190"/>
      <c r="FC6" s="190"/>
      <c r="FD6" s="190"/>
      <c r="FE6" s="190"/>
      <c r="FF6" s="190"/>
      <c r="FG6" s="190"/>
      <c r="FH6" s="190"/>
      <c r="FI6" s="190"/>
      <c r="FJ6" s="190"/>
      <c r="FK6" s="190"/>
      <c r="FL6" s="191"/>
      <c r="FM6" s="192"/>
      <c r="FN6" s="177"/>
      <c r="FO6" s="177"/>
      <c r="FP6" s="177"/>
      <c r="FQ6" s="177"/>
      <c r="FR6" s="177"/>
      <c r="FS6" s="177"/>
      <c r="FT6" s="177"/>
      <c r="FU6" s="177"/>
      <c r="FV6" s="177"/>
      <c r="FW6" s="177"/>
      <c r="FX6" s="177"/>
      <c r="FY6" s="177"/>
      <c r="FZ6" s="177"/>
      <c r="GA6" s="177"/>
      <c r="GB6" s="177"/>
      <c r="GC6" s="177"/>
      <c r="GD6" s="177"/>
      <c r="GE6" s="177"/>
      <c r="GF6" s="177"/>
      <c r="GG6" s="177"/>
      <c r="GH6" s="177"/>
      <c r="GI6" s="177"/>
      <c r="GJ6" s="177"/>
      <c r="GK6" s="177"/>
      <c r="GL6" s="177"/>
      <c r="GM6" s="188"/>
      <c r="GN6" s="192"/>
      <c r="GO6" s="177"/>
      <c r="GP6" s="177"/>
      <c r="GQ6" s="177"/>
      <c r="GR6" s="177"/>
      <c r="GS6" s="177"/>
      <c r="GT6" s="177"/>
      <c r="GU6" s="177"/>
      <c r="GV6" s="177"/>
      <c r="GW6" s="177"/>
      <c r="GX6" s="177"/>
      <c r="GY6" s="177"/>
      <c r="GZ6" s="177"/>
      <c r="HA6" s="177"/>
      <c r="HB6" s="177"/>
      <c r="HC6" s="177"/>
      <c r="HD6" s="177"/>
      <c r="HE6" s="177"/>
      <c r="HF6" s="177"/>
      <c r="HG6" s="177"/>
      <c r="HH6" s="177"/>
      <c r="HI6" s="177"/>
      <c r="HJ6" s="177"/>
      <c r="HK6" s="177"/>
      <c r="HL6" s="177"/>
      <c r="HM6" s="177"/>
      <c r="HN6" s="188"/>
      <c r="HO6" s="192"/>
      <c r="HP6" s="177"/>
      <c r="HQ6" s="177"/>
      <c r="HR6" s="177"/>
      <c r="HS6" s="177"/>
      <c r="HT6" s="177"/>
      <c r="HU6" s="177"/>
      <c r="HV6" s="177"/>
      <c r="HW6" s="177"/>
      <c r="HX6" s="177"/>
      <c r="HY6" s="177"/>
      <c r="HZ6" s="177"/>
      <c r="IA6" s="177"/>
      <c r="IB6" s="177"/>
      <c r="IC6" s="177"/>
      <c r="ID6" s="177"/>
      <c r="IE6" s="177"/>
      <c r="IF6" s="177"/>
      <c r="IG6" s="177"/>
      <c r="IH6" s="177"/>
      <c r="II6" s="177"/>
      <c r="IJ6" s="177"/>
      <c r="IK6" s="177"/>
      <c r="IL6" s="62"/>
      <c r="IM6" s="62"/>
      <c r="IN6" s="62"/>
      <c r="IO6" s="18"/>
      <c r="IP6" s="41"/>
      <c r="IQ6" s="62"/>
      <c r="IR6" s="62"/>
      <c r="IS6" s="62"/>
      <c r="IT6" s="62"/>
      <c r="IU6" s="62"/>
      <c r="IV6" s="62"/>
      <c r="IW6" s="62"/>
      <c r="IX6" s="62"/>
      <c r="IY6" s="62"/>
      <c r="IZ6" s="62"/>
      <c r="JA6" s="62"/>
      <c r="JB6" s="62"/>
      <c r="JC6" s="62"/>
      <c r="JD6" s="62"/>
      <c r="JE6" s="62"/>
      <c r="JF6" s="62"/>
      <c r="JG6" s="62"/>
      <c r="JH6" s="62"/>
      <c r="JI6" s="62"/>
      <c r="JJ6" s="62"/>
      <c r="JK6" s="62"/>
      <c r="JL6" s="62"/>
      <c r="JM6" s="62"/>
      <c r="JN6" s="62"/>
      <c r="JO6" s="62"/>
      <c r="JP6" s="18"/>
      <c r="JQ6" s="41"/>
      <c r="JR6" s="62"/>
      <c r="JS6" s="62"/>
      <c r="JT6" s="62"/>
      <c r="JU6" s="62"/>
      <c r="JV6" s="62"/>
      <c r="JW6" s="62"/>
      <c r="JX6" s="62"/>
      <c r="JY6" s="62"/>
      <c r="JZ6" s="62"/>
      <c r="KA6" s="62"/>
      <c r="KB6" s="62"/>
      <c r="KC6" s="62"/>
      <c r="KD6" s="62"/>
      <c r="KE6" s="62"/>
      <c r="KF6" s="62"/>
      <c r="KG6" s="62"/>
      <c r="KH6" s="62"/>
      <c r="KI6" s="62"/>
      <c r="KJ6" s="62"/>
      <c r="KK6" s="62"/>
      <c r="KL6" s="62"/>
      <c r="KM6" s="62"/>
      <c r="KN6" s="62"/>
      <c r="KO6" s="62"/>
      <c r="KP6" s="62"/>
      <c r="KQ6" s="18"/>
    </row>
    <row r="7" spans="1:303" x14ac:dyDescent="0.35">
      <c r="A7" s="83" t="str">
        <f>Neu!B7</f>
        <v>B64ls</v>
      </c>
      <c r="B7" s="146" t="s">
        <v>201</v>
      </c>
      <c r="C7" s="137"/>
      <c r="D7" s="174">
        <v>3.0000000000000001E-3</v>
      </c>
      <c r="E7" s="178">
        <v>0.05</v>
      </c>
      <c r="F7" s="179">
        <v>-60</v>
      </c>
      <c r="G7" s="185">
        <v>0.9</v>
      </c>
      <c r="H7" s="16">
        <v>1</v>
      </c>
      <c r="I7" s="16">
        <v>50</v>
      </c>
      <c r="J7" s="16">
        <v>0</v>
      </c>
      <c r="K7" s="16">
        <v>-42.1</v>
      </c>
      <c r="L7" s="171">
        <v>4.8</v>
      </c>
      <c r="M7" s="16">
        <v>3</v>
      </c>
      <c r="N7" s="148">
        <v>1.5E-3</v>
      </c>
      <c r="O7" s="148">
        <v>4.4999999999999999E-4</v>
      </c>
      <c r="P7" s="16">
        <v>-32.700000000000003</v>
      </c>
      <c r="Q7" s="16">
        <v>1.85</v>
      </c>
      <c r="R7" s="16">
        <v>1</v>
      </c>
      <c r="S7" s="16"/>
      <c r="T7" s="16"/>
      <c r="U7" s="16"/>
      <c r="V7" s="16">
        <v>0</v>
      </c>
      <c r="W7" s="62">
        <v>-51.5</v>
      </c>
      <c r="X7" s="16">
        <v>9.1999999999999993</v>
      </c>
      <c r="Y7" s="16">
        <v>1</v>
      </c>
      <c r="Z7" s="16">
        <v>0.01</v>
      </c>
      <c r="AA7" s="16">
        <v>2.3999999999999998E-3</v>
      </c>
      <c r="AB7" s="16">
        <v>-39.200000000000003</v>
      </c>
      <c r="AC7" s="16">
        <v>3.5</v>
      </c>
      <c r="AD7" s="16">
        <v>1</v>
      </c>
      <c r="AE7" s="16"/>
      <c r="AF7" s="16"/>
      <c r="AG7" s="17"/>
      <c r="AH7" s="87">
        <v>3</v>
      </c>
      <c r="AI7" s="172">
        <v>4</v>
      </c>
      <c r="AJ7" s="16">
        <v>-70</v>
      </c>
      <c r="AK7" s="16">
        <v>0</v>
      </c>
      <c r="AL7" s="172">
        <v>-33</v>
      </c>
      <c r="AM7" s="172">
        <v>8.8000000000000007</v>
      </c>
      <c r="AN7" s="172">
        <v>1</v>
      </c>
      <c r="AO7" s="16">
        <v>2.7E-2</v>
      </c>
      <c r="AP7" s="16">
        <v>3.0000000000000001E-3</v>
      </c>
      <c r="AQ7" s="16">
        <v>-24</v>
      </c>
      <c r="AR7" s="16">
        <v>11.7</v>
      </c>
      <c r="AS7" s="16">
        <v>1</v>
      </c>
      <c r="AT7" s="16"/>
      <c r="AU7" s="16"/>
      <c r="AV7" s="16"/>
      <c r="AW7" s="16">
        <v>0.15</v>
      </c>
      <c r="AX7" s="16">
        <v>-16.399999999999999</v>
      </c>
      <c r="AY7" s="16">
        <v>1.5</v>
      </c>
      <c r="AZ7" s="16">
        <v>2</v>
      </c>
      <c r="BA7" s="16">
        <v>0.2</v>
      </c>
      <c r="BB7" s="16">
        <v>0.02</v>
      </c>
      <c r="BC7" s="16">
        <v>-24</v>
      </c>
      <c r="BD7" s="16">
        <v>8.3000000000000007</v>
      </c>
      <c r="BE7" s="16">
        <v>1</v>
      </c>
      <c r="BF7" s="16"/>
      <c r="BG7" s="16"/>
      <c r="BH7" s="17"/>
      <c r="BI7" s="87">
        <v>70</v>
      </c>
      <c r="BJ7" s="150">
        <v>4</v>
      </c>
      <c r="BK7" s="16">
        <v>-70</v>
      </c>
      <c r="BL7" s="16">
        <v>0</v>
      </c>
      <c r="BM7" s="16">
        <v>-19</v>
      </c>
      <c r="BN7" s="150">
        <v>8.8000000000000007</v>
      </c>
      <c r="BO7" s="150">
        <v>1</v>
      </c>
      <c r="BP7" s="16">
        <v>0.27</v>
      </c>
      <c r="BQ7" s="16">
        <v>2.1600000000000001E-2</v>
      </c>
      <c r="BR7" s="16">
        <v>-24</v>
      </c>
      <c r="BS7" s="16">
        <v>11.7</v>
      </c>
      <c r="BT7" s="16">
        <v>1</v>
      </c>
      <c r="BU7" s="16"/>
      <c r="BV7" s="16"/>
      <c r="BW7" s="16"/>
      <c r="BX7" s="16">
        <v>0.15</v>
      </c>
      <c r="BY7" s="16">
        <v>-16.399999999999999</v>
      </c>
      <c r="BZ7" s="16">
        <v>1.5</v>
      </c>
      <c r="CA7" s="16">
        <v>2</v>
      </c>
      <c r="CB7" s="16">
        <v>2</v>
      </c>
      <c r="CC7" s="16">
        <v>0.2</v>
      </c>
      <c r="CD7" s="16">
        <v>-24</v>
      </c>
      <c r="CE7" s="16">
        <v>8.3000000000000007</v>
      </c>
      <c r="CF7" s="16">
        <v>1</v>
      </c>
      <c r="CG7" s="173"/>
      <c r="CH7" s="173"/>
      <c r="CI7" s="174"/>
      <c r="CJ7" s="87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7"/>
      <c r="DK7" s="87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7"/>
      <c r="EL7" s="87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7"/>
      <c r="FM7" s="87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7"/>
      <c r="GN7" s="87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7"/>
      <c r="HO7" s="154">
        <v>4.5999999999999996</v>
      </c>
      <c r="HP7" s="186">
        <v>3</v>
      </c>
      <c r="HQ7" s="154">
        <v>50</v>
      </c>
      <c r="HR7" s="154">
        <v>0</v>
      </c>
      <c r="HS7" s="154">
        <v>-48</v>
      </c>
      <c r="HT7" s="154">
        <v>4</v>
      </c>
      <c r="HU7" s="154">
        <v>2</v>
      </c>
      <c r="HV7" s="154">
        <v>0.16</v>
      </c>
      <c r="HW7" s="154">
        <v>1.4999999999999999E-4</v>
      </c>
      <c r="HX7" s="154">
        <v>-30</v>
      </c>
      <c r="HY7" s="154">
        <v>4</v>
      </c>
      <c r="HZ7" s="154">
        <v>4</v>
      </c>
      <c r="IA7" s="154">
        <v>-50</v>
      </c>
      <c r="IB7" s="154">
        <v>-4</v>
      </c>
      <c r="IC7" s="154">
        <v>4</v>
      </c>
      <c r="ID7" s="16">
        <v>0</v>
      </c>
      <c r="IE7" s="187">
        <v>-57</v>
      </c>
      <c r="IF7" s="16">
        <v>5</v>
      </c>
      <c r="IG7" s="16">
        <v>2</v>
      </c>
      <c r="IH7" s="150">
        <v>2</v>
      </c>
      <c r="II7" s="150">
        <v>0.2</v>
      </c>
      <c r="IJ7" s="16">
        <v>-44</v>
      </c>
      <c r="IK7" s="16">
        <v>-3</v>
      </c>
      <c r="IL7" s="16">
        <v>4</v>
      </c>
      <c r="IM7" s="173"/>
      <c r="IN7" s="173"/>
      <c r="IO7" s="174"/>
      <c r="IP7" s="87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7"/>
      <c r="JQ7" s="87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  <c r="KF7" s="16"/>
      <c r="KG7" s="16"/>
      <c r="KH7" s="16"/>
      <c r="KI7" s="16"/>
      <c r="KJ7" s="16"/>
      <c r="KK7" s="16"/>
      <c r="KL7" s="16"/>
      <c r="KM7" s="16"/>
      <c r="KN7" s="16"/>
      <c r="KO7" s="16"/>
      <c r="KP7" s="16"/>
      <c r="KQ7" s="17"/>
    </row>
    <row r="8" spans="1:303" x14ac:dyDescent="0.35">
      <c r="A8" s="83" t="str">
        <f>Neu!B8</f>
        <v>B64la</v>
      </c>
      <c r="B8" s="146" t="s">
        <v>202</v>
      </c>
      <c r="C8" s="137"/>
      <c r="D8" s="140">
        <v>3.0000000000000001E-3</v>
      </c>
      <c r="E8" s="87">
        <v>0.03</v>
      </c>
      <c r="F8" s="17">
        <v>-60</v>
      </c>
      <c r="G8" s="185">
        <v>4</v>
      </c>
      <c r="H8" s="16">
        <v>1</v>
      </c>
      <c r="I8" s="16">
        <v>50</v>
      </c>
      <c r="J8" s="16">
        <v>0</v>
      </c>
      <c r="K8" s="16">
        <v>-42.1</v>
      </c>
      <c r="L8" s="171">
        <v>4.8</v>
      </c>
      <c r="M8" s="16">
        <v>3</v>
      </c>
      <c r="N8" s="148">
        <v>1.5E-3</v>
      </c>
      <c r="O8" s="148">
        <v>4.4999999999999999E-4</v>
      </c>
      <c r="P8" s="16">
        <v>-32.700000000000003</v>
      </c>
      <c r="Q8" s="16">
        <v>1.85</v>
      </c>
      <c r="R8" s="16">
        <v>1</v>
      </c>
      <c r="S8" s="16"/>
      <c r="T8" s="16"/>
      <c r="U8" s="16"/>
      <c r="V8" s="16">
        <v>0</v>
      </c>
      <c r="W8" s="62">
        <v>-51.5</v>
      </c>
      <c r="X8" s="16">
        <v>9.1999999999999993</v>
      </c>
      <c r="Y8" s="16">
        <v>1</v>
      </c>
      <c r="Z8" s="16">
        <v>0.01</v>
      </c>
      <c r="AA8" s="16">
        <v>2.3999999999999998E-3</v>
      </c>
      <c r="AB8" s="16">
        <v>-39.200000000000003</v>
      </c>
      <c r="AC8" s="16">
        <v>3.5</v>
      </c>
      <c r="AD8" s="16">
        <v>1</v>
      </c>
      <c r="AE8" s="16"/>
      <c r="AF8" s="16"/>
      <c r="AG8" s="17"/>
      <c r="AH8" s="87">
        <v>19</v>
      </c>
      <c r="AI8" s="172">
        <v>4</v>
      </c>
      <c r="AJ8" s="16">
        <v>-70</v>
      </c>
      <c r="AK8" s="16">
        <v>0</v>
      </c>
      <c r="AL8" s="172">
        <v>-33</v>
      </c>
      <c r="AM8" s="172">
        <v>8.8000000000000007</v>
      </c>
      <c r="AN8" s="172">
        <v>1</v>
      </c>
      <c r="AO8" s="16">
        <v>2.7E-2</v>
      </c>
      <c r="AP8" s="16">
        <v>3.0000000000000001E-3</v>
      </c>
      <c r="AQ8" s="16">
        <v>-24</v>
      </c>
      <c r="AR8" s="16">
        <v>11.7</v>
      </c>
      <c r="AS8" s="16">
        <v>1</v>
      </c>
      <c r="AT8" s="16"/>
      <c r="AU8" s="16"/>
      <c r="AV8" s="16"/>
      <c r="AW8" s="16">
        <v>0.15</v>
      </c>
      <c r="AX8" s="16">
        <v>-16.399999999999999</v>
      </c>
      <c r="AY8" s="16">
        <v>1.5</v>
      </c>
      <c r="AZ8" s="16">
        <v>2</v>
      </c>
      <c r="BA8" s="16">
        <v>0.2</v>
      </c>
      <c r="BB8" s="16">
        <v>0.02</v>
      </c>
      <c r="BC8" s="16">
        <v>-24</v>
      </c>
      <c r="BD8" s="16">
        <v>8.3000000000000007</v>
      </c>
      <c r="BE8" s="16">
        <v>1</v>
      </c>
      <c r="BF8" s="62"/>
      <c r="BG8" s="62"/>
      <c r="BH8" s="18"/>
      <c r="BI8" s="87"/>
      <c r="BJ8" s="16"/>
      <c r="BK8" s="16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18"/>
      <c r="CJ8" s="41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  <c r="DD8" s="62"/>
      <c r="DE8" s="62"/>
      <c r="DF8" s="62"/>
      <c r="DG8" s="62"/>
      <c r="DH8" s="62"/>
      <c r="DI8" s="62"/>
      <c r="DJ8" s="18"/>
      <c r="DK8" s="41"/>
      <c r="DL8" s="62"/>
      <c r="DM8" s="62"/>
      <c r="DN8" s="62"/>
      <c r="DO8" s="62"/>
      <c r="DP8" s="62"/>
      <c r="DQ8" s="62"/>
      <c r="DR8" s="62"/>
      <c r="DS8" s="62"/>
      <c r="DT8" s="62"/>
      <c r="DU8" s="62"/>
      <c r="DV8" s="62"/>
      <c r="DW8" s="62"/>
      <c r="DX8" s="62"/>
      <c r="DY8" s="62"/>
      <c r="DZ8" s="62"/>
      <c r="EA8" s="62"/>
      <c r="EB8" s="62"/>
      <c r="EC8" s="62"/>
      <c r="ED8" s="62"/>
      <c r="EE8" s="62"/>
      <c r="EF8" s="62"/>
      <c r="EG8" s="62"/>
      <c r="EH8" s="62"/>
      <c r="EI8" s="62"/>
      <c r="EJ8" s="62"/>
      <c r="EK8" s="18"/>
      <c r="EL8" s="87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7"/>
      <c r="FM8" s="41"/>
      <c r="FN8" s="62"/>
      <c r="FO8" s="62"/>
      <c r="FP8" s="62"/>
      <c r="FQ8" s="62"/>
      <c r="FR8" s="62"/>
      <c r="FS8" s="62"/>
      <c r="FT8" s="62"/>
      <c r="FU8" s="62"/>
      <c r="FV8" s="62"/>
      <c r="FW8" s="62"/>
      <c r="FX8" s="62"/>
      <c r="FY8" s="62"/>
      <c r="FZ8" s="62"/>
      <c r="GA8" s="62"/>
      <c r="GB8" s="62"/>
      <c r="GC8" s="62"/>
      <c r="GD8" s="62"/>
      <c r="GE8" s="62"/>
      <c r="GF8" s="62"/>
      <c r="GG8" s="62"/>
      <c r="GH8" s="62"/>
      <c r="GI8" s="62"/>
      <c r="GJ8" s="62"/>
      <c r="GK8" s="62"/>
      <c r="GL8" s="62"/>
      <c r="GM8" s="18"/>
      <c r="GN8" s="41"/>
      <c r="GO8" s="62"/>
      <c r="GP8" s="62"/>
      <c r="GQ8" s="62"/>
      <c r="GR8" s="62"/>
      <c r="GS8" s="62"/>
      <c r="GT8" s="62"/>
      <c r="GU8" s="62"/>
      <c r="GV8" s="62"/>
      <c r="GW8" s="62"/>
      <c r="GX8" s="62"/>
      <c r="GY8" s="62"/>
      <c r="GZ8" s="62"/>
      <c r="HA8" s="62"/>
      <c r="HB8" s="62"/>
      <c r="HC8" s="62"/>
      <c r="HD8" s="62"/>
      <c r="HE8" s="62"/>
      <c r="HF8" s="62"/>
      <c r="HG8" s="62"/>
      <c r="HH8" s="62"/>
      <c r="HI8" s="62"/>
      <c r="HJ8" s="62"/>
      <c r="HK8" s="62"/>
      <c r="HL8" s="62"/>
      <c r="HM8" s="62"/>
      <c r="HN8" s="18"/>
      <c r="HO8" s="154">
        <v>0.01</v>
      </c>
      <c r="HP8" s="186">
        <v>3</v>
      </c>
      <c r="HQ8" s="154">
        <v>50</v>
      </c>
      <c r="HR8" s="154">
        <v>0</v>
      </c>
      <c r="HS8" s="154">
        <v>-48</v>
      </c>
      <c r="HT8" s="154">
        <v>4</v>
      </c>
      <c r="HU8" s="154">
        <v>2</v>
      </c>
      <c r="HV8" s="154">
        <v>5.0000000000000001E-3</v>
      </c>
      <c r="HW8" s="154">
        <v>0.04</v>
      </c>
      <c r="HX8" s="154">
        <v>-56</v>
      </c>
      <c r="HY8" s="154">
        <v>-3</v>
      </c>
      <c r="HZ8" s="154">
        <v>4</v>
      </c>
      <c r="IA8" s="154">
        <v>-30</v>
      </c>
      <c r="IB8" s="154">
        <v>-3</v>
      </c>
      <c r="IC8" s="154">
        <v>4</v>
      </c>
      <c r="ID8" s="16">
        <v>0</v>
      </c>
      <c r="IE8" s="187">
        <v>-56</v>
      </c>
      <c r="IF8" s="16">
        <v>5</v>
      </c>
      <c r="IG8" s="16">
        <v>2</v>
      </c>
      <c r="IH8" s="150">
        <v>3</v>
      </c>
      <c r="II8" s="150">
        <v>0.05</v>
      </c>
      <c r="IJ8" s="16">
        <v>-40</v>
      </c>
      <c r="IK8" s="16">
        <v>-2</v>
      </c>
      <c r="IL8" s="16">
        <v>4</v>
      </c>
      <c r="IM8" s="62"/>
      <c r="IN8" s="62"/>
      <c r="IO8" s="18"/>
      <c r="IP8" s="41"/>
      <c r="IQ8" s="62"/>
      <c r="IR8" s="62"/>
      <c r="IS8" s="62"/>
      <c r="IT8" s="62"/>
      <c r="IU8" s="62"/>
      <c r="IV8" s="62"/>
      <c r="IW8" s="62"/>
      <c r="IX8" s="62"/>
      <c r="IY8" s="62"/>
      <c r="IZ8" s="62"/>
      <c r="JA8" s="62"/>
      <c r="JB8" s="62"/>
      <c r="JC8" s="62"/>
      <c r="JD8" s="62"/>
      <c r="JE8" s="62"/>
      <c r="JF8" s="62"/>
      <c r="JG8" s="62"/>
      <c r="JH8" s="62"/>
      <c r="JI8" s="62"/>
      <c r="JJ8" s="62"/>
      <c r="JK8" s="62"/>
      <c r="JL8" s="62"/>
      <c r="JM8" s="62"/>
      <c r="JN8" s="62"/>
      <c r="JO8" s="62"/>
      <c r="JP8" s="18"/>
      <c r="JQ8" s="41"/>
      <c r="JR8" s="62"/>
      <c r="JS8" s="62"/>
      <c r="JT8" s="62"/>
      <c r="JU8" s="62"/>
      <c r="JV8" s="62"/>
      <c r="JW8" s="62"/>
      <c r="JX8" s="62"/>
      <c r="JY8" s="62"/>
      <c r="JZ8" s="62"/>
      <c r="KA8" s="62"/>
      <c r="KB8" s="62"/>
      <c r="KC8" s="62"/>
      <c r="KD8" s="62"/>
      <c r="KE8" s="62"/>
      <c r="KF8" s="62"/>
      <c r="KG8" s="62"/>
      <c r="KH8" s="62"/>
      <c r="KI8" s="62"/>
      <c r="KJ8" s="62"/>
      <c r="KK8" s="62"/>
      <c r="KL8" s="62"/>
      <c r="KM8" s="62"/>
      <c r="KN8" s="62"/>
      <c r="KO8" s="62"/>
      <c r="KP8" s="62"/>
      <c r="KQ8" s="18"/>
    </row>
    <row r="9" spans="1:303" x14ac:dyDescent="0.35">
      <c r="A9" s="83" t="str">
        <f>Neu!B9</f>
        <v>B63rs</v>
      </c>
      <c r="B9" s="146" t="s">
        <v>168</v>
      </c>
      <c r="C9" s="182"/>
      <c r="D9" s="140">
        <v>3.0000000000000001E-3</v>
      </c>
      <c r="E9" s="87">
        <v>2.5000000000000001E-2</v>
      </c>
      <c r="F9" s="17">
        <v>-60</v>
      </c>
      <c r="G9" s="87">
        <v>7.5</v>
      </c>
      <c r="H9" s="16">
        <v>1</v>
      </c>
      <c r="I9" s="16">
        <v>50</v>
      </c>
      <c r="J9" s="16">
        <v>0</v>
      </c>
      <c r="K9" s="16">
        <v>-42.1</v>
      </c>
      <c r="L9" s="150">
        <v>4.8</v>
      </c>
      <c r="M9" s="16">
        <v>3</v>
      </c>
      <c r="N9" s="148">
        <v>1.5E-3</v>
      </c>
      <c r="O9" s="148">
        <v>4.4999999999999999E-4</v>
      </c>
      <c r="P9" s="16">
        <v>-32.700000000000003</v>
      </c>
      <c r="Q9" s="16">
        <v>1.85</v>
      </c>
      <c r="R9" s="16">
        <v>1</v>
      </c>
      <c r="S9" s="16"/>
      <c r="T9" s="16"/>
      <c r="U9" s="16"/>
      <c r="V9" s="16">
        <v>0</v>
      </c>
      <c r="W9" s="62">
        <v>-51.5</v>
      </c>
      <c r="X9" s="16">
        <v>9.1999999999999993</v>
      </c>
      <c r="Y9" s="16">
        <v>1</v>
      </c>
      <c r="Z9" s="16">
        <v>0.01</v>
      </c>
      <c r="AA9" s="16">
        <v>2.3999999999999998E-3</v>
      </c>
      <c r="AB9" s="16">
        <v>-39.200000000000003</v>
      </c>
      <c r="AC9" s="16">
        <v>3.5</v>
      </c>
      <c r="AD9" s="16">
        <v>1</v>
      </c>
      <c r="AE9" s="16"/>
      <c r="AF9" s="16"/>
      <c r="AG9" s="17"/>
      <c r="AH9" s="87">
        <v>50</v>
      </c>
      <c r="AI9" s="150">
        <v>4</v>
      </c>
      <c r="AJ9" s="16">
        <v>-70</v>
      </c>
      <c r="AK9" s="16">
        <v>0</v>
      </c>
      <c r="AL9" s="16">
        <v>-26.4</v>
      </c>
      <c r="AM9" s="150">
        <v>8.8000000000000007</v>
      </c>
      <c r="AN9" s="150">
        <v>1</v>
      </c>
      <c r="AO9" s="16">
        <v>2.7E-2</v>
      </c>
      <c r="AP9" s="16">
        <v>2.16E-3</v>
      </c>
      <c r="AQ9" s="16">
        <v>-24</v>
      </c>
      <c r="AR9" s="16">
        <v>11.7</v>
      </c>
      <c r="AS9" s="16">
        <v>1</v>
      </c>
      <c r="AT9" s="16"/>
      <c r="AU9" s="16"/>
      <c r="AV9" s="16"/>
      <c r="AW9" s="16">
        <v>0.15</v>
      </c>
      <c r="AX9" s="16">
        <v>-16.399999999999999</v>
      </c>
      <c r="AY9" s="16">
        <v>1.5</v>
      </c>
      <c r="AZ9" s="16">
        <v>2</v>
      </c>
      <c r="BA9" s="16">
        <v>0.2</v>
      </c>
      <c r="BB9" s="16">
        <v>0.02</v>
      </c>
      <c r="BC9" s="16">
        <v>-24</v>
      </c>
      <c r="BD9" s="16">
        <v>8.3000000000000007</v>
      </c>
      <c r="BE9" s="16">
        <v>1</v>
      </c>
      <c r="BF9" s="16"/>
      <c r="BG9" s="16"/>
      <c r="BH9" s="17"/>
      <c r="BI9" s="87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7"/>
      <c r="CJ9" s="87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7"/>
      <c r="DK9" s="87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7"/>
      <c r="EL9" s="87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7"/>
      <c r="FM9" s="87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7"/>
      <c r="GN9" s="87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7"/>
      <c r="HO9" s="87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7"/>
      <c r="IP9" s="87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7"/>
      <c r="JQ9" s="87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F9" s="16"/>
      <c r="KG9" s="16"/>
      <c r="KH9" s="16"/>
      <c r="KI9" s="16"/>
      <c r="KJ9" s="16"/>
      <c r="KK9" s="16"/>
      <c r="KL9" s="16"/>
      <c r="KM9" s="16"/>
      <c r="KN9" s="16"/>
      <c r="KO9" s="16"/>
      <c r="KP9" s="16"/>
      <c r="KQ9" s="17"/>
    </row>
    <row r="10" spans="1:303" x14ac:dyDescent="0.35">
      <c r="A10" s="83" t="str">
        <f>Neu!B10</f>
        <v>B63ra</v>
      </c>
      <c r="B10" s="147" t="s">
        <v>167</v>
      </c>
      <c r="C10" s="182"/>
      <c r="D10" s="140">
        <v>3.0000000000000001E-3</v>
      </c>
      <c r="E10" s="87">
        <v>1.1999999999999999E-3</v>
      </c>
      <c r="F10" s="17">
        <v>-60</v>
      </c>
      <c r="G10" s="41">
        <v>7.5</v>
      </c>
      <c r="H10" s="62">
        <v>1</v>
      </c>
      <c r="I10" s="62">
        <v>50</v>
      </c>
      <c r="J10" s="62">
        <v>0</v>
      </c>
      <c r="K10" s="16">
        <v>-42.1</v>
      </c>
      <c r="L10" s="149">
        <v>4.8</v>
      </c>
      <c r="M10" s="62">
        <v>3</v>
      </c>
      <c r="N10" s="62">
        <v>1.5E-3</v>
      </c>
      <c r="O10" s="148">
        <v>4.4999999999999999E-4</v>
      </c>
      <c r="P10" s="16">
        <v>-32.700000000000003</v>
      </c>
      <c r="Q10" s="16">
        <v>1.85</v>
      </c>
      <c r="R10" s="16">
        <v>1</v>
      </c>
      <c r="S10" s="16"/>
      <c r="T10" s="16"/>
      <c r="U10" s="16"/>
      <c r="V10" s="16">
        <v>0</v>
      </c>
      <c r="W10" s="62">
        <v>-51.5</v>
      </c>
      <c r="X10" s="16">
        <v>9.1999999999999993</v>
      </c>
      <c r="Y10" s="16">
        <v>1</v>
      </c>
      <c r="Z10" s="16">
        <v>0.01</v>
      </c>
      <c r="AA10" s="16">
        <v>2.3999999999999998E-3</v>
      </c>
      <c r="AB10" s="16">
        <v>-39.200000000000003</v>
      </c>
      <c r="AC10" s="16">
        <v>3.5</v>
      </c>
      <c r="AD10" s="16">
        <v>1</v>
      </c>
      <c r="AE10" s="62"/>
      <c r="AF10" s="62"/>
      <c r="AG10" s="46"/>
      <c r="AH10" s="62">
        <v>60</v>
      </c>
      <c r="AI10" s="149">
        <v>4</v>
      </c>
      <c r="AJ10" s="62">
        <v>-70</v>
      </c>
      <c r="AK10" s="62">
        <v>0</v>
      </c>
      <c r="AL10" s="62">
        <v>-26.4</v>
      </c>
      <c r="AM10" s="149">
        <v>8.8000000000000007</v>
      </c>
      <c r="AN10" s="149">
        <v>1</v>
      </c>
      <c r="AO10" s="62">
        <v>2.7E-2</v>
      </c>
      <c r="AP10" s="62">
        <v>2.16E-3</v>
      </c>
      <c r="AQ10" s="62">
        <v>-24</v>
      </c>
      <c r="AR10" s="62">
        <v>11.7</v>
      </c>
      <c r="AS10" s="62">
        <v>1</v>
      </c>
      <c r="AT10" s="62"/>
      <c r="AU10" s="62"/>
      <c r="AV10" s="62"/>
      <c r="AW10" s="62">
        <v>0.15</v>
      </c>
      <c r="AX10" s="62">
        <v>-16.399999999999999</v>
      </c>
      <c r="AY10" s="62">
        <v>1.5</v>
      </c>
      <c r="AZ10" s="62">
        <v>2</v>
      </c>
      <c r="BA10" s="62">
        <v>0.2</v>
      </c>
      <c r="BB10" s="62">
        <v>0.02</v>
      </c>
      <c r="BC10" s="62">
        <v>-24</v>
      </c>
      <c r="BD10" s="62">
        <v>8.3000000000000007</v>
      </c>
      <c r="BE10" s="62">
        <v>1</v>
      </c>
      <c r="BF10" s="62"/>
      <c r="BG10" s="62"/>
      <c r="BH10" s="62"/>
      <c r="BI10" s="175"/>
      <c r="BJ10" s="16"/>
      <c r="BK10" s="16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18"/>
      <c r="CJ10" s="41"/>
      <c r="CK10" s="62"/>
      <c r="CL10" s="62"/>
      <c r="CM10" s="62"/>
      <c r="CN10" s="62"/>
      <c r="CO10" s="62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18"/>
      <c r="DK10" s="41"/>
      <c r="DL10" s="62"/>
      <c r="DM10" s="62"/>
      <c r="DN10" s="62"/>
      <c r="DO10" s="62"/>
      <c r="DP10" s="62"/>
      <c r="DQ10" s="62"/>
      <c r="DR10" s="62"/>
      <c r="DS10" s="62"/>
      <c r="DT10" s="62"/>
      <c r="DU10" s="62"/>
      <c r="DV10" s="62"/>
      <c r="DW10" s="62"/>
      <c r="DX10" s="62"/>
      <c r="DY10" s="62"/>
      <c r="DZ10" s="62"/>
      <c r="EA10" s="62"/>
      <c r="EB10" s="62"/>
      <c r="EC10" s="62"/>
      <c r="ED10" s="62"/>
      <c r="EE10" s="62"/>
      <c r="EF10" s="62"/>
      <c r="EG10" s="62"/>
      <c r="EH10" s="62"/>
      <c r="EI10" s="62"/>
      <c r="EJ10" s="62"/>
      <c r="EK10" s="18"/>
      <c r="EL10" s="87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7"/>
      <c r="FM10" s="41"/>
      <c r="FN10" s="62"/>
      <c r="FO10" s="62"/>
      <c r="FP10" s="62"/>
      <c r="FQ10" s="62"/>
      <c r="FR10" s="62"/>
      <c r="FS10" s="62"/>
      <c r="FT10" s="62"/>
      <c r="FU10" s="62"/>
      <c r="FV10" s="62"/>
      <c r="FW10" s="62"/>
      <c r="FX10" s="62"/>
      <c r="FY10" s="62"/>
      <c r="FZ10" s="62"/>
      <c r="GA10" s="62"/>
      <c r="GB10" s="62"/>
      <c r="GC10" s="62"/>
      <c r="GD10" s="62"/>
      <c r="GE10" s="62"/>
      <c r="GF10" s="62"/>
      <c r="GG10" s="62"/>
      <c r="GH10" s="62"/>
      <c r="GI10" s="62"/>
      <c r="GJ10" s="62"/>
      <c r="GK10" s="62"/>
      <c r="GL10" s="62"/>
      <c r="GM10" s="18"/>
      <c r="GN10" s="41"/>
      <c r="GO10" s="62"/>
      <c r="GP10" s="62"/>
      <c r="GQ10" s="62"/>
      <c r="GR10" s="62"/>
      <c r="GS10" s="62"/>
      <c r="GT10" s="62"/>
      <c r="GU10" s="62"/>
      <c r="GV10" s="62"/>
      <c r="GW10" s="62"/>
      <c r="GX10" s="62"/>
      <c r="GY10" s="62"/>
      <c r="GZ10" s="62"/>
      <c r="HA10" s="62"/>
      <c r="HB10" s="62"/>
      <c r="HC10" s="62"/>
      <c r="HD10" s="62"/>
      <c r="HE10" s="62"/>
      <c r="HF10" s="62"/>
      <c r="HG10" s="62"/>
      <c r="HH10" s="62"/>
      <c r="HI10" s="62"/>
      <c r="HJ10" s="62"/>
      <c r="HK10" s="62"/>
      <c r="HL10" s="62"/>
      <c r="HM10" s="62"/>
      <c r="HN10" s="18"/>
      <c r="HO10" s="41"/>
      <c r="HP10" s="62"/>
      <c r="HQ10" s="62"/>
      <c r="HR10" s="62"/>
      <c r="HS10" s="62"/>
      <c r="HT10" s="62"/>
      <c r="HU10" s="62"/>
      <c r="HV10" s="62"/>
      <c r="HW10" s="62"/>
      <c r="HX10" s="62"/>
      <c r="HY10" s="62"/>
      <c r="HZ10" s="62"/>
      <c r="IA10" s="62"/>
      <c r="IB10" s="62"/>
      <c r="IC10" s="62"/>
      <c r="ID10" s="62"/>
      <c r="IE10" s="62"/>
      <c r="IF10" s="62"/>
      <c r="IG10" s="62"/>
      <c r="IH10" s="62"/>
      <c r="II10" s="62"/>
      <c r="IJ10" s="62"/>
      <c r="IK10" s="62"/>
      <c r="IL10" s="62"/>
      <c r="IM10" s="62"/>
      <c r="IN10" s="62"/>
      <c r="IO10" s="18"/>
      <c r="IP10" s="41"/>
      <c r="IQ10" s="62"/>
      <c r="IR10" s="62"/>
      <c r="IS10" s="62"/>
      <c r="IT10" s="62"/>
      <c r="IU10" s="62"/>
      <c r="IV10" s="62"/>
      <c r="IW10" s="62"/>
      <c r="IX10" s="62"/>
      <c r="IY10" s="62"/>
      <c r="IZ10" s="62"/>
      <c r="JA10" s="62"/>
      <c r="JB10" s="62"/>
      <c r="JC10" s="62"/>
      <c r="JD10" s="62"/>
      <c r="JE10" s="62"/>
      <c r="JF10" s="62"/>
      <c r="JG10" s="62"/>
      <c r="JH10" s="62"/>
      <c r="JI10" s="62"/>
      <c r="JJ10" s="62"/>
      <c r="JK10" s="62"/>
      <c r="JL10" s="62"/>
      <c r="JM10" s="62"/>
      <c r="JN10" s="62"/>
      <c r="JO10" s="62"/>
      <c r="JP10" s="18"/>
      <c r="JQ10" s="41"/>
      <c r="JR10" s="62"/>
      <c r="JS10" s="62"/>
      <c r="JT10" s="62"/>
      <c r="JU10" s="62"/>
      <c r="JV10" s="62"/>
      <c r="JW10" s="62"/>
      <c r="JX10" s="62"/>
      <c r="JY10" s="62"/>
      <c r="JZ10" s="62"/>
      <c r="KA10" s="62"/>
      <c r="KB10" s="62"/>
      <c r="KC10" s="62"/>
      <c r="KD10" s="62"/>
      <c r="KE10" s="62"/>
      <c r="KF10" s="62"/>
      <c r="KG10" s="62"/>
      <c r="KH10" s="62"/>
      <c r="KI10" s="62"/>
      <c r="KJ10" s="62"/>
      <c r="KK10" s="62"/>
      <c r="KL10" s="62"/>
      <c r="KM10" s="62"/>
      <c r="KN10" s="62"/>
      <c r="KO10" s="62"/>
      <c r="KP10" s="62"/>
      <c r="KQ10" s="18"/>
    </row>
    <row r="11" spans="1:303" x14ac:dyDescent="0.35">
      <c r="A11" s="83" t="str">
        <f>Neu!B11</f>
        <v>B31ls</v>
      </c>
      <c r="B11" s="147" t="s">
        <v>171</v>
      </c>
      <c r="C11" s="182"/>
      <c r="D11" s="18">
        <v>1.0999999999999999E-2</v>
      </c>
      <c r="E11" s="41">
        <v>0.37</v>
      </c>
      <c r="F11" s="17">
        <v>-60</v>
      </c>
      <c r="G11" s="183">
        <v>0.8</v>
      </c>
      <c r="H11" s="184">
        <v>3</v>
      </c>
      <c r="I11" s="184">
        <v>-2</v>
      </c>
      <c r="J11" s="184">
        <v>0</v>
      </c>
      <c r="K11" s="184">
        <v>-50</v>
      </c>
      <c r="L11" s="184">
        <v>4</v>
      </c>
      <c r="M11" s="184">
        <v>1</v>
      </c>
      <c r="N11" s="184">
        <v>1.6</v>
      </c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51"/>
      <c r="AF11" s="151"/>
      <c r="AG11" s="151"/>
      <c r="AH11" s="176">
        <v>9.5</v>
      </c>
      <c r="AI11" s="176">
        <v>1</v>
      </c>
      <c r="AJ11" s="176">
        <v>-85</v>
      </c>
      <c r="AK11" s="177">
        <v>0</v>
      </c>
      <c r="AL11" s="177">
        <v>-14</v>
      </c>
      <c r="AM11" s="177">
        <v>20</v>
      </c>
      <c r="AN11" s="177">
        <v>3</v>
      </c>
      <c r="AO11" s="176">
        <v>0.02</v>
      </c>
      <c r="AP11" s="176">
        <v>2.7500000000000002E-4</v>
      </c>
      <c r="AQ11" s="176">
        <v>-88</v>
      </c>
      <c r="AR11" s="176">
        <v>30</v>
      </c>
      <c r="AS11" s="176">
        <v>1</v>
      </c>
      <c r="AT11" s="176">
        <v>-50</v>
      </c>
      <c r="AU11" s="176">
        <v>-5</v>
      </c>
      <c r="AV11" s="176">
        <v>1</v>
      </c>
      <c r="AW11" s="176">
        <v>0</v>
      </c>
      <c r="AX11" s="176">
        <v>-30</v>
      </c>
      <c r="AY11" s="176">
        <v>11</v>
      </c>
      <c r="AZ11" s="176">
        <v>1</v>
      </c>
      <c r="BA11" s="176">
        <v>0.33</v>
      </c>
      <c r="BB11" s="176">
        <v>8.0000000000000002E-3</v>
      </c>
      <c r="BC11" s="176">
        <v>-80</v>
      </c>
      <c r="BD11" s="176">
        <v>70</v>
      </c>
      <c r="BE11" s="176">
        <v>1</v>
      </c>
      <c r="BF11" s="176">
        <v>-73</v>
      </c>
      <c r="BG11" s="176">
        <v>-9</v>
      </c>
      <c r="BH11" s="176">
        <v>1</v>
      </c>
      <c r="BI11" s="151">
        <v>15</v>
      </c>
      <c r="BJ11" s="151">
        <v>1</v>
      </c>
      <c r="BK11" s="151">
        <v>-70</v>
      </c>
      <c r="BL11" s="151">
        <v>0</v>
      </c>
      <c r="BM11" s="151">
        <v>6</v>
      </c>
      <c r="BN11" s="151">
        <v>14</v>
      </c>
      <c r="BO11" s="151">
        <v>1</v>
      </c>
      <c r="BP11" s="151">
        <v>1.4E-2</v>
      </c>
      <c r="BQ11" s="151">
        <v>3.0000000000000001E-3</v>
      </c>
      <c r="BR11" s="151">
        <v>20</v>
      </c>
      <c r="BS11" s="151">
        <v>7</v>
      </c>
      <c r="BT11" s="151">
        <v>1</v>
      </c>
      <c r="BU11" s="151">
        <v>-15</v>
      </c>
      <c r="BV11" s="151">
        <v>-6</v>
      </c>
      <c r="BW11" s="151">
        <v>1</v>
      </c>
      <c r="BX11" s="151">
        <v>0</v>
      </c>
      <c r="BY11" s="151">
        <v>-31</v>
      </c>
      <c r="BZ11" s="151">
        <v>7</v>
      </c>
      <c r="CA11" s="151">
        <v>1</v>
      </c>
      <c r="CB11" s="151">
        <v>0.875</v>
      </c>
      <c r="CC11" s="151">
        <v>0.11</v>
      </c>
      <c r="CD11" s="151">
        <v>-15</v>
      </c>
      <c r="CE11" s="151">
        <v>6</v>
      </c>
      <c r="CF11" s="151">
        <v>1</v>
      </c>
      <c r="CG11" s="151">
        <v>-73</v>
      </c>
      <c r="CH11" s="151">
        <v>-9</v>
      </c>
      <c r="CI11" s="151">
        <v>1</v>
      </c>
      <c r="CJ11" s="151">
        <v>5</v>
      </c>
      <c r="CK11" s="151">
        <v>1</v>
      </c>
      <c r="CL11" s="151">
        <v>-35</v>
      </c>
      <c r="CM11" s="151">
        <v>0</v>
      </c>
      <c r="CN11" s="151">
        <v>19</v>
      </c>
      <c r="CO11" s="151">
        <v>11</v>
      </c>
      <c r="CP11" s="151">
        <v>1</v>
      </c>
      <c r="CQ11" s="151">
        <v>1.4E-2</v>
      </c>
      <c r="CR11" s="151">
        <v>3.0000000000000001E-3</v>
      </c>
      <c r="CS11" s="151">
        <v>20</v>
      </c>
      <c r="CT11" s="151">
        <v>7</v>
      </c>
      <c r="CU11" s="151">
        <v>1</v>
      </c>
      <c r="CV11" s="151">
        <v>-15</v>
      </c>
      <c r="CW11" s="151">
        <v>-6</v>
      </c>
      <c r="CX11" s="151">
        <v>1</v>
      </c>
      <c r="CY11" s="151">
        <v>0</v>
      </c>
      <c r="CZ11" s="151">
        <v>1000</v>
      </c>
      <c r="DA11" s="151">
        <v>7</v>
      </c>
      <c r="DB11" s="151">
        <v>1</v>
      </c>
      <c r="DC11" s="177"/>
      <c r="DD11" s="177"/>
      <c r="DE11" s="177"/>
      <c r="DF11" s="177"/>
      <c r="DG11" s="177"/>
      <c r="DH11" s="177"/>
      <c r="DI11" s="177"/>
      <c r="DJ11" s="188"/>
      <c r="DK11" s="151">
        <v>200</v>
      </c>
      <c r="DL11" s="151">
        <v>1</v>
      </c>
      <c r="DM11" s="151">
        <v>-35</v>
      </c>
      <c r="DN11" s="151">
        <v>0</v>
      </c>
      <c r="DO11" s="151">
        <v>-20</v>
      </c>
      <c r="DP11" s="151">
        <v>2</v>
      </c>
      <c r="DQ11" s="151">
        <v>1</v>
      </c>
      <c r="DR11" s="151">
        <v>1.4E-2</v>
      </c>
      <c r="DS11" s="151">
        <v>3.0000000000000001E-3</v>
      </c>
      <c r="DT11" s="151">
        <v>20</v>
      </c>
      <c r="DU11" s="151">
        <v>7</v>
      </c>
      <c r="DV11" s="151">
        <v>1</v>
      </c>
      <c r="DW11" s="151">
        <v>-15</v>
      </c>
      <c r="DX11" s="151">
        <v>-6</v>
      </c>
      <c r="DY11" s="151">
        <v>1</v>
      </c>
      <c r="DZ11" s="151">
        <v>0</v>
      </c>
      <c r="EA11" s="151">
        <v>1000</v>
      </c>
      <c r="EB11" s="151">
        <v>7</v>
      </c>
      <c r="EC11" s="151">
        <v>1</v>
      </c>
      <c r="ED11" s="177"/>
      <c r="EE11" s="177"/>
      <c r="EF11" s="177"/>
      <c r="EG11" s="177"/>
      <c r="EH11" s="177"/>
      <c r="EI11" s="177"/>
      <c r="EJ11" s="177"/>
      <c r="EK11" s="188"/>
      <c r="EL11" s="189"/>
      <c r="EM11" s="190"/>
      <c r="EN11" s="190"/>
      <c r="EO11" s="190"/>
      <c r="EP11" s="190"/>
      <c r="EQ11" s="190"/>
      <c r="ER11" s="190"/>
      <c r="ES11" s="190"/>
      <c r="ET11" s="190"/>
      <c r="EU11" s="190"/>
      <c r="EV11" s="190"/>
      <c r="EW11" s="190"/>
      <c r="EX11" s="190"/>
      <c r="EY11" s="190"/>
      <c r="EZ11" s="190"/>
      <c r="FA11" s="190"/>
      <c r="FB11" s="190"/>
      <c r="FC11" s="190"/>
      <c r="FD11" s="190"/>
      <c r="FE11" s="190"/>
      <c r="FF11" s="190"/>
      <c r="FG11" s="190"/>
      <c r="FH11" s="190"/>
      <c r="FI11" s="190"/>
      <c r="FJ11" s="190"/>
      <c r="FK11" s="190"/>
      <c r="FL11" s="191"/>
      <c r="FM11" s="192"/>
      <c r="FN11" s="177"/>
      <c r="FO11" s="177"/>
      <c r="FP11" s="177"/>
      <c r="FQ11" s="177"/>
      <c r="FR11" s="177"/>
      <c r="FS11" s="177"/>
      <c r="FT11" s="177"/>
      <c r="FU11" s="177"/>
      <c r="FV11" s="177"/>
      <c r="FW11" s="177"/>
      <c r="FX11" s="177"/>
      <c r="FY11" s="177"/>
      <c r="FZ11" s="177"/>
      <c r="GA11" s="177"/>
      <c r="GB11" s="177"/>
      <c r="GC11" s="177"/>
      <c r="GD11" s="177"/>
      <c r="GE11" s="177"/>
      <c r="GF11" s="177"/>
      <c r="GG11" s="177"/>
      <c r="GH11" s="177"/>
      <c r="GI11" s="177"/>
      <c r="GJ11" s="177"/>
      <c r="GK11" s="177"/>
      <c r="GL11" s="177"/>
      <c r="GM11" s="188"/>
      <c r="GN11" s="192"/>
      <c r="GO11" s="177"/>
      <c r="GP11" s="177"/>
      <c r="GQ11" s="177"/>
      <c r="GR11" s="177"/>
      <c r="GS11" s="177"/>
      <c r="GT11" s="177"/>
      <c r="GU11" s="177"/>
      <c r="GV11" s="177"/>
      <c r="GW11" s="177"/>
      <c r="GX11" s="177"/>
      <c r="GY11" s="177"/>
      <c r="GZ11" s="177"/>
      <c r="HA11" s="177"/>
      <c r="HB11" s="177"/>
      <c r="HC11" s="177"/>
      <c r="HD11" s="177"/>
      <c r="HE11" s="177"/>
      <c r="HF11" s="177"/>
      <c r="HG11" s="177"/>
      <c r="HH11" s="177"/>
      <c r="HI11" s="177"/>
      <c r="HJ11" s="177"/>
      <c r="HK11" s="177"/>
      <c r="HL11" s="177"/>
      <c r="HM11" s="177"/>
      <c r="HN11" s="188"/>
      <c r="HO11" s="192"/>
      <c r="HP11" s="177"/>
      <c r="HQ11" s="177"/>
      <c r="HR11" s="177"/>
      <c r="HS11" s="177"/>
      <c r="HT11" s="177"/>
      <c r="HU11" s="177"/>
      <c r="HV11" s="177"/>
      <c r="HW11" s="177"/>
      <c r="HX11" s="177"/>
      <c r="HY11" s="177"/>
      <c r="HZ11" s="177"/>
      <c r="IA11" s="177"/>
      <c r="IB11" s="177"/>
      <c r="IC11" s="177"/>
      <c r="ID11" s="177"/>
      <c r="IE11" s="177"/>
      <c r="IF11" s="177"/>
      <c r="IG11" s="177"/>
      <c r="IH11" s="177"/>
      <c r="II11" s="177"/>
      <c r="IJ11" s="177"/>
      <c r="IK11" s="177"/>
      <c r="IL11" s="177"/>
      <c r="IM11" s="62"/>
      <c r="IN11" s="62"/>
      <c r="IO11" s="18"/>
      <c r="IP11" s="41"/>
      <c r="IQ11" s="62"/>
      <c r="IR11" s="62"/>
      <c r="IS11" s="62"/>
      <c r="IT11" s="62"/>
      <c r="IU11" s="62"/>
      <c r="IV11" s="62"/>
      <c r="IW11" s="62"/>
      <c r="IX11" s="62"/>
      <c r="IY11" s="62"/>
      <c r="IZ11" s="62"/>
      <c r="JA11" s="62"/>
      <c r="JB11" s="62"/>
      <c r="JC11" s="62"/>
      <c r="JD11" s="62"/>
      <c r="JE11" s="62"/>
      <c r="JF11" s="62"/>
      <c r="JG11" s="62"/>
      <c r="JH11" s="62"/>
      <c r="JI11" s="62"/>
      <c r="JJ11" s="62"/>
      <c r="JK11" s="62"/>
      <c r="JL11" s="62"/>
      <c r="JM11" s="62"/>
      <c r="JN11" s="62"/>
      <c r="JO11" s="62"/>
      <c r="JP11" s="18"/>
      <c r="JQ11" s="41"/>
      <c r="JR11" s="62"/>
      <c r="JS11" s="62"/>
      <c r="JT11" s="62"/>
      <c r="JU11" s="62"/>
      <c r="JV11" s="62"/>
      <c r="JW11" s="62"/>
      <c r="JX11" s="62"/>
      <c r="JY11" s="62"/>
      <c r="JZ11" s="62"/>
      <c r="KA11" s="62"/>
      <c r="KB11" s="62"/>
      <c r="KC11" s="62"/>
      <c r="KD11" s="62"/>
      <c r="KE11" s="62"/>
      <c r="KF11" s="62"/>
      <c r="KG11" s="62"/>
      <c r="KH11" s="62"/>
      <c r="KI11" s="62"/>
      <c r="KJ11" s="62"/>
      <c r="KK11" s="62"/>
      <c r="KL11" s="62"/>
      <c r="KM11" s="62"/>
      <c r="KN11" s="62"/>
      <c r="KO11" s="62"/>
      <c r="KP11" s="62"/>
      <c r="KQ11" s="18"/>
    </row>
    <row r="12" spans="1:303" x14ac:dyDescent="0.35">
      <c r="A12" s="83" t="str">
        <f>Neu!B12</f>
        <v>B64rs</v>
      </c>
      <c r="B12" s="146" t="s">
        <v>208</v>
      </c>
      <c r="C12" s="137"/>
      <c r="D12" s="174">
        <v>3.0000000000000001E-3</v>
      </c>
      <c r="E12" s="178">
        <v>0.05</v>
      </c>
      <c r="F12" s="179">
        <v>-60</v>
      </c>
      <c r="G12" s="185">
        <v>0.9</v>
      </c>
      <c r="H12" s="16">
        <v>1</v>
      </c>
      <c r="I12" s="16">
        <v>50</v>
      </c>
      <c r="J12" s="16">
        <v>0</v>
      </c>
      <c r="K12" s="16">
        <v>-42.1</v>
      </c>
      <c r="L12" s="171">
        <v>4.8</v>
      </c>
      <c r="M12" s="16">
        <v>3</v>
      </c>
      <c r="N12" s="148">
        <v>1.5E-3</v>
      </c>
      <c r="O12" s="148">
        <v>4.4999999999999999E-4</v>
      </c>
      <c r="P12" s="16">
        <v>-32.700000000000003</v>
      </c>
      <c r="Q12" s="16">
        <v>1.85</v>
      </c>
      <c r="R12" s="16">
        <v>1</v>
      </c>
      <c r="S12" s="16"/>
      <c r="T12" s="16"/>
      <c r="U12" s="16"/>
      <c r="V12" s="16">
        <v>0</v>
      </c>
      <c r="W12" s="62">
        <v>-51.5</v>
      </c>
      <c r="X12" s="16">
        <v>9.1999999999999993</v>
      </c>
      <c r="Y12" s="16">
        <v>1</v>
      </c>
      <c r="Z12" s="16">
        <v>0.01</v>
      </c>
      <c r="AA12" s="16">
        <v>2.3999999999999998E-3</v>
      </c>
      <c r="AB12" s="16">
        <v>-39.200000000000003</v>
      </c>
      <c r="AC12" s="16">
        <v>3.5</v>
      </c>
      <c r="AD12" s="16">
        <v>1</v>
      </c>
      <c r="AE12" s="16"/>
      <c r="AF12" s="16"/>
      <c r="AG12" s="17"/>
      <c r="AH12" s="87">
        <v>3</v>
      </c>
      <c r="AI12" s="172">
        <v>4</v>
      </c>
      <c r="AJ12" s="16">
        <v>-70</v>
      </c>
      <c r="AK12" s="16">
        <v>0</v>
      </c>
      <c r="AL12" s="172">
        <v>-33</v>
      </c>
      <c r="AM12" s="172">
        <v>8.8000000000000007</v>
      </c>
      <c r="AN12" s="172">
        <v>1</v>
      </c>
      <c r="AO12" s="16">
        <v>2.7E-2</v>
      </c>
      <c r="AP12" s="16">
        <v>3.0000000000000001E-3</v>
      </c>
      <c r="AQ12" s="16">
        <v>-24</v>
      </c>
      <c r="AR12" s="16">
        <v>11.7</v>
      </c>
      <c r="AS12" s="16">
        <v>1</v>
      </c>
      <c r="AT12" s="16"/>
      <c r="AU12" s="16"/>
      <c r="AV12" s="16"/>
      <c r="AW12" s="16">
        <v>0.15</v>
      </c>
      <c r="AX12" s="16">
        <v>-16.399999999999999</v>
      </c>
      <c r="AY12" s="16">
        <v>1.5</v>
      </c>
      <c r="AZ12" s="16">
        <v>2</v>
      </c>
      <c r="BA12" s="16">
        <v>0.2</v>
      </c>
      <c r="BB12" s="16">
        <v>0.02</v>
      </c>
      <c r="BC12" s="16">
        <v>-24</v>
      </c>
      <c r="BD12" s="16">
        <v>8.3000000000000007</v>
      </c>
      <c r="BE12" s="16">
        <v>1</v>
      </c>
      <c r="BF12" s="16"/>
      <c r="BG12" s="16"/>
      <c r="BH12" s="17"/>
      <c r="BI12" s="87">
        <v>70</v>
      </c>
      <c r="BJ12" s="150">
        <v>4</v>
      </c>
      <c r="BK12" s="16">
        <v>-70</v>
      </c>
      <c r="BL12" s="16">
        <v>0</v>
      </c>
      <c r="BM12" s="16">
        <v>-19</v>
      </c>
      <c r="BN12" s="150">
        <v>8.8000000000000007</v>
      </c>
      <c r="BO12" s="150">
        <v>1</v>
      </c>
      <c r="BP12" s="16">
        <v>0.27</v>
      </c>
      <c r="BQ12" s="16">
        <v>2.1600000000000001E-2</v>
      </c>
      <c r="BR12" s="16">
        <v>-24</v>
      </c>
      <c r="BS12" s="16">
        <v>11.7</v>
      </c>
      <c r="BT12" s="16">
        <v>1</v>
      </c>
      <c r="BU12" s="16"/>
      <c r="BV12" s="16"/>
      <c r="BW12" s="16"/>
      <c r="BX12" s="16">
        <v>0.15</v>
      </c>
      <c r="BY12" s="16">
        <v>-16.399999999999999</v>
      </c>
      <c r="BZ12" s="16">
        <v>1.5</v>
      </c>
      <c r="CA12" s="16">
        <v>2</v>
      </c>
      <c r="CB12" s="16">
        <v>2</v>
      </c>
      <c r="CC12" s="16">
        <v>0.2</v>
      </c>
      <c r="CD12" s="16">
        <v>-24</v>
      </c>
      <c r="CE12" s="16">
        <v>8.3000000000000007</v>
      </c>
      <c r="CF12" s="16">
        <v>1</v>
      </c>
      <c r="CG12" s="173"/>
      <c r="CH12" s="173"/>
      <c r="CI12" s="174"/>
      <c r="CJ12" s="87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7"/>
      <c r="DK12" s="87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7"/>
      <c r="EL12" s="87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7"/>
      <c r="FM12" s="87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7"/>
      <c r="GN12" s="87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  <c r="HN12" s="17"/>
      <c r="HO12" s="154">
        <v>4.5999999999999996</v>
      </c>
      <c r="HP12" s="186">
        <v>3</v>
      </c>
      <c r="HQ12" s="154">
        <v>50</v>
      </c>
      <c r="HR12" s="154">
        <v>0</v>
      </c>
      <c r="HS12" s="154">
        <v>-48</v>
      </c>
      <c r="HT12" s="154">
        <v>4</v>
      </c>
      <c r="HU12" s="154">
        <v>2</v>
      </c>
      <c r="HV12" s="154">
        <v>0.16</v>
      </c>
      <c r="HW12" s="154">
        <v>1.4999999999999999E-4</v>
      </c>
      <c r="HX12" s="154">
        <v>-30</v>
      </c>
      <c r="HY12" s="154">
        <v>4</v>
      </c>
      <c r="HZ12" s="154">
        <v>4</v>
      </c>
      <c r="IA12" s="154">
        <v>-50</v>
      </c>
      <c r="IB12" s="154">
        <v>-4</v>
      </c>
      <c r="IC12" s="154">
        <v>4</v>
      </c>
      <c r="ID12" s="16">
        <v>0</v>
      </c>
      <c r="IE12" s="187">
        <v>-57</v>
      </c>
      <c r="IF12" s="16">
        <v>5</v>
      </c>
      <c r="IG12" s="16">
        <v>2</v>
      </c>
      <c r="IH12" s="150">
        <v>2</v>
      </c>
      <c r="II12" s="150">
        <v>0.2</v>
      </c>
      <c r="IJ12" s="16">
        <v>-44</v>
      </c>
      <c r="IK12" s="16">
        <v>-3</v>
      </c>
      <c r="IL12" s="16">
        <v>4</v>
      </c>
      <c r="IM12" s="173"/>
      <c r="IN12" s="173"/>
      <c r="IO12" s="174"/>
      <c r="IP12" s="87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7"/>
      <c r="JQ12" s="87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F12" s="16"/>
      <c r="KG12" s="16"/>
      <c r="KH12" s="16"/>
      <c r="KI12" s="16"/>
      <c r="KJ12" s="16"/>
      <c r="KK12" s="16"/>
      <c r="KL12" s="16"/>
      <c r="KM12" s="16"/>
      <c r="KN12" s="16"/>
      <c r="KO12" s="16"/>
      <c r="KP12" s="16"/>
      <c r="KQ12" s="17"/>
    </row>
    <row r="13" spans="1:303" x14ac:dyDescent="0.35">
      <c r="A13" s="83" t="str">
        <f>Neu!B13</f>
        <v>B64ra</v>
      </c>
      <c r="B13" s="146" t="s">
        <v>209</v>
      </c>
      <c r="C13" s="137"/>
      <c r="D13" s="140">
        <v>3.0000000000000001E-3</v>
      </c>
      <c r="E13" s="87">
        <v>0.01</v>
      </c>
      <c r="F13" s="17">
        <v>-60</v>
      </c>
      <c r="G13" s="185">
        <v>4</v>
      </c>
      <c r="H13" s="16">
        <v>1</v>
      </c>
      <c r="I13" s="16">
        <v>50</v>
      </c>
      <c r="J13" s="16">
        <v>0</v>
      </c>
      <c r="K13" s="16">
        <v>-42.1</v>
      </c>
      <c r="L13" s="171">
        <v>4.8</v>
      </c>
      <c r="M13" s="16">
        <v>3</v>
      </c>
      <c r="N13" s="148">
        <v>1.5E-3</v>
      </c>
      <c r="O13" s="148">
        <v>4.4999999999999999E-4</v>
      </c>
      <c r="P13" s="16">
        <v>-32.700000000000003</v>
      </c>
      <c r="Q13" s="16">
        <v>1.85</v>
      </c>
      <c r="R13" s="16">
        <v>1</v>
      </c>
      <c r="S13" s="16"/>
      <c r="T13" s="16"/>
      <c r="U13" s="16"/>
      <c r="V13" s="16">
        <v>0</v>
      </c>
      <c r="W13" s="62">
        <v>-51.5</v>
      </c>
      <c r="X13" s="16">
        <v>9.1999999999999993</v>
      </c>
      <c r="Y13" s="16">
        <v>1</v>
      </c>
      <c r="Z13" s="16">
        <v>0.01</v>
      </c>
      <c r="AA13" s="16">
        <v>2.3999999999999998E-3</v>
      </c>
      <c r="AB13" s="16">
        <v>-39.200000000000003</v>
      </c>
      <c r="AC13" s="16">
        <v>3.5</v>
      </c>
      <c r="AD13" s="16">
        <v>1</v>
      </c>
      <c r="AE13" s="16"/>
      <c r="AF13" s="16"/>
      <c r="AG13" s="17"/>
      <c r="AH13" s="87">
        <v>19</v>
      </c>
      <c r="AI13" s="172">
        <v>4</v>
      </c>
      <c r="AJ13" s="16">
        <v>-70</v>
      </c>
      <c r="AK13" s="16">
        <v>0</v>
      </c>
      <c r="AL13" s="172">
        <v>-33</v>
      </c>
      <c r="AM13" s="172">
        <v>8.8000000000000007</v>
      </c>
      <c r="AN13" s="172">
        <v>1</v>
      </c>
      <c r="AO13" s="16">
        <v>2.7E-2</v>
      </c>
      <c r="AP13" s="16">
        <v>3.0000000000000001E-3</v>
      </c>
      <c r="AQ13" s="16">
        <v>-24</v>
      </c>
      <c r="AR13" s="16">
        <v>11.7</v>
      </c>
      <c r="AS13" s="16">
        <v>1</v>
      </c>
      <c r="AT13" s="16"/>
      <c r="AU13" s="16"/>
      <c r="AV13" s="16"/>
      <c r="AW13" s="16">
        <v>0.15</v>
      </c>
      <c r="AX13" s="16">
        <v>-16.399999999999999</v>
      </c>
      <c r="AY13" s="16">
        <v>1.5</v>
      </c>
      <c r="AZ13" s="16">
        <v>2</v>
      </c>
      <c r="BA13" s="16">
        <v>0.2</v>
      </c>
      <c r="BB13" s="16">
        <v>0.02</v>
      </c>
      <c r="BC13" s="16">
        <v>-24</v>
      </c>
      <c r="BD13" s="16">
        <v>8.3000000000000007</v>
      </c>
      <c r="BE13" s="16">
        <v>1</v>
      </c>
      <c r="BF13" s="62"/>
      <c r="BG13" s="62"/>
      <c r="BH13" s="18"/>
      <c r="BI13" s="87"/>
      <c r="BJ13" s="16"/>
      <c r="BK13" s="16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18"/>
      <c r="CJ13" s="41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18"/>
      <c r="DK13" s="41"/>
      <c r="DL13" s="62"/>
      <c r="DM13" s="62"/>
      <c r="DN13" s="62"/>
      <c r="DO13" s="62"/>
      <c r="DP13" s="62"/>
      <c r="DQ13" s="62"/>
      <c r="DR13" s="62"/>
      <c r="DS13" s="62"/>
      <c r="DT13" s="62"/>
      <c r="DU13" s="62"/>
      <c r="DV13" s="62"/>
      <c r="DW13" s="62"/>
      <c r="DX13" s="62"/>
      <c r="DY13" s="62"/>
      <c r="DZ13" s="62"/>
      <c r="EA13" s="62"/>
      <c r="EB13" s="62"/>
      <c r="EC13" s="62"/>
      <c r="ED13" s="62"/>
      <c r="EE13" s="62"/>
      <c r="EF13" s="62"/>
      <c r="EG13" s="62"/>
      <c r="EH13" s="62"/>
      <c r="EI13" s="62"/>
      <c r="EJ13" s="62"/>
      <c r="EK13" s="18"/>
      <c r="EL13" s="87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7"/>
      <c r="FM13" s="41"/>
      <c r="FN13" s="62"/>
      <c r="FO13" s="62"/>
      <c r="FP13" s="62"/>
      <c r="FQ13" s="62"/>
      <c r="FR13" s="62"/>
      <c r="FS13" s="62"/>
      <c r="FT13" s="62"/>
      <c r="FU13" s="62"/>
      <c r="FV13" s="62"/>
      <c r="FW13" s="62"/>
      <c r="FX13" s="62"/>
      <c r="FY13" s="62"/>
      <c r="FZ13" s="62"/>
      <c r="GA13" s="62"/>
      <c r="GB13" s="62"/>
      <c r="GC13" s="62"/>
      <c r="GD13" s="62"/>
      <c r="GE13" s="62"/>
      <c r="GF13" s="62"/>
      <c r="GG13" s="62"/>
      <c r="GH13" s="62"/>
      <c r="GI13" s="62"/>
      <c r="GJ13" s="62"/>
      <c r="GK13" s="62"/>
      <c r="GL13" s="62"/>
      <c r="GM13" s="18"/>
      <c r="GN13" s="41"/>
      <c r="GO13" s="62"/>
      <c r="GP13" s="62"/>
      <c r="GQ13" s="62"/>
      <c r="GR13" s="62"/>
      <c r="GS13" s="62"/>
      <c r="GT13" s="62"/>
      <c r="GU13" s="62"/>
      <c r="GV13" s="62"/>
      <c r="GW13" s="62"/>
      <c r="GX13" s="62"/>
      <c r="GY13" s="62"/>
      <c r="GZ13" s="62"/>
      <c r="HA13" s="62"/>
      <c r="HB13" s="62"/>
      <c r="HC13" s="62"/>
      <c r="HD13" s="62"/>
      <c r="HE13" s="62"/>
      <c r="HF13" s="62"/>
      <c r="HG13" s="62"/>
      <c r="HH13" s="62"/>
      <c r="HI13" s="62"/>
      <c r="HJ13" s="62"/>
      <c r="HK13" s="62"/>
      <c r="HL13" s="62"/>
      <c r="HM13" s="62"/>
      <c r="HN13" s="18"/>
      <c r="HO13" s="154">
        <v>0.01</v>
      </c>
      <c r="HP13" s="186">
        <v>3</v>
      </c>
      <c r="HQ13" s="154">
        <v>50</v>
      </c>
      <c r="HR13" s="154">
        <v>0</v>
      </c>
      <c r="HS13" s="154">
        <v>-48</v>
      </c>
      <c r="HT13" s="154">
        <v>4</v>
      </c>
      <c r="HU13" s="154">
        <v>2</v>
      </c>
      <c r="HV13" s="154">
        <v>5.0000000000000001E-3</v>
      </c>
      <c r="HW13" s="154">
        <v>0.04</v>
      </c>
      <c r="HX13" s="154">
        <v>-56</v>
      </c>
      <c r="HY13" s="154">
        <v>-3</v>
      </c>
      <c r="HZ13" s="154">
        <v>4</v>
      </c>
      <c r="IA13" s="154">
        <v>-30</v>
      </c>
      <c r="IB13" s="154">
        <v>-3</v>
      </c>
      <c r="IC13" s="154">
        <v>4</v>
      </c>
      <c r="ID13" s="16">
        <v>0</v>
      </c>
      <c r="IE13" s="187">
        <v>-56</v>
      </c>
      <c r="IF13" s="16">
        <v>5</v>
      </c>
      <c r="IG13" s="16">
        <v>2</v>
      </c>
      <c r="IH13" s="150">
        <v>3</v>
      </c>
      <c r="II13" s="150">
        <v>0.05</v>
      </c>
      <c r="IJ13" s="16">
        <v>-40</v>
      </c>
      <c r="IK13" s="16">
        <v>-2</v>
      </c>
      <c r="IL13" s="16">
        <v>4</v>
      </c>
      <c r="IM13" s="62"/>
      <c r="IN13" s="62"/>
      <c r="IO13" s="18"/>
      <c r="IP13" s="41"/>
      <c r="IQ13" s="62"/>
      <c r="IR13" s="62"/>
      <c r="IS13" s="62"/>
      <c r="IT13" s="62"/>
      <c r="IU13" s="62"/>
      <c r="IV13" s="62"/>
      <c r="IW13" s="62"/>
      <c r="IX13" s="62"/>
      <c r="IY13" s="62"/>
      <c r="IZ13" s="62"/>
      <c r="JA13" s="62"/>
      <c r="JB13" s="62"/>
      <c r="JC13" s="62"/>
      <c r="JD13" s="62"/>
      <c r="JE13" s="62"/>
      <c r="JF13" s="62"/>
      <c r="JG13" s="62"/>
      <c r="JH13" s="62"/>
      <c r="JI13" s="62"/>
      <c r="JJ13" s="62"/>
      <c r="JK13" s="62"/>
      <c r="JL13" s="62"/>
      <c r="JM13" s="62"/>
      <c r="JN13" s="62"/>
      <c r="JO13" s="62"/>
      <c r="JP13" s="18"/>
      <c r="JQ13" s="41"/>
      <c r="JR13" s="62"/>
      <c r="JS13" s="62"/>
      <c r="JT13" s="62"/>
      <c r="JU13" s="62"/>
      <c r="JV13" s="62"/>
      <c r="JW13" s="62"/>
      <c r="JX13" s="62"/>
      <c r="JY13" s="62"/>
      <c r="JZ13" s="62"/>
      <c r="KA13" s="62"/>
      <c r="KB13" s="62"/>
      <c r="KC13" s="62"/>
      <c r="KD13" s="62"/>
      <c r="KE13" s="62"/>
      <c r="KF13" s="62"/>
      <c r="KG13" s="62"/>
      <c r="KH13" s="62"/>
      <c r="KI13" s="62"/>
      <c r="KJ13" s="62"/>
      <c r="KK13" s="62"/>
      <c r="KL13" s="62"/>
      <c r="KM13" s="62"/>
      <c r="KN13" s="62"/>
      <c r="KO13" s="62"/>
      <c r="KP13" s="62"/>
      <c r="KQ13" s="18"/>
    </row>
    <row r="14" spans="1:303" customFormat="1" x14ac:dyDescent="0.35">
      <c r="CM14" s="153"/>
      <c r="CN14" s="153"/>
      <c r="CO14" s="153"/>
      <c r="CP14" s="153"/>
      <c r="CQ14" s="153"/>
      <c r="CR14" s="153"/>
      <c r="CS14" s="153"/>
    </row>
    <row r="15" spans="1:303" customFormat="1" x14ac:dyDescent="0.35">
      <c r="G15" s="183" t="s">
        <v>232</v>
      </c>
      <c r="CM15" s="153"/>
      <c r="CN15" s="153"/>
      <c r="CO15" s="153"/>
      <c r="CP15" s="153"/>
      <c r="CQ15" s="153"/>
      <c r="CR15" s="153"/>
      <c r="CS15" s="153"/>
    </row>
    <row r="16" spans="1:303" customFormat="1" x14ac:dyDescent="0.35">
      <c r="CM16" s="153"/>
      <c r="CN16" s="153"/>
      <c r="CO16" s="153"/>
      <c r="CP16" s="153"/>
      <c r="CQ16" s="153"/>
      <c r="CR16" s="153"/>
      <c r="CS16" s="153"/>
    </row>
    <row r="17" spans="1:303" customFormat="1" ht="21" x14ac:dyDescent="0.5">
      <c r="C17" s="158"/>
      <c r="D17" s="152"/>
      <c r="E17" s="152"/>
      <c r="F17" s="152"/>
      <c r="G17" s="152"/>
      <c r="H17" s="152"/>
      <c r="J17" s="152"/>
      <c r="K17" s="152"/>
      <c r="M17" s="152"/>
      <c r="N17" s="152"/>
      <c r="CM17" s="153"/>
      <c r="CN17" s="153"/>
      <c r="CO17" s="153"/>
      <c r="CP17" s="153"/>
      <c r="CQ17" s="153"/>
      <c r="CR17" s="153"/>
      <c r="CS17" s="153"/>
    </row>
    <row r="18" spans="1:303" x14ac:dyDescent="0.35">
      <c r="A18" s="67"/>
      <c r="B18" s="153"/>
      <c r="C18"/>
      <c r="D18" s="154"/>
      <c r="E18" s="170">
        <v>0.05</v>
      </c>
      <c r="F18" s="154"/>
      <c r="G18" s="154"/>
      <c r="H18" s="154"/>
      <c r="I18" s="154"/>
      <c r="J18" s="154"/>
      <c r="K18" s="154"/>
      <c r="L18" s="154"/>
      <c r="M18" s="154"/>
      <c r="N18" s="156"/>
      <c r="O18" s="156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5"/>
      <c r="AJ18" s="154"/>
      <c r="AK18" s="154"/>
      <c r="AL18" s="154"/>
      <c r="AM18" s="155"/>
      <c r="AN18" s="155"/>
      <c r="AO18" s="154"/>
      <c r="AP18" s="154"/>
      <c r="AQ18" s="154"/>
      <c r="AR18" s="154"/>
      <c r="AS18" s="154"/>
      <c r="AT18" s="154"/>
      <c r="AU18" s="154"/>
      <c r="AV18" s="154"/>
      <c r="AW18" s="154"/>
      <c r="AX18" s="154"/>
      <c r="AY18" s="154"/>
      <c r="AZ18" s="154"/>
      <c r="BA18" s="154"/>
      <c r="BB18" s="154"/>
      <c r="BC18" s="154"/>
      <c r="BD18" s="154"/>
      <c r="BE18" s="154"/>
      <c r="BF18" s="154"/>
      <c r="BG18" s="154"/>
      <c r="BH18" s="154"/>
      <c r="BI18" s="154"/>
      <c r="BJ18" s="154"/>
      <c r="BK18" s="154"/>
      <c r="BL18" s="154"/>
      <c r="BM18" s="154"/>
      <c r="BN18" s="154"/>
      <c r="BO18" s="154"/>
      <c r="BP18" s="154"/>
      <c r="BQ18" s="154"/>
      <c r="BR18" s="154"/>
      <c r="BS18" s="154"/>
      <c r="BT18" s="154"/>
      <c r="BU18" s="154"/>
      <c r="BV18" s="154"/>
      <c r="BW18" s="154"/>
      <c r="BX18" s="154"/>
      <c r="BY18" s="154"/>
      <c r="BZ18" s="154"/>
      <c r="CA18" s="154"/>
      <c r="CB18" s="154"/>
      <c r="CC18" s="154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4"/>
      <c r="CO18" s="154"/>
      <c r="CP18" s="154"/>
      <c r="CQ18" s="154"/>
      <c r="CR18" s="154"/>
      <c r="CS18" s="154"/>
      <c r="CT18" s="154"/>
      <c r="CU18" s="154"/>
      <c r="CV18" s="154"/>
      <c r="CW18" s="154"/>
      <c r="CX18" s="154"/>
      <c r="CY18" s="154"/>
      <c r="CZ18" s="154"/>
      <c r="DA18" s="154"/>
      <c r="DB18" s="154"/>
      <c r="DC18" s="154"/>
      <c r="DD18" s="154"/>
      <c r="DE18" s="154"/>
      <c r="DF18" s="154"/>
      <c r="DG18" s="154"/>
      <c r="DH18" s="154"/>
      <c r="DI18" s="154"/>
      <c r="DJ18" s="154"/>
      <c r="DK18" s="154"/>
      <c r="DL18" s="154"/>
      <c r="DM18" s="154"/>
      <c r="DN18" s="154"/>
      <c r="DO18" s="154"/>
      <c r="DP18" s="154"/>
      <c r="DQ18" s="154"/>
      <c r="DR18" s="154"/>
      <c r="DS18" s="154"/>
      <c r="DT18" s="154"/>
      <c r="DU18" s="154"/>
      <c r="DV18" s="154"/>
      <c r="DW18" s="154"/>
      <c r="DX18" s="154"/>
      <c r="DY18" s="154"/>
      <c r="DZ18" s="154"/>
      <c r="EA18" s="154"/>
      <c r="EB18" s="154"/>
      <c r="EC18" s="154"/>
      <c r="ED18" s="154"/>
      <c r="EE18" s="154"/>
      <c r="EF18" s="154"/>
      <c r="EG18" s="154"/>
      <c r="EH18" s="154"/>
      <c r="EI18" s="154"/>
      <c r="EJ18" s="154"/>
      <c r="EK18" s="154"/>
      <c r="EL18" s="154"/>
      <c r="EM18" s="154"/>
      <c r="EN18" s="154"/>
      <c r="EO18" s="154"/>
      <c r="EP18" s="154"/>
      <c r="EQ18" s="154"/>
      <c r="ER18" s="154"/>
      <c r="ES18" s="154"/>
      <c r="ET18" s="154"/>
      <c r="EU18" s="154"/>
      <c r="EV18" s="154"/>
      <c r="EW18" s="154"/>
      <c r="EX18" s="154"/>
      <c r="EY18" s="154"/>
      <c r="EZ18" s="154"/>
      <c r="FA18" s="154"/>
      <c r="FB18" s="154"/>
      <c r="FC18" s="154"/>
      <c r="FD18" s="154"/>
      <c r="FE18" s="154"/>
      <c r="FF18" s="154"/>
      <c r="FG18" s="154"/>
      <c r="FH18" s="154"/>
      <c r="FI18" s="154"/>
      <c r="FJ18" s="154"/>
      <c r="FK18" s="154"/>
      <c r="FL18" s="154"/>
      <c r="FM18" s="154"/>
      <c r="FN18" s="154"/>
      <c r="FO18" s="154"/>
      <c r="FP18" s="154"/>
      <c r="FQ18" s="154"/>
      <c r="FR18" s="154"/>
      <c r="FS18" s="154"/>
      <c r="FT18" s="154"/>
      <c r="FU18" s="154"/>
      <c r="FV18" s="154"/>
      <c r="FW18" s="154"/>
      <c r="FX18" s="154"/>
      <c r="FY18" s="154"/>
      <c r="FZ18" s="154"/>
      <c r="GA18" s="154"/>
      <c r="GB18" s="154"/>
      <c r="GC18" s="154"/>
      <c r="GD18" s="154"/>
      <c r="GE18" s="154"/>
      <c r="GF18" s="154"/>
      <c r="GG18" s="154"/>
      <c r="GH18" s="154"/>
      <c r="GI18" s="154"/>
      <c r="GJ18" s="154"/>
      <c r="GK18" s="154"/>
      <c r="GL18" s="154"/>
      <c r="GM18" s="154"/>
      <c r="GN18" s="154"/>
      <c r="GO18" s="154"/>
      <c r="GP18" s="154"/>
      <c r="GQ18" s="154"/>
      <c r="GR18" s="154"/>
      <c r="GS18" s="154"/>
      <c r="GT18" s="154"/>
      <c r="GU18" s="154"/>
      <c r="GV18" s="154"/>
      <c r="GW18" s="154"/>
      <c r="GX18" s="154"/>
      <c r="GY18" s="154"/>
      <c r="GZ18" s="154"/>
      <c r="HA18" s="154"/>
      <c r="HB18" s="154"/>
      <c r="HC18" s="154"/>
      <c r="HD18" s="154"/>
      <c r="HE18" s="154"/>
      <c r="HF18" s="154"/>
      <c r="HG18" s="154"/>
      <c r="HH18" s="154"/>
      <c r="HI18" s="154"/>
      <c r="HJ18" s="154"/>
      <c r="HK18" s="154"/>
      <c r="HL18" s="154"/>
      <c r="HM18" s="154"/>
      <c r="HN18" s="154"/>
      <c r="HO18" s="154"/>
      <c r="HP18" s="154"/>
      <c r="HQ18" s="154"/>
      <c r="HR18" s="154"/>
      <c r="HS18" s="154"/>
      <c r="HT18" s="154"/>
      <c r="HU18" s="154"/>
      <c r="HV18" s="154"/>
      <c r="HW18" s="154"/>
      <c r="HX18" s="154"/>
      <c r="HY18" s="154"/>
      <c r="HZ18" s="154"/>
      <c r="IA18" s="154"/>
      <c r="IB18" s="154"/>
      <c r="IC18" s="154"/>
      <c r="ID18" s="154"/>
      <c r="IE18" s="154"/>
      <c r="IF18" s="154"/>
      <c r="IG18" s="154"/>
      <c r="IH18" s="154"/>
      <c r="II18" s="154"/>
      <c r="IJ18" s="154"/>
      <c r="IK18" s="154"/>
      <c r="IL18" s="154"/>
      <c r="IM18" s="154"/>
      <c r="IN18" s="154"/>
      <c r="IO18" s="154"/>
      <c r="IP18" s="154"/>
      <c r="IQ18" s="154"/>
      <c r="IR18" s="154"/>
      <c r="IS18" s="154"/>
      <c r="IT18" s="154"/>
      <c r="IU18" s="154"/>
      <c r="IV18" s="154"/>
      <c r="IW18" s="154"/>
      <c r="IX18" s="154"/>
      <c r="IY18" s="154"/>
      <c r="IZ18" s="154"/>
      <c r="JA18" s="154"/>
      <c r="JB18" s="154"/>
      <c r="JC18" s="154"/>
      <c r="JD18" s="154"/>
      <c r="JE18" s="154"/>
      <c r="JF18" s="154"/>
      <c r="JG18" s="154"/>
      <c r="JH18" s="154"/>
      <c r="JI18" s="154"/>
      <c r="JJ18" s="154"/>
      <c r="JK18" s="154"/>
      <c r="JL18" s="154"/>
      <c r="JM18" s="154"/>
      <c r="JN18" s="154"/>
      <c r="JO18" s="154"/>
      <c r="JP18" s="154"/>
      <c r="JQ18" s="154"/>
      <c r="JR18" s="154"/>
      <c r="JS18" s="154"/>
      <c r="JT18" s="154"/>
      <c r="JU18" s="154"/>
      <c r="JV18" s="154"/>
      <c r="JW18" s="154"/>
      <c r="JX18" s="154"/>
      <c r="JY18" s="154"/>
      <c r="JZ18" s="154"/>
      <c r="KA18" s="154"/>
      <c r="KB18" s="154"/>
      <c r="KC18" s="154"/>
      <c r="KD18" s="154"/>
      <c r="KE18" s="154"/>
      <c r="KF18" s="154"/>
      <c r="KG18" s="154"/>
      <c r="KH18" s="154"/>
      <c r="KI18" s="154"/>
      <c r="KJ18" s="154"/>
      <c r="KK18" s="154"/>
      <c r="KL18" s="154"/>
      <c r="KM18" s="154"/>
      <c r="KN18" s="154"/>
      <c r="KO18" s="154"/>
      <c r="KP18" s="154"/>
      <c r="KQ18" s="154"/>
    </row>
    <row r="19" spans="1:303" x14ac:dyDescent="0.35">
      <c r="A19" s="67"/>
      <c r="B19" s="157"/>
      <c r="C19"/>
      <c r="D19" s="154"/>
      <c r="E19" s="170">
        <v>0.01</v>
      </c>
      <c r="F19" s="154"/>
      <c r="G19" s="154"/>
      <c r="H19" s="154"/>
      <c r="I19" s="154"/>
      <c r="J19" s="154"/>
      <c r="K19" s="16">
        <v>-38</v>
      </c>
      <c r="L19" s="155"/>
      <c r="M19" s="154"/>
      <c r="N19" s="154"/>
      <c r="O19" s="156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  <c r="AF19" s="154"/>
      <c r="AG19" s="154"/>
      <c r="AH19" s="154"/>
      <c r="AI19" s="155"/>
      <c r="AJ19" s="154"/>
      <c r="AK19" s="154"/>
      <c r="AL19" s="154"/>
      <c r="AM19" s="155"/>
      <c r="AN19" s="155"/>
      <c r="AO19" s="154"/>
      <c r="AP19" s="154"/>
      <c r="AQ19" s="154"/>
      <c r="AR19" s="154"/>
      <c r="AS19" s="154"/>
      <c r="AT19" s="154"/>
      <c r="AU19" s="154"/>
      <c r="AV19" s="154"/>
      <c r="AW19" s="154"/>
      <c r="AX19" s="154"/>
      <c r="AY19" s="154"/>
      <c r="AZ19" s="154"/>
      <c r="BA19" s="154"/>
      <c r="BB19" s="154"/>
      <c r="BC19" s="154"/>
      <c r="BD19" s="154"/>
      <c r="BE19" s="154"/>
      <c r="BF19" s="154"/>
      <c r="BG19" s="154"/>
      <c r="BH19" s="154"/>
      <c r="BI19" s="154"/>
      <c r="BJ19" s="154"/>
      <c r="BK19" s="154"/>
      <c r="BL19" s="154"/>
      <c r="BM19" s="154"/>
      <c r="BN19" s="154"/>
      <c r="BO19" s="154"/>
      <c r="BP19" s="154"/>
      <c r="BQ19" s="154"/>
      <c r="BR19" s="154"/>
      <c r="BS19" s="154"/>
      <c r="BT19" s="154"/>
      <c r="BU19" s="154"/>
      <c r="BV19" s="154"/>
      <c r="BW19" s="154"/>
      <c r="BX19" s="154"/>
      <c r="BY19" s="154"/>
      <c r="BZ19" s="154"/>
      <c r="CA19" s="154"/>
      <c r="CB19" s="154"/>
      <c r="CC19" s="154"/>
      <c r="CD19" s="154"/>
      <c r="CE19" s="154"/>
      <c r="CF19" s="154"/>
      <c r="CG19" s="154"/>
      <c r="CH19" s="154"/>
      <c r="CI19" s="154"/>
      <c r="CJ19" s="154"/>
      <c r="CK19" s="154"/>
      <c r="CL19" s="154"/>
      <c r="CM19" s="154"/>
      <c r="CN19" s="154"/>
      <c r="CO19" s="154"/>
      <c r="CP19" s="154"/>
      <c r="CQ19" s="154"/>
      <c r="CR19" s="154"/>
      <c r="CS19" s="154"/>
      <c r="CT19" s="154"/>
      <c r="CU19" s="154"/>
      <c r="CV19" s="154"/>
      <c r="CW19" s="154"/>
      <c r="CX19" s="154"/>
      <c r="CY19" s="154"/>
      <c r="CZ19" s="154"/>
      <c r="DA19" s="154"/>
      <c r="DB19" s="154"/>
      <c r="DC19" s="154"/>
      <c r="DD19" s="154"/>
      <c r="DE19" s="154"/>
      <c r="DF19" s="154"/>
      <c r="DG19" s="154"/>
      <c r="DH19" s="154"/>
      <c r="DI19" s="154"/>
      <c r="DJ19" s="154"/>
      <c r="DK19" s="154"/>
      <c r="DL19" s="154"/>
      <c r="DM19" s="154"/>
      <c r="DN19" s="154"/>
      <c r="DO19" s="154"/>
      <c r="DP19" s="154"/>
      <c r="DQ19" s="154"/>
      <c r="DR19" s="154"/>
      <c r="DS19" s="154"/>
      <c r="DT19" s="154"/>
      <c r="DU19" s="154"/>
      <c r="DV19" s="154"/>
      <c r="DW19" s="154"/>
      <c r="DX19" s="154"/>
      <c r="DY19" s="154"/>
      <c r="DZ19" s="154"/>
      <c r="EA19" s="154"/>
      <c r="EB19" s="154"/>
      <c r="EC19" s="154"/>
      <c r="ED19" s="154"/>
      <c r="EE19" s="154"/>
      <c r="EF19" s="154"/>
      <c r="EG19" s="154"/>
      <c r="EH19" s="154"/>
      <c r="EI19" s="154"/>
      <c r="EJ19" s="154"/>
      <c r="EK19" s="154"/>
      <c r="EL19" s="154"/>
      <c r="EM19" s="154"/>
      <c r="EN19" s="154"/>
      <c r="EO19" s="154"/>
      <c r="EP19" s="154"/>
      <c r="EQ19" s="154"/>
      <c r="ER19" s="154"/>
      <c r="ES19" s="154"/>
      <c r="ET19" s="154"/>
      <c r="EU19" s="154"/>
      <c r="EV19" s="154"/>
      <c r="EW19" s="154"/>
      <c r="EX19" s="154"/>
      <c r="EY19" s="154"/>
      <c r="EZ19" s="154"/>
      <c r="FA19" s="154"/>
      <c r="FB19" s="154"/>
      <c r="FC19" s="154"/>
      <c r="FD19" s="154"/>
      <c r="FE19" s="154"/>
      <c r="FF19" s="154"/>
      <c r="FG19" s="154"/>
      <c r="FH19" s="154"/>
      <c r="FI19" s="154"/>
      <c r="FJ19" s="154"/>
      <c r="FK19" s="154"/>
      <c r="FL19" s="154"/>
      <c r="FM19" s="154"/>
      <c r="FN19" s="154"/>
      <c r="FO19" s="154"/>
      <c r="FP19" s="154"/>
      <c r="FQ19" s="154"/>
      <c r="FR19" s="154"/>
      <c r="FS19" s="154"/>
      <c r="FT19" s="154"/>
      <c r="FU19" s="154"/>
      <c r="FV19" s="154"/>
      <c r="FW19" s="154"/>
      <c r="FX19" s="154"/>
      <c r="FY19" s="154"/>
      <c r="FZ19" s="154"/>
      <c r="GA19" s="154"/>
      <c r="GB19" s="154"/>
      <c r="GC19" s="154"/>
      <c r="GD19" s="154"/>
      <c r="GE19" s="154"/>
      <c r="GF19" s="154"/>
      <c r="GG19" s="154"/>
      <c r="GH19" s="154"/>
      <c r="GI19" s="154"/>
      <c r="GJ19" s="154"/>
      <c r="GK19" s="154"/>
      <c r="GL19" s="154"/>
      <c r="GM19" s="154"/>
      <c r="GN19" s="154"/>
      <c r="GO19" s="154"/>
      <c r="GP19" s="154"/>
      <c r="GQ19" s="154"/>
      <c r="GR19" s="154"/>
      <c r="GS19" s="154"/>
      <c r="GT19" s="154"/>
      <c r="GU19" s="154"/>
      <c r="GV19" s="154"/>
      <c r="GW19" s="154"/>
      <c r="GX19" s="154"/>
      <c r="GY19" s="154"/>
      <c r="GZ19" s="154"/>
      <c r="HA19" s="154"/>
      <c r="HB19" s="154"/>
      <c r="HC19" s="154"/>
      <c r="HD19" s="154"/>
      <c r="HE19" s="154"/>
      <c r="HF19" s="154"/>
      <c r="HG19" s="154"/>
      <c r="HH19" s="154"/>
      <c r="HI19" s="154"/>
      <c r="HJ19" s="154"/>
      <c r="HK19" s="154"/>
      <c r="HL19" s="154"/>
      <c r="HM19" s="154"/>
      <c r="HN19" s="154"/>
      <c r="HO19" s="154"/>
      <c r="HP19" s="154"/>
      <c r="HQ19" s="154"/>
      <c r="HR19" s="154"/>
      <c r="HS19" s="154"/>
      <c r="HT19" s="154"/>
      <c r="HU19" s="154"/>
      <c r="HV19" s="154"/>
      <c r="HW19" s="154"/>
      <c r="HX19" s="154"/>
      <c r="HY19" s="154"/>
      <c r="HZ19" s="154"/>
      <c r="IA19" s="154"/>
      <c r="IB19" s="154"/>
      <c r="IC19" s="154"/>
      <c r="ID19" s="154"/>
      <c r="IE19" s="154"/>
      <c r="IF19" s="154"/>
      <c r="IG19" s="154"/>
      <c r="IH19" s="154"/>
      <c r="II19" s="154"/>
      <c r="IJ19" s="154"/>
      <c r="IK19" s="154"/>
      <c r="IL19" s="154"/>
      <c r="IM19" s="154"/>
      <c r="IN19" s="154"/>
      <c r="IO19" s="154"/>
      <c r="IP19" s="154"/>
      <c r="IQ19" s="154"/>
      <c r="IR19" s="154"/>
      <c r="IS19" s="154"/>
      <c r="IT19" s="154"/>
      <c r="IU19" s="154"/>
      <c r="IV19" s="154"/>
      <c r="IW19" s="154"/>
      <c r="IX19" s="154"/>
      <c r="IY19" s="154"/>
      <c r="IZ19" s="154"/>
      <c r="JA19" s="154"/>
      <c r="JB19" s="154"/>
      <c r="JC19" s="154"/>
      <c r="JD19" s="154"/>
      <c r="JE19" s="154"/>
      <c r="JF19" s="154"/>
      <c r="JG19" s="154"/>
      <c r="JH19" s="154"/>
      <c r="JI19" s="154"/>
      <c r="JJ19" s="154"/>
      <c r="JK19" s="154"/>
      <c r="JL19" s="154"/>
      <c r="JM19" s="154"/>
      <c r="JN19" s="154"/>
      <c r="JO19" s="154"/>
      <c r="JP19" s="154"/>
      <c r="JQ19" s="154"/>
      <c r="JR19" s="154"/>
      <c r="JS19" s="154"/>
      <c r="JT19" s="154"/>
      <c r="JU19" s="154"/>
      <c r="JV19" s="154"/>
      <c r="JW19" s="154"/>
      <c r="JX19" s="154"/>
      <c r="JY19" s="154"/>
      <c r="JZ19" s="154"/>
      <c r="KA19" s="154"/>
      <c r="KB19" s="154"/>
      <c r="KC19" s="154"/>
      <c r="KD19" s="154"/>
      <c r="KE19" s="154"/>
      <c r="KF19" s="154"/>
      <c r="KG19" s="154"/>
      <c r="KH19" s="154"/>
      <c r="KI19" s="154"/>
      <c r="KJ19" s="154"/>
      <c r="KK19" s="154"/>
      <c r="KL19" s="154"/>
      <c r="KM19" s="154"/>
      <c r="KN19" s="154"/>
      <c r="KO19" s="154"/>
      <c r="KP19" s="154"/>
      <c r="KQ19" s="154"/>
    </row>
    <row r="20" spans="1:303" x14ac:dyDescent="0.35">
      <c r="A20" s="67"/>
      <c r="B20" s="157"/>
      <c r="C20"/>
      <c r="D20" s="154">
        <v>3.0000000000000001E-3</v>
      </c>
      <c r="E20" s="154">
        <v>1.1999999999999999E-3</v>
      </c>
      <c r="F20" s="154">
        <v>-60</v>
      </c>
      <c r="G20" s="154">
        <v>4</v>
      </c>
      <c r="H20" s="154">
        <v>1</v>
      </c>
      <c r="I20" s="154">
        <v>20</v>
      </c>
      <c r="J20" s="154">
        <v>0</v>
      </c>
      <c r="K20" s="154">
        <v>-42.1</v>
      </c>
      <c r="L20" s="155">
        <v>4.8</v>
      </c>
      <c r="M20" s="155">
        <v>3</v>
      </c>
      <c r="N20" s="154">
        <v>1.5E-3</v>
      </c>
      <c r="O20" s="154">
        <v>4.4999999999999999E-4</v>
      </c>
      <c r="P20" s="154">
        <v>-32.700000000000003</v>
      </c>
      <c r="Q20" s="154">
        <v>1.85</v>
      </c>
      <c r="R20" s="154">
        <v>1</v>
      </c>
      <c r="S20" s="154"/>
      <c r="T20" s="154"/>
      <c r="U20" s="154"/>
      <c r="V20" s="154">
        <v>0</v>
      </c>
      <c r="W20" s="154">
        <v>-51.5</v>
      </c>
      <c r="X20" s="154">
        <v>9.1999999999999993</v>
      </c>
      <c r="Y20" s="154">
        <v>1</v>
      </c>
      <c r="Z20" s="154">
        <v>0.01</v>
      </c>
      <c r="AA20" s="154">
        <v>2.3999999999999998E-3</v>
      </c>
      <c r="AB20" s="154">
        <v>-39.200000000000003</v>
      </c>
      <c r="AC20" s="154">
        <v>3.5</v>
      </c>
      <c r="AD20" s="154">
        <v>1</v>
      </c>
      <c r="AE20" s="154"/>
      <c r="AF20" s="154"/>
      <c r="AG20" s="154"/>
      <c r="AH20" s="154">
        <v>20</v>
      </c>
      <c r="AI20" s="154">
        <v>4</v>
      </c>
      <c r="AJ20" s="154">
        <v>-70</v>
      </c>
      <c r="AK20" s="154">
        <v>0</v>
      </c>
      <c r="AL20" s="154">
        <v>-33</v>
      </c>
      <c r="AM20" s="154">
        <v>8.8000000000000007</v>
      </c>
      <c r="AN20" s="154">
        <v>1</v>
      </c>
      <c r="AO20" s="154">
        <v>2.7E-2</v>
      </c>
      <c r="AP20" s="154">
        <v>2.16E-3</v>
      </c>
      <c r="AQ20" s="154">
        <v>-24</v>
      </c>
      <c r="AR20" s="154">
        <v>11.7</v>
      </c>
      <c r="AS20" s="154">
        <v>1</v>
      </c>
      <c r="AT20" s="154"/>
      <c r="AU20" s="154"/>
      <c r="AV20" s="154"/>
      <c r="AW20" s="154">
        <v>0.15</v>
      </c>
      <c r="AX20" s="154">
        <v>-16.399999999999999</v>
      </c>
      <c r="AY20" s="154">
        <v>1.5</v>
      </c>
      <c r="AZ20" s="154">
        <v>2</v>
      </c>
      <c r="BA20" s="154">
        <v>0.2</v>
      </c>
      <c r="BB20" s="154">
        <v>0.02</v>
      </c>
      <c r="BC20" s="154">
        <v>-24</v>
      </c>
      <c r="BD20" s="154">
        <v>8.3000000000000007</v>
      </c>
      <c r="BE20" s="154">
        <v>1</v>
      </c>
      <c r="BF20" s="154"/>
      <c r="BG20" s="154"/>
      <c r="BH20" s="154"/>
      <c r="BI20" s="154"/>
      <c r="BJ20" s="154"/>
      <c r="BK20" s="154"/>
      <c r="BL20" s="154"/>
      <c r="BM20" s="154"/>
      <c r="BN20" s="154"/>
      <c r="BO20" s="154"/>
      <c r="BP20" s="154"/>
      <c r="BQ20" s="154"/>
      <c r="BR20" s="154"/>
      <c r="BS20" s="154"/>
      <c r="BT20" s="154"/>
      <c r="BU20" s="154"/>
      <c r="BV20" s="154"/>
      <c r="BW20" s="154"/>
      <c r="BX20" s="154"/>
      <c r="BY20" s="154"/>
      <c r="BZ20" s="154"/>
      <c r="CA20" s="154"/>
      <c r="CB20" s="154"/>
      <c r="CC20" s="154"/>
      <c r="CD20" s="154"/>
      <c r="CE20" s="154"/>
      <c r="CF20" s="154"/>
      <c r="CG20" s="154"/>
      <c r="CH20" s="154"/>
      <c r="CI20" s="154"/>
      <c r="CJ20" s="154"/>
      <c r="CK20" s="154"/>
      <c r="CL20" s="154"/>
      <c r="CM20" s="154"/>
      <c r="CN20" s="154"/>
      <c r="CO20" s="154"/>
      <c r="CP20" s="154"/>
      <c r="CQ20" s="154"/>
      <c r="CR20" s="154"/>
      <c r="CS20" s="154"/>
      <c r="CT20" s="154"/>
      <c r="CU20" s="154"/>
      <c r="CV20" s="154"/>
      <c r="CW20" s="154"/>
      <c r="CX20" s="154"/>
      <c r="CY20" s="154"/>
      <c r="CZ20" s="154"/>
      <c r="DA20" s="154"/>
      <c r="DB20" s="154"/>
      <c r="DC20" s="154"/>
      <c r="DD20" s="154"/>
      <c r="DE20" s="154"/>
      <c r="DF20" s="154"/>
      <c r="DG20" s="154"/>
      <c r="DH20" s="154"/>
      <c r="DI20" s="154"/>
      <c r="DJ20" s="154"/>
      <c r="DK20" s="154"/>
      <c r="DL20" s="154"/>
      <c r="DM20" s="154"/>
      <c r="DN20" s="154"/>
      <c r="DO20" s="154"/>
      <c r="DP20" s="154"/>
      <c r="DQ20" s="154"/>
      <c r="DR20" s="154"/>
      <c r="DS20" s="154"/>
      <c r="DT20" s="154"/>
      <c r="DU20" s="154"/>
      <c r="DV20" s="154"/>
      <c r="DW20" s="154"/>
      <c r="DX20" s="154"/>
      <c r="DY20" s="154"/>
      <c r="DZ20" s="154"/>
      <c r="EA20" s="154"/>
      <c r="EB20" s="154"/>
      <c r="EC20" s="154"/>
      <c r="ED20" s="154"/>
      <c r="EE20" s="154"/>
      <c r="EF20" s="154"/>
      <c r="EG20" s="154"/>
      <c r="EH20" s="154"/>
      <c r="EI20" s="154"/>
      <c r="EJ20" s="154"/>
      <c r="EK20" s="154"/>
      <c r="EL20" s="154"/>
      <c r="EM20" s="154"/>
      <c r="EN20" s="154"/>
      <c r="EO20" s="154"/>
      <c r="EP20" s="154"/>
      <c r="EQ20" s="154"/>
      <c r="ER20" s="154"/>
      <c r="ES20" s="154"/>
      <c r="ET20" s="154"/>
      <c r="EU20" s="154"/>
      <c r="EV20" s="154"/>
      <c r="EW20" s="154"/>
      <c r="EX20" s="154"/>
      <c r="EY20" s="154"/>
      <c r="EZ20" s="154"/>
      <c r="FA20" s="154"/>
      <c r="FB20" s="154"/>
      <c r="FC20" s="154"/>
      <c r="FD20" s="154"/>
      <c r="FE20" s="154"/>
      <c r="FF20" s="154"/>
      <c r="FG20" s="154"/>
      <c r="FH20" s="154"/>
      <c r="FI20" s="154"/>
      <c r="FJ20" s="154"/>
      <c r="FK20" s="154"/>
      <c r="FL20" s="154"/>
      <c r="FM20" s="154"/>
      <c r="FN20" s="154"/>
      <c r="FO20" s="154"/>
      <c r="FP20" s="154"/>
      <c r="FQ20" s="154"/>
      <c r="FR20" s="154"/>
      <c r="FS20" s="154"/>
      <c r="FT20" s="154"/>
      <c r="FU20" s="154"/>
      <c r="FV20" s="154"/>
      <c r="FW20" s="154"/>
      <c r="FX20" s="154"/>
      <c r="FY20" s="154"/>
      <c r="FZ20" s="154"/>
      <c r="GA20" s="154"/>
      <c r="GB20" s="154"/>
      <c r="GC20" s="154"/>
      <c r="GD20" s="154"/>
      <c r="GE20" s="154"/>
      <c r="GF20" s="154"/>
      <c r="GG20" s="154"/>
      <c r="GH20" s="154"/>
      <c r="GI20" s="154"/>
      <c r="GJ20" s="154"/>
      <c r="GK20" s="154"/>
      <c r="GL20" s="154"/>
      <c r="GM20" s="154"/>
      <c r="GN20" s="154"/>
      <c r="GO20" s="154"/>
      <c r="GP20" s="154"/>
      <c r="GQ20" s="154"/>
      <c r="GR20" s="154"/>
      <c r="GS20" s="154"/>
      <c r="GT20" s="154"/>
      <c r="GU20" s="154"/>
      <c r="GV20" s="154"/>
      <c r="GW20" s="154"/>
      <c r="GX20" s="154"/>
      <c r="GY20" s="154"/>
      <c r="GZ20" s="154"/>
      <c r="HA20" s="154"/>
      <c r="HB20" s="154"/>
      <c r="HC20" s="154"/>
      <c r="HD20" s="154"/>
      <c r="HE20" s="154"/>
      <c r="HF20" s="154"/>
      <c r="HG20" s="154"/>
      <c r="HH20" s="154"/>
      <c r="HI20" s="154"/>
      <c r="HJ20" s="154"/>
      <c r="HK20" s="154"/>
      <c r="HL20" s="154"/>
      <c r="HM20" s="154"/>
      <c r="HN20" s="154"/>
      <c r="HO20" s="154"/>
      <c r="HP20" s="154"/>
      <c r="HQ20" s="154"/>
      <c r="HR20" s="154"/>
      <c r="HS20" s="154"/>
      <c r="HT20" s="154"/>
      <c r="HU20" s="154"/>
      <c r="HV20" s="154"/>
      <c r="HW20" s="154"/>
      <c r="HX20" s="154"/>
      <c r="HY20" s="154"/>
      <c r="HZ20" s="154"/>
      <c r="IA20" s="154"/>
      <c r="IB20" s="154"/>
      <c r="IC20" s="154"/>
      <c r="ID20" s="154"/>
      <c r="IE20" s="154"/>
      <c r="IF20" s="154"/>
      <c r="IG20" s="154"/>
      <c r="IH20" s="154"/>
      <c r="II20" s="154"/>
      <c r="IJ20" s="154"/>
      <c r="IK20" s="154"/>
      <c r="IL20" s="154"/>
      <c r="IM20" s="154"/>
      <c r="IN20" s="154"/>
      <c r="IO20" s="154"/>
      <c r="IP20" s="154"/>
      <c r="IQ20" s="154"/>
      <c r="IR20" s="154"/>
      <c r="IS20" s="154"/>
      <c r="IT20" s="154"/>
      <c r="IU20" s="154"/>
      <c r="IV20" s="154"/>
      <c r="IW20" s="154"/>
      <c r="IX20" s="154"/>
      <c r="IY20" s="154"/>
      <c r="IZ20" s="154"/>
      <c r="JA20" s="154"/>
      <c r="JB20" s="154"/>
      <c r="JC20" s="154"/>
      <c r="JD20" s="154"/>
      <c r="JE20" s="154"/>
      <c r="JF20" s="154"/>
      <c r="JG20" s="154"/>
      <c r="JH20" s="154"/>
      <c r="JI20" s="154"/>
      <c r="JJ20" s="154"/>
      <c r="JK20" s="154"/>
      <c r="JL20" s="154"/>
      <c r="JM20" s="154"/>
      <c r="JN20" s="154"/>
      <c r="JO20" s="154"/>
      <c r="JP20" s="154"/>
      <c r="JQ20" s="154"/>
      <c r="JR20" s="154"/>
      <c r="JS20" s="154"/>
      <c r="JT20" s="154"/>
      <c r="JU20" s="154"/>
      <c r="JV20" s="154"/>
      <c r="JW20" s="154"/>
      <c r="JX20" s="154"/>
      <c r="JY20" s="154"/>
      <c r="JZ20" s="154"/>
      <c r="KA20" s="154"/>
      <c r="KB20" s="154"/>
      <c r="KC20" s="154"/>
      <c r="KD20" s="154"/>
      <c r="KE20" s="154"/>
      <c r="KF20" s="154"/>
      <c r="KG20" s="154"/>
      <c r="KH20" s="154"/>
      <c r="KI20" s="154"/>
      <c r="KJ20" s="154"/>
      <c r="KK20" s="154"/>
      <c r="KL20" s="154"/>
      <c r="KM20" s="154"/>
      <c r="KN20" s="154"/>
      <c r="KO20" s="154"/>
      <c r="KP20" s="154"/>
      <c r="KQ20" s="154"/>
    </row>
    <row r="21" spans="1:303" customFormat="1" x14ac:dyDescent="0.35">
      <c r="D21" s="166"/>
      <c r="F21" s="167"/>
      <c r="G21" s="165"/>
      <c r="H21" s="165"/>
    </row>
    <row r="22" spans="1:303" customFormat="1" x14ac:dyDescent="0.35"/>
    <row r="23" spans="1:303" customFormat="1" x14ac:dyDescent="0.35"/>
    <row r="24" spans="1:303" ht="15" thickBot="1" x14ac:dyDescent="0.4">
      <c r="A24" s="159">
        <f>[1]Neu!B24</f>
        <v>0</v>
      </c>
      <c r="B24" s="160"/>
      <c r="C24" s="161"/>
      <c r="D24" s="162"/>
      <c r="E24" s="163"/>
      <c r="F24" s="162"/>
      <c r="G24" s="163"/>
      <c r="H24" s="164"/>
      <c r="I24" s="164"/>
      <c r="J24" s="164"/>
      <c r="K24" s="164"/>
      <c r="L24" s="164"/>
      <c r="M24" s="164"/>
      <c r="N24" s="164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43"/>
      <c r="AH24" s="42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43"/>
      <c r="BI24" s="42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43"/>
      <c r="CJ24" s="42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43"/>
      <c r="DK24" s="42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43"/>
      <c r="EL24" s="42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43"/>
      <c r="FM24" s="42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43"/>
      <c r="GN24" s="42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43"/>
      <c r="HO24" s="42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43"/>
      <c r="IP24" s="42"/>
      <c r="IQ24" s="21"/>
      <c r="IR24" s="21"/>
      <c r="IS24" s="21"/>
      <c r="IT24" s="21"/>
      <c r="IU24" s="21"/>
      <c r="IV24" s="21"/>
      <c r="IW24" s="21"/>
      <c r="IX24" s="21"/>
      <c r="IY24" s="21"/>
      <c r="IZ24" s="21"/>
      <c r="JA24" s="21"/>
      <c r="JB24" s="21"/>
      <c r="JC24" s="21"/>
      <c r="JD24" s="21"/>
      <c r="JE24" s="21"/>
      <c r="JF24" s="21"/>
      <c r="JG24" s="21"/>
      <c r="JH24" s="21"/>
      <c r="JI24" s="21"/>
      <c r="JJ24" s="21"/>
      <c r="JK24" s="21"/>
      <c r="JL24" s="21"/>
      <c r="JM24" s="21"/>
      <c r="JN24" s="21"/>
      <c r="JO24" s="21"/>
      <c r="JP24" s="43"/>
      <c r="JQ24" s="42"/>
      <c r="JR24" s="21"/>
      <c r="JS24" s="21"/>
      <c r="JT24" s="21"/>
      <c r="JU24" s="21"/>
      <c r="JV24" s="21"/>
      <c r="JW24" s="21"/>
      <c r="JX24" s="21"/>
      <c r="JY24" s="21"/>
      <c r="JZ24" s="21"/>
      <c r="KA24" s="21"/>
      <c r="KB24" s="21"/>
      <c r="KC24" s="21"/>
      <c r="KD24" s="21"/>
      <c r="KE24" s="21"/>
      <c r="KF24" s="21"/>
      <c r="KG24" s="21"/>
      <c r="KH24" s="21"/>
      <c r="KI24" s="21"/>
      <c r="KJ24" s="21"/>
      <c r="KK24" s="21"/>
      <c r="KL24" s="21"/>
      <c r="KM24" s="21"/>
      <c r="KN24" s="21"/>
      <c r="KO24" s="21"/>
      <c r="KP24" s="21"/>
      <c r="KQ24" s="43"/>
    </row>
    <row r="25" spans="1:303" x14ac:dyDescent="0.35">
      <c r="A25" s="61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I25" s="36"/>
      <c r="DC25" s="36"/>
      <c r="DD25" s="36"/>
      <c r="DE25" s="36"/>
      <c r="DF25" s="36"/>
      <c r="DG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FE25" s="36"/>
      <c r="FF25" s="36"/>
      <c r="FG25" s="36"/>
      <c r="FH25" s="36"/>
      <c r="FI25" s="36"/>
      <c r="FL25" s="36"/>
      <c r="GL25" s="36"/>
      <c r="HM25" s="36"/>
      <c r="HO25" s="36"/>
      <c r="HP25" s="36"/>
      <c r="HQ25" s="36"/>
      <c r="HR25" s="36"/>
      <c r="HS25" s="36"/>
      <c r="HT25" s="36"/>
      <c r="HU25" s="36"/>
      <c r="HV25" s="36"/>
      <c r="HW25" s="36"/>
      <c r="HX25" s="36"/>
      <c r="HY25" s="36"/>
      <c r="HZ25" s="36"/>
      <c r="IA25" s="36"/>
      <c r="IB25" s="36"/>
      <c r="IC25" s="36"/>
      <c r="ID25" s="36"/>
      <c r="IE25" s="36"/>
      <c r="IF25" s="36"/>
      <c r="IG25" s="36"/>
      <c r="IH25" s="36"/>
      <c r="IP25" s="36"/>
      <c r="IQ25" s="36"/>
      <c r="IR25" s="36"/>
      <c r="IS25" s="36"/>
      <c r="IT25" s="36"/>
      <c r="IU25" s="36"/>
      <c r="IV25" s="36"/>
      <c r="IW25" s="36"/>
      <c r="IX25" s="36"/>
      <c r="IY25" s="36"/>
      <c r="IZ25" s="36"/>
      <c r="JA25" s="36"/>
      <c r="JB25" s="36"/>
      <c r="JC25" s="36"/>
      <c r="JD25" s="36"/>
      <c r="JX25" s="14">
        <v>4</v>
      </c>
    </row>
    <row r="26" spans="1:303" x14ac:dyDescent="0.35"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I26" s="36"/>
      <c r="DC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FE26" s="36"/>
      <c r="FL26" s="36"/>
      <c r="GL26" s="36"/>
      <c r="HM26" s="36"/>
      <c r="HV26" s="36"/>
      <c r="HW26" s="36"/>
      <c r="HX26" s="36"/>
      <c r="HY26" s="36"/>
      <c r="HZ26" s="36"/>
      <c r="IA26" s="36"/>
      <c r="IB26" s="36"/>
      <c r="IC26" s="36"/>
      <c r="IP26" s="36"/>
      <c r="IQ26" s="36"/>
      <c r="IR26" s="36"/>
      <c r="IS26" s="36"/>
      <c r="IT26" s="36"/>
      <c r="IU26" s="36"/>
      <c r="IV26" s="36"/>
      <c r="IW26" s="36"/>
      <c r="IX26" s="36"/>
      <c r="IY26" s="36"/>
      <c r="IZ26" s="36"/>
      <c r="JA26" s="36"/>
      <c r="JB26" s="36"/>
      <c r="JC26" s="36"/>
      <c r="JD26" s="36"/>
    </row>
    <row r="27" spans="1:303" x14ac:dyDescent="0.35"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DC27" s="36"/>
      <c r="DD27" s="36"/>
      <c r="DE27" s="36"/>
      <c r="DF27" s="36"/>
      <c r="DG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FE27" s="36"/>
      <c r="FF27" s="36"/>
      <c r="FG27" s="36"/>
      <c r="FH27" s="36"/>
      <c r="FI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GL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HM27" s="36"/>
      <c r="HO27" s="36"/>
      <c r="HP27" s="36"/>
      <c r="HQ27" s="36"/>
      <c r="HR27" s="36"/>
      <c r="HS27" s="36"/>
      <c r="HT27" s="36"/>
      <c r="HU27" s="36"/>
      <c r="ID27" s="36"/>
      <c r="IE27" s="36"/>
      <c r="IF27" s="36"/>
      <c r="IG27" s="36"/>
      <c r="IH27" s="36"/>
      <c r="IW27" s="36"/>
      <c r="IX27" s="36"/>
      <c r="IY27" s="36"/>
      <c r="IZ27" s="36"/>
      <c r="JA27" s="36"/>
      <c r="JB27" s="36"/>
      <c r="JC27" s="36"/>
      <c r="JD27" s="36"/>
    </row>
    <row r="28" spans="1:303" x14ac:dyDescent="0.35"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</row>
    <row r="29" spans="1:303" ht="15" thickBot="1" x14ac:dyDescent="0.4">
      <c r="D29" s="54" t="s">
        <v>105</v>
      </c>
      <c r="O29" s="54" t="s">
        <v>106</v>
      </c>
      <c r="Z29" s="54" t="s">
        <v>107</v>
      </c>
      <c r="BD29" s="54" t="s">
        <v>181</v>
      </c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HO29" s="36"/>
    </row>
    <row r="30" spans="1:303" ht="15" thickBot="1" x14ac:dyDescent="0.4">
      <c r="D30" s="69" t="s">
        <v>0</v>
      </c>
      <c r="E30" s="50" t="s">
        <v>101</v>
      </c>
      <c r="F30" s="51" t="s">
        <v>102</v>
      </c>
      <c r="G30" s="52" t="s">
        <v>103</v>
      </c>
      <c r="H30" s="50" t="s">
        <v>101</v>
      </c>
      <c r="I30" s="51" t="s">
        <v>102</v>
      </c>
      <c r="J30" s="52" t="s">
        <v>103</v>
      </c>
      <c r="K30" s="50" t="s">
        <v>101</v>
      </c>
      <c r="L30" s="51" t="s">
        <v>102</v>
      </c>
      <c r="M30" s="52" t="s">
        <v>103</v>
      </c>
      <c r="O30" s="53" t="s">
        <v>0</v>
      </c>
      <c r="P30" s="50" t="s">
        <v>104</v>
      </c>
      <c r="Q30" s="52" t="s">
        <v>101</v>
      </c>
      <c r="R30" s="50" t="s">
        <v>104</v>
      </c>
      <c r="S30" s="52" t="s">
        <v>101</v>
      </c>
      <c r="T30" s="50" t="s">
        <v>104</v>
      </c>
      <c r="U30" s="52" t="s">
        <v>101</v>
      </c>
      <c r="V30" s="50" t="s">
        <v>104</v>
      </c>
      <c r="W30" s="52" t="s">
        <v>101</v>
      </c>
      <c r="X30" s="36"/>
      <c r="Z30" s="15" t="s">
        <v>0</v>
      </c>
      <c r="AA30" s="50" t="s">
        <v>101</v>
      </c>
      <c r="AB30" s="51" t="s">
        <v>104</v>
      </c>
      <c r="AC30" s="51" t="s">
        <v>119</v>
      </c>
      <c r="AD30" s="51" t="s">
        <v>118</v>
      </c>
      <c r="AE30" s="51" t="s">
        <v>116</v>
      </c>
      <c r="AF30" s="51" t="s">
        <v>117</v>
      </c>
      <c r="AG30" s="52" t="s">
        <v>113</v>
      </c>
      <c r="AH30" s="50" t="s">
        <v>101</v>
      </c>
      <c r="AI30" s="51" t="s">
        <v>104</v>
      </c>
      <c r="AJ30" s="51" t="s">
        <v>119</v>
      </c>
      <c r="AK30" s="51" t="s">
        <v>118</v>
      </c>
      <c r="AL30" s="51" t="s">
        <v>116</v>
      </c>
      <c r="AM30" s="51" t="s">
        <v>117</v>
      </c>
      <c r="AN30" s="52" t="s">
        <v>113</v>
      </c>
      <c r="AO30" s="50" t="s">
        <v>101</v>
      </c>
      <c r="AP30" s="51" t="s">
        <v>104</v>
      </c>
      <c r="AQ30" s="51" t="s">
        <v>119</v>
      </c>
      <c r="AR30" s="51" t="s">
        <v>118</v>
      </c>
      <c r="AS30" s="51" t="s">
        <v>116</v>
      </c>
      <c r="AT30" s="51" t="s">
        <v>117</v>
      </c>
      <c r="AU30" s="52" t="s">
        <v>113</v>
      </c>
      <c r="AV30" s="50" t="s">
        <v>101</v>
      </c>
      <c r="AW30" s="51" t="s">
        <v>104</v>
      </c>
      <c r="AX30" s="51" t="s">
        <v>119</v>
      </c>
      <c r="AY30" s="51" t="s">
        <v>118</v>
      </c>
      <c r="AZ30" s="51" t="s">
        <v>116</v>
      </c>
      <c r="BA30" s="51" t="s">
        <v>117</v>
      </c>
      <c r="BB30" s="52" t="s">
        <v>113</v>
      </c>
      <c r="BD30" s="69" t="s">
        <v>0</v>
      </c>
      <c r="BE30" s="50" t="s">
        <v>182</v>
      </c>
      <c r="DN30" s="36"/>
      <c r="DO30" s="36"/>
      <c r="DP30" s="36"/>
      <c r="DQ30" s="36"/>
      <c r="DR30" s="36"/>
      <c r="DS30" s="36"/>
      <c r="DT30" s="36"/>
      <c r="DU30" s="36"/>
      <c r="DV30" s="36"/>
      <c r="HO30" s="36"/>
    </row>
    <row r="31" spans="1:303" x14ac:dyDescent="0.35">
      <c r="D31" s="2" t="str">
        <f>Neu!$B4</f>
        <v>B63ls</v>
      </c>
      <c r="E31" s="19"/>
      <c r="F31" s="62"/>
      <c r="G31" s="62"/>
      <c r="H31" s="41"/>
      <c r="I31" s="62"/>
      <c r="J31" s="18"/>
      <c r="K31" s="41"/>
      <c r="L31" s="62"/>
      <c r="M31" s="18"/>
      <c r="O31" s="2" t="str">
        <f>Neu!$B4</f>
        <v>B63ls</v>
      </c>
      <c r="P31" s="19"/>
      <c r="Q31" s="19"/>
      <c r="R31" s="41"/>
      <c r="S31" s="41"/>
      <c r="T31" s="41"/>
      <c r="U31" s="18"/>
      <c r="V31" s="41"/>
      <c r="W31" s="18"/>
      <c r="Z31" s="2" t="str">
        <f>Neu!$B4</f>
        <v>B63ls</v>
      </c>
      <c r="AA31" s="19"/>
      <c r="AB31" s="19"/>
      <c r="AC31" s="62"/>
      <c r="AD31" s="32"/>
      <c r="AE31" s="62"/>
      <c r="AF31" s="62"/>
      <c r="AG31" s="18"/>
      <c r="AH31" s="41"/>
      <c r="AI31" s="41"/>
      <c r="AJ31" s="62"/>
      <c r="AK31" s="32"/>
      <c r="AL31" s="62"/>
      <c r="AM31" s="62"/>
      <c r="AN31" s="18"/>
      <c r="AO31" s="19"/>
      <c r="AP31" s="19"/>
      <c r="AQ31" s="62"/>
      <c r="AR31" s="32"/>
      <c r="AS31" s="62"/>
      <c r="AT31" s="62"/>
      <c r="AU31" s="18"/>
      <c r="AV31" s="19"/>
      <c r="AW31" s="41"/>
      <c r="AX31" s="62"/>
      <c r="AY31" s="32"/>
      <c r="AZ31" s="62"/>
      <c r="BA31" s="62"/>
      <c r="BB31" s="18"/>
      <c r="BD31" s="2" t="s">
        <v>165</v>
      </c>
      <c r="BE31" s="19">
        <v>-62</v>
      </c>
      <c r="DN31" s="36"/>
      <c r="DO31" s="36"/>
      <c r="DP31" s="36"/>
      <c r="DQ31" s="36"/>
      <c r="DR31" s="36"/>
      <c r="DS31" s="36"/>
      <c r="DT31" s="36"/>
      <c r="DU31" s="36"/>
      <c r="DV31" s="36"/>
      <c r="HO31" s="36"/>
    </row>
    <row r="32" spans="1:303" x14ac:dyDescent="0.35">
      <c r="D32" s="3" t="str">
        <f>Neu!$B5</f>
        <v>B63la</v>
      </c>
      <c r="E32" s="19" t="s">
        <v>89</v>
      </c>
      <c r="F32" s="62">
        <v>14</v>
      </c>
      <c r="G32" s="62">
        <v>0.4</v>
      </c>
      <c r="H32" s="41"/>
      <c r="I32" s="62"/>
      <c r="J32" s="18"/>
      <c r="K32" s="41"/>
      <c r="L32" s="62"/>
      <c r="M32" s="18"/>
      <c r="O32" s="3" t="str">
        <f>Neu!$B5</f>
        <v>B63la</v>
      </c>
      <c r="P32" s="41" t="s">
        <v>89</v>
      </c>
      <c r="Q32" s="18" t="s">
        <v>89</v>
      </c>
      <c r="R32" s="41"/>
      <c r="S32" s="41"/>
      <c r="T32" s="41"/>
      <c r="U32" s="18"/>
      <c r="V32" s="41"/>
      <c r="W32" s="18"/>
      <c r="Z32" s="3" t="str">
        <f>Neu!$B5</f>
        <v>B63la</v>
      </c>
      <c r="AA32" s="41"/>
      <c r="AB32" s="41"/>
      <c r="AC32" s="62"/>
      <c r="AD32" s="32"/>
      <c r="AE32" s="62"/>
      <c r="AF32" s="62"/>
      <c r="AG32" s="18"/>
      <c r="AH32" s="41"/>
      <c r="AI32" s="41"/>
      <c r="AJ32" s="62"/>
      <c r="AK32" s="32"/>
      <c r="AL32" s="62"/>
      <c r="AM32" s="62"/>
      <c r="AN32" s="18"/>
      <c r="AO32" s="19"/>
      <c r="AP32" s="19"/>
      <c r="AQ32" s="62"/>
      <c r="AR32" s="32"/>
      <c r="AS32" s="62"/>
      <c r="AT32" s="62"/>
      <c r="AU32" s="18"/>
      <c r="AV32" s="19"/>
      <c r="AW32" s="41"/>
      <c r="AX32" s="62"/>
      <c r="AY32" s="32"/>
      <c r="AZ32" s="62"/>
      <c r="BA32" s="62"/>
      <c r="BB32" s="18"/>
      <c r="BD32" s="3" t="s">
        <v>166</v>
      </c>
      <c r="BE32" s="19">
        <v>-62</v>
      </c>
      <c r="DN32" s="36"/>
      <c r="DO32" s="36"/>
      <c r="DP32" s="36"/>
      <c r="DQ32" s="36"/>
      <c r="DR32" s="36"/>
      <c r="DS32" s="36"/>
      <c r="DT32" s="36"/>
      <c r="DU32" s="36"/>
      <c r="DV32" s="36"/>
    </row>
    <row r="33" spans="4:126" x14ac:dyDescent="0.35">
      <c r="D33" s="3" t="str">
        <f>Neu!$B6</f>
        <v>B31rs</v>
      </c>
      <c r="E33" s="19"/>
      <c r="F33" s="62"/>
      <c r="G33" s="62"/>
      <c r="H33" s="41"/>
      <c r="I33" s="62"/>
      <c r="J33" s="18"/>
      <c r="K33" s="41"/>
      <c r="L33" s="62"/>
      <c r="M33" s="18"/>
      <c r="O33" s="3" t="str">
        <f>Neu!$B6</f>
        <v>B31rs</v>
      </c>
      <c r="P33" s="41"/>
      <c r="Q33" s="18"/>
      <c r="R33" s="41"/>
      <c r="S33" s="41"/>
      <c r="T33" s="41"/>
      <c r="U33" s="18"/>
      <c r="V33" s="41"/>
      <c r="W33" s="18"/>
      <c r="Z33" s="3" t="str">
        <f>Neu!$B6</f>
        <v>B31rs</v>
      </c>
      <c r="AA33" s="41"/>
      <c r="AB33" s="41"/>
      <c r="AC33" s="62"/>
      <c r="AD33" s="32"/>
      <c r="AE33" s="62"/>
      <c r="AF33" s="62"/>
      <c r="AG33" s="18"/>
      <c r="AH33" s="41"/>
      <c r="AI33" s="41"/>
      <c r="AJ33" s="62"/>
      <c r="AK33" s="32"/>
      <c r="AL33" s="62"/>
      <c r="AM33" s="62"/>
      <c r="AN33" s="18"/>
      <c r="AO33" s="19"/>
      <c r="AP33" s="19"/>
      <c r="AQ33" s="62"/>
      <c r="AR33" s="32"/>
      <c r="AS33" s="62"/>
      <c r="AT33" s="62"/>
      <c r="AU33" s="18"/>
      <c r="AV33" s="19"/>
      <c r="AW33" s="41"/>
      <c r="AX33" s="62"/>
      <c r="AY33" s="32"/>
      <c r="AZ33" s="62"/>
      <c r="BA33" s="62"/>
      <c r="BB33" s="18"/>
      <c r="BD33" s="3" t="s">
        <v>167</v>
      </c>
      <c r="BE33" s="19">
        <v>-62</v>
      </c>
      <c r="DN33" s="36"/>
      <c r="DO33" s="36"/>
      <c r="DP33" s="36"/>
      <c r="DQ33" s="36"/>
      <c r="DR33" s="36"/>
      <c r="DS33" s="36"/>
      <c r="DT33" s="36"/>
      <c r="DU33" s="36"/>
      <c r="DV33" s="36"/>
    </row>
    <row r="34" spans="4:126" x14ac:dyDescent="0.35">
      <c r="D34" s="3" t="str">
        <f>Neu!$B7</f>
        <v>B64ls</v>
      </c>
      <c r="E34" s="19"/>
      <c r="F34" s="62"/>
      <c r="G34" s="62"/>
      <c r="H34" s="41"/>
      <c r="I34" s="62"/>
      <c r="J34" s="18"/>
      <c r="K34" s="41"/>
      <c r="L34" s="62"/>
      <c r="M34" s="18"/>
      <c r="O34" s="3" t="str">
        <f>Neu!$B7</f>
        <v>B64ls</v>
      </c>
      <c r="P34" s="41"/>
      <c r="Q34" s="18"/>
      <c r="R34" s="41"/>
      <c r="S34" s="41"/>
      <c r="T34" s="41"/>
      <c r="U34" s="18"/>
      <c r="V34" s="41"/>
      <c r="W34" s="18"/>
      <c r="Z34" s="3" t="str">
        <f>Neu!$B7</f>
        <v>B64ls</v>
      </c>
      <c r="AA34" s="41"/>
      <c r="AB34" s="41"/>
      <c r="AC34" s="62"/>
      <c r="AD34" s="32"/>
      <c r="AE34" s="62"/>
      <c r="AF34" s="62"/>
      <c r="AG34" s="18"/>
      <c r="AH34" s="41"/>
      <c r="AI34" s="41"/>
      <c r="AJ34" s="62"/>
      <c r="AK34" s="32"/>
      <c r="AL34" s="62"/>
      <c r="AM34" s="62"/>
      <c r="AN34" s="18"/>
      <c r="AO34" s="19"/>
      <c r="AP34" s="19"/>
      <c r="AQ34" s="62"/>
      <c r="AR34" s="32"/>
      <c r="AS34" s="62"/>
      <c r="AT34" s="62"/>
      <c r="AU34" s="18"/>
      <c r="AV34" s="19"/>
      <c r="AW34" s="41"/>
      <c r="AX34" s="62"/>
      <c r="AY34" s="32"/>
      <c r="AZ34" s="62"/>
      <c r="BA34" s="62"/>
      <c r="BB34" s="18"/>
      <c r="BD34" s="3" t="s">
        <v>168</v>
      </c>
      <c r="BE34" s="19">
        <v>-62</v>
      </c>
    </row>
    <row r="35" spans="4:126" x14ac:dyDescent="0.35">
      <c r="D35" s="3" t="str">
        <f>Neu!$B8</f>
        <v>B64la</v>
      </c>
      <c r="E35" s="19"/>
      <c r="F35" s="62"/>
      <c r="G35" s="62"/>
      <c r="H35" s="41"/>
      <c r="I35" s="62"/>
      <c r="J35" s="18"/>
      <c r="K35" s="41"/>
      <c r="L35" s="62"/>
      <c r="M35" s="18"/>
      <c r="O35" s="3" t="str">
        <f>Neu!$B8</f>
        <v>B64la</v>
      </c>
      <c r="P35" s="41"/>
      <c r="Q35" s="18"/>
      <c r="R35" s="41"/>
      <c r="S35" s="41"/>
      <c r="T35" s="41"/>
      <c r="U35" s="18"/>
      <c r="V35" s="41"/>
      <c r="W35" s="18"/>
      <c r="Z35" s="3" t="str">
        <f>Neu!$B8</f>
        <v>B64la</v>
      </c>
      <c r="AA35" s="41"/>
      <c r="AB35" s="41"/>
      <c r="AC35" s="62"/>
      <c r="AD35" s="32"/>
      <c r="AE35" s="62"/>
      <c r="AF35" s="62"/>
      <c r="AG35" s="18"/>
      <c r="AH35" s="41"/>
      <c r="AI35" s="41"/>
      <c r="AJ35" s="62"/>
      <c r="AK35" s="32"/>
      <c r="AL35" s="62"/>
      <c r="AM35" s="62"/>
      <c r="AN35" s="18"/>
      <c r="AO35" s="19"/>
      <c r="AP35" s="19"/>
      <c r="AQ35" s="62"/>
      <c r="AR35" s="32"/>
      <c r="AS35" s="62"/>
      <c r="AT35" s="62"/>
      <c r="AU35" s="18"/>
      <c r="AV35" s="19"/>
      <c r="AW35" s="41"/>
      <c r="AX35" s="62"/>
      <c r="AY35" s="32"/>
      <c r="AZ35" s="62"/>
      <c r="BA35" s="62"/>
      <c r="BB35" s="18"/>
      <c r="BD35" s="3" t="s">
        <v>169</v>
      </c>
      <c r="BE35" s="19">
        <v>-62</v>
      </c>
    </row>
    <row r="36" spans="4:126" x14ac:dyDescent="0.35">
      <c r="D36" s="3" t="str">
        <f>Neu!$B9</f>
        <v>B63rs</v>
      </c>
      <c r="E36" s="19"/>
      <c r="F36" s="62"/>
      <c r="G36" s="62"/>
      <c r="H36" s="41"/>
      <c r="I36" s="62"/>
      <c r="J36" s="18"/>
      <c r="K36" s="41"/>
      <c r="L36" s="62"/>
      <c r="M36" s="18"/>
      <c r="O36" s="3" t="str">
        <f>Neu!$B9</f>
        <v>B63rs</v>
      </c>
      <c r="P36" s="41"/>
      <c r="Q36" s="18"/>
      <c r="R36" s="41"/>
      <c r="S36" s="41"/>
      <c r="T36" s="41"/>
      <c r="U36" s="18"/>
      <c r="V36" s="41"/>
      <c r="W36" s="18"/>
      <c r="Z36" s="3" t="str">
        <f>Neu!$B9</f>
        <v>B63rs</v>
      </c>
      <c r="AA36" s="41"/>
      <c r="AB36" s="41"/>
      <c r="AC36" s="62"/>
      <c r="AD36" s="32"/>
      <c r="AE36" s="62"/>
      <c r="AF36" s="62"/>
      <c r="AG36" s="18"/>
      <c r="AH36" s="41"/>
      <c r="AI36" s="41"/>
      <c r="AJ36" s="62"/>
      <c r="AK36" s="32"/>
      <c r="AL36" s="62"/>
      <c r="AM36" s="62"/>
      <c r="AN36" s="18"/>
      <c r="AO36" s="19"/>
      <c r="AP36" s="19"/>
      <c r="AQ36" s="62"/>
      <c r="AR36" s="32"/>
      <c r="AS36" s="62"/>
      <c r="AT36" s="62"/>
      <c r="AU36" s="18"/>
      <c r="AV36" s="19"/>
      <c r="AW36" s="41"/>
      <c r="AX36" s="62"/>
      <c r="AY36" s="32"/>
      <c r="AZ36" s="62"/>
      <c r="BA36" s="62"/>
      <c r="BB36" s="18"/>
      <c r="BD36" s="3" t="s">
        <v>170</v>
      </c>
      <c r="BE36" s="19">
        <v>-62</v>
      </c>
    </row>
    <row r="37" spans="4:126" x14ac:dyDescent="0.35">
      <c r="D37" s="3" t="str">
        <f>Neu!$B10</f>
        <v>B63ra</v>
      </c>
      <c r="E37" s="19"/>
      <c r="F37" s="62"/>
      <c r="G37" s="62"/>
      <c r="H37" s="41"/>
      <c r="I37" s="62"/>
      <c r="J37" s="18"/>
      <c r="K37" s="41"/>
      <c r="L37" s="62"/>
      <c r="M37" s="18"/>
      <c r="O37" s="3" t="str">
        <f>Neu!$B10</f>
        <v>B63ra</v>
      </c>
      <c r="P37" s="41"/>
      <c r="Q37" s="18"/>
      <c r="R37" s="41"/>
      <c r="S37" s="41"/>
      <c r="T37" s="41"/>
      <c r="U37" s="18"/>
      <c r="V37" s="41"/>
      <c r="W37" s="18"/>
      <c r="Z37" s="3" t="str">
        <f>Neu!$B10</f>
        <v>B63ra</v>
      </c>
      <c r="AA37" s="41"/>
      <c r="AB37" s="41"/>
      <c r="AC37" s="62"/>
      <c r="AD37" s="32"/>
      <c r="AE37" s="62"/>
      <c r="AF37" s="62"/>
      <c r="AG37" s="18"/>
      <c r="AH37" s="41"/>
      <c r="AI37" s="41"/>
      <c r="AJ37" s="62"/>
      <c r="AK37" s="32"/>
      <c r="AL37" s="62"/>
      <c r="AM37" s="62"/>
      <c r="AN37" s="18"/>
      <c r="AO37" s="19"/>
      <c r="AP37" s="19"/>
      <c r="AQ37" s="62"/>
      <c r="AR37" s="32"/>
      <c r="AS37" s="62"/>
      <c r="AT37" s="62"/>
      <c r="AU37" s="18"/>
      <c r="AV37" s="19"/>
      <c r="AW37" s="41"/>
      <c r="AX37" s="62"/>
      <c r="AY37" s="32"/>
      <c r="AZ37" s="62"/>
      <c r="BA37" s="62"/>
      <c r="BB37" s="18"/>
      <c r="BD37" s="3" t="s">
        <v>171</v>
      </c>
      <c r="BE37" s="19">
        <v>-62</v>
      </c>
    </row>
    <row r="38" spans="4:126" x14ac:dyDescent="0.35">
      <c r="D38" s="3" t="str">
        <f>Neu!$B11</f>
        <v>B31ls</v>
      </c>
      <c r="E38" s="19"/>
      <c r="F38" s="62"/>
      <c r="G38" s="62"/>
      <c r="H38" s="41"/>
      <c r="I38" s="62"/>
      <c r="J38" s="18"/>
      <c r="K38" s="41"/>
      <c r="L38" s="62"/>
      <c r="M38" s="18"/>
      <c r="O38" s="3" t="str">
        <f>Neu!$B11</f>
        <v>B31ls</v>
      </c>
      <c r="P38" s="41"/>
      <c r="Q38" s="18"/>
      <c r="R38" s="41"/>
      <c r="S38" s="41"/>
      <c r="T38" s="41"/>
      <c r="U38" s="18"/>
      <c r="V38" s="41"/>
      <c r="W38" s="18"/>
      <c r="Z38" s="3" t="str">
        <f>Neu!$B11</f>
        <v>B31ls</v>
      </c>
      <c r="AA38" s="41"/>
      <c r="AB38" s="41"/>
      <c r="AC38" s="62"/>
      <c r="AD38" s="32"/>
      <c r="AE38" s="62"/>
      <c r="AF38" s="62"/>
      <c r="AG38" s="18"/>
      <c r="AH38" s="41"/>
      <c r="AI38" s="41"/>
      <c r="AJ38" s="62"/>
      <c r="AK38" s="32"/>
      <c r="AL38" s="62"/>
      <c r="AM38" s="62"/>
      <c r="AN38" s="18"/>
      <c r="AO38" s="19"/>
      <c r="AP38" s="19"/>
      <c r="AQ38" s="62"/>
      <c r="AR38" s="32"/>
      <c r="AS38" s="62"/>
      <c r="AT38" s="62"/>
      <c r="AU38" s="18"/>
      <c r="AV38" s="19"/>
      <c r="AW38" s="41"/>
      <c r="AX38" s="62"/>
      <c r="AY38" s="32"/>
      <c r="AZ38" s="62"/>
      <c r="BA38" s="62"/>
      <c r="BB38" s="18"/>
      <c r="BD38" s="3" t="s">
        <v>172</v>
      </c>
      <c r="BE38" s="19">
        <v>-62</v>
      </c>
    </row>
    <row r="39" spans="4:126" x14ac:dyDescent="0.35">
      <c r="D39" s="3" t="str">
        <f>Neu!$B12</f>
        <v>B64rs</v>
      </c>
      <c r="E39" s="19"/>
      <c r="F39" s="62"/>
      <c r="G39" s="62"/>
      <c r="H39" s="41"/>
      <c r="I39" s="62"/>
      <c r="J39" s="18"/>
      <c r="K39" s="41"/>
      <c r="L39" s="62"/>
      <c r="M39" s="18"/>
      <c r="O39" s="3" t="str">
        <f>Neu!$B12</f>
        <v>B64rs</v>
      </c>
      <c r="P39" s="41"/>
      <c r="Q39" s="18"/>
      <c r="R39" s="41"/>
      <c r="S39" s="41"/>
      <c r="T39" s="41"/>
      <c r="U39" s="18"/>
      <c r="V39" s="41"/>
      <c r="W39" s="18"/>
      <c r="Z39" s="3" t="str">
        <f>Neu!$B12</f>
        <v>B64rs</v>
      </c>
      <c r="AA39" s="41"/>
      <c r="AB39" s="41"/>
      <c r="AC39" s="62"/>
      <c r="AD39" s="32"/>
      <c r="AE39" s="62"/>
      <c r="AF39" s="62"/>
      <c r="AG39" s="18"/>
      <c r="AH39" s="41"/>
      <c r="AI39" s="41"/>
      <c r="AJ39" s="62"/>
      <c r="AK39" s="32"/>
      <c r="AL39" s="62"/>
      <c r="AM39" s="62"/>
      <c r="AN39" s="18"/>
      <c r="AO39" s="19"/>
      <c r="AP39" s="19"/>
      <c r="AQ39" s="62"/>
      <c r="AR39" s="32"/>
      <c r="AS39" s="62"/>
      <c r="AT39" s="62"/>
      <c r="AU39" s="18"/>
      <c r="AV39" s="19"/>
      <c r="AW39" s="41"/>
      <c r="AX39" s="62"/>
      <c r="AY39" s="32"/>
      <c r="AZ39" s="62"/>
      <c r="BA39" s="62"/>
      <c r="BB39" s="18"/>
      <c r="BD39" s="3" t="s">
        <v>173</v>
      </c>
      <c r="BE39" s="19">
        <v>-62</v>
      </c>
    </row>
    <row r="40" spans="4:126" x14ac:dyDescent="0.35">
      <c r="D40" s="3" t="str">
        <f>Neu!$B13</f>
        <v>B64ra</v>
      </c>
      <c r="E40" s="19"/>
      <c r="F40" s="62"/>
      <c r="G40" s="62"/>
      <c r="H40" s="41"/>
      <c r="I40" s="62"/>
      <c r="J40" s="18"/>
      <c r="K40" s="41"/>
      <c r="L40" s="62"/>
      <c r="M40" s="18"/>
      <c r="O40" s="3" t="str">
        <f>Neu!$B13</f>
        <v>B64ra</v>
      </c>
      <c r="P40" s="41"/>
      <c r="Q40" s="18"/>
      <c r="R40" s="41"/>
      <c r="S40" s="41"/>
      <c r="T40" s="41"/>
      <c r="U40" s="18"/>
      <c r="V40" s="41"/>
      <c r="W40" s="18"/>
      <c r="Z40" s="3" t="str">
        <f>Neu!$B13</f>
        <v>B64ra</v>
      </c>
      <c r="AA40" s="41"/>
      <c r="AB40" s="41"/>
      <c r="AC40" s="62"/>
      <c r="AD40" s="32"/>
      <c r="AE40" s="62"/>
      <c r="AF40" s="62"/>
      <c r="AG40" s="18"/>
      <c r="AH40" s="41"/>
      <c r="AI40" s="41"/>
      <c r="AJ40" s="62"/>
      <c r="AK40" s="32"/>
      <c r="AL40" s="62"/>
      <c r="AM40" s="62"/>
      <c r="AN40" s="18"/>
      <c r="AO40" s="19"/>
      <c r="AP40" s="19"/>
      <c r="AQ40" s="62"/>
      <c r="AR40" s="32"/>
      <c r="AS40" s="62"/>
      <c r="AT40" s="62"/>
      <c r="AU40" s="18"/>
      <c r="AV40" s="19"/>
      <c r="AW40" s="41"/>
      <c r="AX40" s="62"/>
      <c r="AY40" s="32"/>
      <c r="AZ40" s="62"/>
      <c r="BA40" s="62"/>
      <c r="BB40" s="18"/>
      <c r="BD40" s="3" t="s">
        <v>174</v>
      </c>
      <c r="BE40" s="19">
        <v>-62</v>
      </c>
    </row>
    <row r="41" spans="4:126" x14ac:dyDescent="0.35">
      <c r="D41" s="3">
        <f>Neu!$B14</f>
        <v>0</v>
      </c>
      <c r="E41" s="19"/>
      <c r="F41" s="62"/>
      <c r="G41" s="62"/>
      <c r="H41" s="41"/>
      <c r="I41" s="62"/>
      <c r="J41" s="18"/>
      <c r="K41" s="41"/>
      <c r="L41" s="62"/>
      <c r="M41" s="18"/>
      <c r="O41" s="3">
        <f>Neu!$B14</f>
        <v>0</v>
      </c>
      <c r="P41" s="41"/>
      <c r="Q41" s="18"/>
      <c r="R41" s="41"/>
      <c r="S41" s="41"/>
      <c r="T41" s="41"/>
      <c r="U41" s="18"/>
      <c r="V41" s="41"/>
      <c r="W41" s="18"/>
      <c r="Z41" s="3">
        <f>Neu!$B14</f>
        <v>0</v>
      </c>
      <c r="AA41" s="41"/>
      <c r="AB41" s="41"/>
      <c r="AC41" s="62"/>
      <c r="AD41" s="32"/>
      <c r="AE41" s="62"/>
      <c r="AF41" s="62"/>
      <c r="AG41" s="18"/>
      <c r="AH41" s="41"/>
      <c r="AI41" s="41"/>
      <c r="AJ41" s="62"/>
      <c r="AK41" s="32"/>
      <c r="AL41" s="62"/>
      <c r="AM41" s="62"/>
      <c r="AN41" s="18"/>
      <c r="AO41" s="19"/>
      <c r="AP41" s="19"/>
      <c r="AQ41" s="62"/>
      <c r="AR41" s="32"/>
      <c r="AS41" s="62"/>
      <c r="AT41" s="62"/>
      <c r="AU41" s="18"/>
      <c r="AV41" s="19"/>
      <c r="AW41" s="41"/>
      <c r="AX41" s="62"/>
      <c r="AY41" s="32"/>
      <c r="AZ41" s="62"/>
      <c r="BA41" s="62"/>
      <c r="BB41" s="18"/>
      <c r="BD41" s="3" t="s">
        <v>175</v>
      </c>
      <c r="BE41" s="19">
        <v>-62</v>
      </c>
    </row>
    <row r="42" spans="4:126" x14ac:dyDescent="0.35">
      <c r="D42" s="3">
        <f>Neu!$B15</f>
        <v>0</v>
      </c>
      <c r="E42" s="19"/>
      <c r="F42" s="62"/>
      <c r="G42" s="62"/>
      <c r="H42" s="41"/>
      <c r="I42" s="62"/>
      <c r="J42" s="18"/>
      <c r="K42" s="41"/>
      <c r="L42" s="62"/>
      <c r="M42" s="18"/>
      <c r="O42" s="3">
        <f>Neu!$B15</f>
        <v>0</v>
      </c>
      <c r="P42" s="41"/>
      <c r="Q42" s="18"/>
      <c r="R42" s="41"/>
      <c r="S42" s="41"/>
      <c r="T42" s="41"/>
      <c r="U42" s="18"/>
      <c r="V42" s="41"/>
      <c r="W42" s="18"/>
      <c r="Z42" s="3">
        <f>Neu!$B15</f>
        <v>0</v>
      </c>
      <c r="AA42" s="41"/>
      <c r="AB42" s="41"/>
      <c r="AC42" s="62"/>
      <c r="AD42" s="32"/>
      <c r="AE42" s="62"/>
      <c r="AF42" s="62"/>
      <c r="AG42" s="18"/>
      <c r="AH42" s="41"/>
      <c r="AI42" s="41"/>
      <c r="AJ42" s="62"/>
      <c r="AK42" s="32"/>
      <c r="AL42" s="62"/>
      <c r="AM42" s="62"/>
      <c r="AN42" s="18"/>
      <c r="AO42" s="19"/>
      <c r="AP42" s="19"/>
      <c r="AQ42" s="62"/>
      <c r="AR42" s="32"/>
      <c r="AS42" s="62"/>
      <c r="AT42" s="62"/>
      <c r="AU42" s="18"/>
      <c r="AV42" s="19"/>
      <c r="AW42" s="41"/>
      <c r="AX42" s="62"/>
      <c r="AY42" s="32"/>
      <c r="AZ42" s="62"/>
      <c r="BA42" s="62"/>
      <c r="BB42" s="18"/>
      <c r="BD42" s="3" t="s">
        <v>176</v>
      </c>
      <c r="BE42" s="19">
        <v>-62</v>
      </c>
    </row>
    <row r="43" spans="4:126" x14ac:dyDescent="0.35">
      <c r="D43" s="3">
        <f>Neu!$B16</f>
        <v>0</v>
      </c>
      <c r="E43" s="19"/>
      <c r="F43" s="62"/>
      <c r="G43" s="18"/>
      <c r="H43" s="41"/>
      <c r="I43" s="62"/>
      <c r="J43" s="18"/>
      <c r="K43" s="41"/>
      <c r="L43" s="62"/>
      <c r="M43" s="18"/>
      <c r="O43" s="3">
        <f>Neu!$B16</f>
        <v>0</v>
      </c>
      <c r="P43" s="41"/>
      <c r="Q43" s="18"/>
      <c r="R43" s="41"/>
      <c r="S43" s="18"/>
      <c r="T43" s="41"/>
      <c r="U43" s="18"/>
      <c r="V43" s="41"/>
      <c r="W43" s="18"/>
      <c r="Z43" s="3">
        <f>Neu!$B16</f>
        <v>0</v>
      </c>
      <c r="AA43" s="41"/>
      <c r="AB43" s="62"/>
      <c r="AC43" s="62"/>
      <c r="AD43" s="32"/>
      <c r="AE43" s="62"/>
      <c r="AF43" s="62"/>
      <c r="AG43" s="18"/>
      <c r="AH43" s="41"/>
      <c r="AI43" s="41"/>
      <c r="AJ43" s="62"/>
      <c r="AK43" s="32"/>
      <c r="AL43" s="62"/>
      <c r="AM43" s="62"/>
      <c r="AN43" s="18"/>
      <c r="AO43" s="41"/>
      <c r="AP43" s="62"/>
      <c r="AQ43" s="62"/>
      <c r="AR43" s="62"/>
      <c r="AS43" s="62"/>
      <c r="AT43" s="62"/>
      <c r="AU43" s="18"/>
      <c r="AV43" s="41"/>
      <c r="AW43" s="62"/>
      <c r="AX43" s="62"/>
      <c r="AY43" s="62"/>
      <c r="AZ43" s="62"/>
      <c r="BA43" s="62"/>
      <c r="BB43" s="18"/>
      <c r="BD43" s="3">
        <f>Neu!$B17</f>
        <v>0</v>
      </c>
      <c r="BE43" s="19"/>
    </row>
    <row r="44" spans="4:126" x14ac:dyDescent="0.35">
      <c r="D44" s="3"/>
      <c r="E44" s="19"/>
      <c r="F44" s="62"/>
      <c r="G44" s="18"/>
      <c r="H44" s="41"/>
      <c r="I44" s="62"/>
      <c r="J44" s="18"/>
      <c r="K44" s="41"/>
      <c r="L44" s="62"/>
      <c r="M44" s="18"/>
      <c r="O44" s="3"/>
      <c r="P44" s="41"/>
      <c r="Q44" s="18"/>
      <c r="R44" s="41"/>
      <c r="S44" s="18"/>
      <c r="T44" s="41"/>
      <c r="U44" s="18"/>
      <c r="V44" s="41"/>
      <c r="W44" s="18"/>
      <c r="Z44" s="3"/>
      <c r="AA44" s="41"/>
      <c r="AB44" s="62"/>
      <c r="AC44" s="62"/>
      <c r="AD44" s="32"/>
      <c r="AE44" s="62"/>
      <c r="AF44" s="62"/>
      <c r="AG44" s="18"/>
      <c r="AH44" s="41"/>
      <c r="AI44" s="62"/>
      <c r="AJ44" s="62"/>
      <c r="AK44" s="62"/>
      <c r="AL44" s="62"/>
      <c r="AM44" s="62"/>
      <c r="AN44" s="18"/>
      <c r="AO44" s="41"/>
      <c r="AP44" s="62"/>
      <c r="AQ44" s="62"/>
      <c r="AR44" s="62"/>
      <c r="AS44" s="62"/>
      <c r="AT44" s="62"/>
      <c r="AU44" s="18"/>
      <c r="AV44" s="41"/>
      <c r="AW44" s="62"/>
      <c r="AX44" s="62"/>
      <c r="AY44" s="62"/>
      <c r="AZ44" s="62"/>
      <c r="BA44" s="62"/>
      <c r="BB44" s="18"/>
      <c r="BD44" s="3" t="e">
        <f>Neu!#REF!</f>
        <v>#REF!</v>
      </c>
      <c r="BE44" s="19"/>
    </row>
    <row r="45" spans="4:126" x14ac:dyDescent="0.35">
      <c r="D45" s="3"/>
      <c r="E45" s="19"/>
      <c r="F45" s="62"/>
      <c r="G45" s="18"/>
      <c r="H45" s="41"/>
      <c r="I45" s="62"/>
      <c r="J45" s="18"/>
      <c r="K45" s="41"/>
      <c r="L45" s="62"/>
      <c r="M45" s="18"/>
      <c r="O45" s="3"/>
      <c r="P45" s="41"/>
      <c r="Q45" s="18"/>
      <c r="R45" s="41"/>
      <c r="S45" s="18"/>
      <c r="T45" s="41"/>
      <c r="U45" s="18"/>
      <c r="V45" s="41"/>
      <c r="W45" s="18"/>
      <c r="Z45" s="3"/>
      <c r="AA45" s="41"/>
      <c r="AB45" s="62"/>
      <c r="AC45" s="62"/>
      <c r="AD45" s="32"/>
      <c r="AE45" s="62"/>
      <c r="AF45" s="62"/>
      <c r="AG45" s="18"/>
      <c r="AH45" s="41"/>
      <c r="AI45" s="62"/>
      <c r="AJ45" s="62"/>
      <c r="AK45" s="62"/>
      <c r="AL45" s="62"/>
      <c r="AM45" s="62"/>
      <c r="AN45" s="18"/>
      <c r="AO45" s="41"/>
      <c r="AP45" s="62"/>
      <c r="AQ45" s="62"/>
      <c r="AR45" s="62"/>
      <c r="AS45" s="62"/>
      <c r="AT45" s="62"/>
      <c r="AU45" s="18"/>
      <c r="AV45" s="41"/>
      <c r="AW45" s="62"/>
      <c r="AX45" s="62"/>
      <c r="AY45" s="62"/>
      <c r="AZ45" s="62"/>
      <c r="BA45" s="62"/>
      <c r="BB45" s="18"/>
      <c r="BD45" s="3" t="e">
        <f>Neu!#REF!</f>
        <v>#REF!</v>
      </c>
      <c r="BE45" s="19"/>
    </row>
    <row r="46" spans="4:126" x14ac:dyDescent="0.35">
      <c r="D46" s="3"/>
      <c r="E46" s="19"/>
      <c r="F46" s="62"/>
      <c r="G46" s="18"/>
      <c r="H46" s="41"/>
      <c r="I46" s="62"/>
      <c r="J46" s="18"/>
      <c r="K46" s="41"/>
      <c r="L46" s="62"/>
      <c r="M46" s="18"/>
      <c r="O46" s="3"/>
      <c r="P46" s="41"/>
      <c r="Q46" s="18"/>
      <c r="R46" s="41"/>
      <c r="S46" s="18"/>
      <c r="T46" s="41"/>
      <c r="U46" s="18"/>
      <c r="V46" s="41"/>
      <c r="W46" s="18"/>
      <c r="Z46" s="3"/>
      <c r="AA46" s="41"/>
      <c r="AB46" s="62"/>
      <c r="AC46" s="62"/>
      <c r="AD46" s="32"/>
      <c r="AE46" s="62"/>
      <c r="AF46" s="62"/>
      <c r="AG46" s="18"/>
      <c r="AH46" s="41"/>
      <c r="AI46" s="62"/>
      <c r="AJ46" s="62"/>
      <c r="AK46" s="62"/>
      <c r="AL46" s="62"/>
      <c r="AM46" s="62"/>
      <c r="AN46" s="18"/>
      <c r="AO46" s="41"/>
      <c r="AP46" s="62"/>
      <c r="AQ46" s="62"/>
      <c r="AR46" s="62"/>
      <c r="AS46" s="62"/>
      <c r="AT46" s="62"/>
      <c r="AU46" s="18"/>
      <c r="AV46" s="41"/>
      <c r="AW46" s="62"/>
      <c r="AX46" s="62"/>
      <c r="AY46" s="62"/>
      <c r="AZ46" s="62"/>
      <c r="BA46" s="62"/>
      <c r="BB46" s="18"/>
      <c r="BD46" s="3" t="e">
        <f>Neu!#REF!</f>
        <v>#REF!</v>
      </c>
      <c r="BE46" s="19"/>
    </row>
    <row r="47" spans="4:126" x14ac:dyDescent="0.35">
      <c r="D47" s="3"/>
      <c r="E47" s="19"/>
      <c r="F47" s="62"/>
      <c r="G47" s="18"/>
      <c r="H47" s="41"/>
      <c r="I47" s="62"/>
      <c r="J47" s="18"/>
      <c r="K47" s="41"/>
      <c r="L47" s="62"/>
      <c r="M47" s="18"/>
      <c r="O47" s="3"/>
      <c r="P47" s="41"/>
      <c r="Q47" s="18"/>
      <c r="R47" s="41"/>
      <c r="S47" s="18"/>
      <c r="T47" s="41"/>
      <c r="U47" s="18"/>
      <c r="V47" s="41"/>
      <c r="W47" s="18"/>
      <c r="Z47" s="3"/>
      <c r="AA47" s="41"/>
      <c r="AB47" s="62"/>
      <c r="AC47" s="62"/>
      <c r="AD47" s="32"/>
      <c r="AE47" s="62"/>
      <c r="AF47" s="62"/>
      <c r="AG47" s="18"/>
      <c r="AH47" s="41"/>
      <c r="AI47" s="62"/>
      <c r="AJ47" s="62"/>
      <c r="AK47" s="62"/>
      <c r="AL47" s="62"/>
      <c r="AM47" s="62"/>
      <c r="AN47" s="18"/>
      <c r="AO47" s="41"/>
      <c r="AP47" s="62"/>
      <c r="AQ47" s="62"/>
      <c r="AR47" s="62"/>
      <c r="AS47" s="62"/>
      <c r="AT47" s="62"/>
      <c r="AU47" s="18"/>
      <c r="AV47" s="41"/>
      <c r="AW47" s="62"/>
      <c r="AX47" s="62"/>
      <c r="AY47" s="62"/>
      <c r="AZ47" s="62"/>
      <c r="BA47" s="62"/>
      <c r="BB47" s="18"/>
      <c r="BD47" s="3">
        <f>Neu!$B21</f>
        <v>0</v>
      </c>
      <c r="BE47" s="19"/>
    </row>
    <row r="48" spans="4:126" x14ac:dyDescent="0.35">
      <c r="D48" s="3"/>
      <c r="E48" s="19"/>
      <c r="F48" s="62"/>
      <c r="G48" s="18"/>
      <c r="H48" s="41"/>
      <c r="I48" s="62"/>
      <c r="J48" s="18"/>
      <c r="K48" s="41"/>
      <c r="L48" s="62"/>
      <c r="M48" s="18"/>
      <c r="O48" s="3"/>
      <c r="P48" s="41"/>
      <c r="Q48" s="18"/>
      <c r="R48" s="41"/>
      <c r="S48" s="18"/>
      <c r="T48" s="41"/>
      <c r="U48" s="18"/>
      <c r="V48" s="41"/>
      <c r="W48" s="18"/>
      <c r="Z48" s="3"/>
      <c r="AA48" s="41"/>
      <c r="AB48" s="62"/>
      <c r="AC48" s="62"/>
      <c r="AD48" s="32"/>
      <c r="AE48" s="62"/>
      <c r="AF48" s="62"/>
      <c r="AG48" s="18"/>
      <c r="AH48" s="41"/>
      <c r="AI48" s="62"/>
      <c r="AJ48" s="62"/>
      <c r="AK48" s="62"/>
      <c r="AL48" s="62"/>
      <c r="AM48" s="62"/>
      <c r="AN48" s="18"/>
      <c r="AO48" s="41"/>
      <c r="AP48" s="62"/>
      <c r="AQ48" s="62"/>
      <c r="AR48" s="62"/>
      <c r="AS48" s="62"/>
      <c r="AT48" s="62"/>
      <c r="AU48" s="18"/>
      <c r="AV48" s="41"/>
      <c r="AW48" s="62"/>
      <c r="AX48" s="62"/>
      <c r="AY48" s="62"/>
      <c r="AZ48" s="62"/>
      <c r="BA48" s="62"/>
      <c r="BB48" s="18"/>
      <c r="BD48" s="3">
        <f>Neu!$B22</f>
        <v>0</v>
      </c>
      <c r="BE48" s="19"/>
    </row>
    <row r="49" spans="3:57" x14ac:dyDescent="0.35">
      <c r="D49" s="3">
        <f>Neu!$B17</f>
        <v>0</v>
      </c>
      <c r="E49" s="19"/>
      <c r="F49" s="62"/>
      <c r="G49" s="18"/>
      <c r="H49" s="41"/>
      <c r="I49" s="62"/>
      <c r="J49" s="18"/>
      <c r="K49" s="41"/>
      <c r="L49" s="62"/>
      <c r="M49" s="18"/>
      <c r="O49" s="3">
        <f>Neu!$B17</f>
        <v>0</v>
      </c>
      <c r="P49" s="41"/>
      <c r="Q49" s="18"/>
      <c r="R49" s="41"/>
      <c r="S49" s="18"/>
      <c r="T49" s="41"/>
      <c r="U49" s="18"/>
      <c r="V49" s="41"/>
      <c r="W49" s="18"/>
      <c r="Z49" s="3">
        <f>Neu!$B17</f>
        <v>0</v>
      </c>
      <c r="AA49" s="41"/>
      <c r="AB49" s="62"/>
      <c r="AC49" s="62"/>
      <c r="AD49" s="32"/>
      <c r="AE49" s="62"/>
      <c r="AF49" s="62"/>
      <c r="AG49" s="18"/>
      <c r="AH49" s="41"/>
      <c r="AI49" s="62"/>
      <c r="AJ49" s="62"/>
      <c r="AK49" s="62"/>
      <c r="AL49" s="62"/>
      <c r="AM49" s="62"/>
      <c r="AN49" s="18"/>
      <c r="AO49" s="41"/>
      <c r="AP49" s="62"/>
      <c r="AQ49" s="62"/>
      <c r="AR49" s="62"/>
      <c r="AS49" s="62"/>
      <c r="AT49" s="62"/>
      <c r="AU49" s="18"/>
      <c r="AV49" s="41"/>
      <c r="AW49" s="62"/>
      <c r="AX49" s="62"/>
      <c r="AY49" s="62"/>
      <c r="AZ49" s="62"/>
      <c r="BA49" s="62"/>
      <c r="BB49" s="18"/>
      <c r="BD49" s="3">
        <f>Neu!$B23</f>
        <v>0</v>
      </c>
      <c r="BE49" s="19"/>
    </row>
    <row r="50" spans="3:57" x14ac:dyDescent="0.35">
      <c r="D50" s="3" t="e">
        <f>Neu!#REF!</f>
        <v>#REF!</v>
      </c>
      <c r="E50" s="19"/>
      <c r="F50" s="62"/>
      <c r="G50" s="18"/>
      <c r="H50" s="41"/>
      <c r="I50" s="62"/>
      <c r="J50" s="18"/>
      <c r="K50" s="41"/>
      <c r="L50" s="62"/>
      <c r="M50" s="18"/>
      <c r="O50" s="3" t="e">
        <f>Neu!#REF!</f>
        <v>#REF!</v>
      </c>
      <c r="P50" s="41"/>
      <c r="Q50" s="18"/>
      <c r="R50" s="41"/>
      <c r="S50" s="18"/>
      <c r="T50" s="41"/>
      <c r="U50" s="18"/>
      <c r="V50" s="41"/>
      <c r="W50" s="18"/>
      <c r="Z50" s="3" t="e">
        <f>Neu!#REF!</f>
        <v>#REF!</v>
      </c>
      <c r="AA50" s="41"/>
      <c r="AB50" s="62"/>
      <c r="AC50" s="62"/>
      <c r="AD50" s="32"/>
      <c r="AE50" s="62"/>
      <c r="AF50" s="62"/>
      <c r="AG50" s="18"/>
      <c r="AH50" s="41"/>
      <c r="AI50" s="62"/>
      <c r="AJ50" s="62"/>
      <c r="AK50" s="62"/>
      <c r="AL50" s="62"/>
      <c r="AM50" s="62"/>
      <c r="AN50" s="18"/>
      <c r="AO50" s="41"/>
      <c r="AP50" s="62"/>
      <c r="AQ50" s="62"/>
      <c r="AR50" s="62"/>
      <c r="AS50" s="62"/>
      <c r="AT50" s="62"/>
      <c r="AU50" s="18"/>
      <c r="AV50" s="41"/>
      <c r="AW50" s="62"/>
      <c r="AX50" s="62"/>
      <c r="AY50" s="62"/>
      <c r="AZ50" s="62"/>
      <c r="BA50" s="62"/>
      <c r="BB50" s="18"/>
      <c r="BD50" s="3">
        <f>Neu!$B24</f>
        <v>0</v>
      </c>
      <c r="BE50" s="19"/>
    </row>
    <row r="51" spans="3:57" ht="15" thickBot="1" x14ac:dyDescent="0.4">
      <c r="D51" s="5">
        <f>Neu!$B24</f>
        <v>0</v>
      </c>
      <c r="E51" s="20"/>
      <c r="F51" s="21"/>
      <c r="G51" s="43"/>
      <c r="H51" s="42"/>
      <c r="I51" s="21"/>
      <c r="J51" s="43"/>
      <c r="K51" s="42"/>
      <c r="L51" s="21"/>
      <c r="M51" s="43"/>
      <c r="O51" s="5">
        <f>Neu!$B24</f>
        <v>0</v>
      </c>
      <c r="P51" s="42"/>
      <c r="Q51" s="43"/>
      <c r="R51" s="42"/>
      <c r="S51" s="43"/>
      <c r="T51" s="42"/>
      <c r="U51" s="43"/>
      <c r="V51" s="42"/>
      <c r="W51" s="43"/>
      <c r="Z51" s="5">
        <f>Neu!$B24</f>
        <v>0</v>
      </c>
      <c r="AA51" s="42"/>
      <c r="AB51" s="21"/>
      <c r="AC51" s="21"/>
      <c r="AD51" s="57"/>
      <c r="AE51" s="21"/>
      <c r="AF51" s="21"/>
      <c r="AG51" s="43"/>
      <c r="AH51" s="42"/>
      <c r="AI51" s="21"/>
      <c r="AJ51" s="21"/>
      <c r="AK51" s="21"/>
      <c r="AL51" s="21"/>
      <c r="AM51" s="21"/>
      <c r="AN51" s="43"/>
      <c r="AO51" s="42"/>
      <c r="AP51" s="21"/>
      <c r="AQ51" s="21"/>
      <c r="AR51" s="21"/>
      <c r="AS51" s="21"/>
      <c r="AT51" s="21"/>
      <c r="AU51" s="43"/>
      <c r="AV51" s="42"/>
      <c r="AW51" s="21"/>
      <c r="AX51" s="21"/>
      <c r="AY51" s="21"/>
      <c r="AZ51" s="21"/>
      <c r="BA51" s="21"/>
      <c r="BB51" s="43"/>
      <c r="BD51" s="3">
        <f>Neu!$B25</f>
        <v>0</v>
      </c>
      <c r="BE51" s="19"/>
    </row>
    <row r="52" spans="3:57" x14ac:dyDescent="0.35">
      <c r="AC52" s="36"/>
      <c r="AD52" s="68"/>
      <c r="AE52" s="36"/>
      <c r="AF52" s="36"/>
      <c r="AG52" s="36"/>
    </row>
    <row r="54" spans="3:57" x14ac:dyDescent="0.35">
      <c r="F54" s="14" t="s">
        <v>140</v>
      </c>
      <c r="AC54" s="49" t="s">
        <v>120</v>
      </c>
      <c r="AD54" s="14" t="s">
        <v>108</v>
      </c>
      <c r="AG54" s="14" t="s">
        <v>110</v>
      </c>
      <c r="AM54" s="55" t="s">
        <v>123</v>
      </c>
      <c r="AN54" s="14" t="s">
        <v>127</v>
      </c>
    </row>
    <row r="55" spans="3:57" x14ac:dyDescent="0.35">
      <c r="AC55" s="49" t="s">
        <v>121</v>
      </c>
      <c r="AD55" s="14" t="s">
        <v>109</v>
      </c>
      <c r="AG55" s="14" t="s">
        <v>111</v>
      </c>
      <c r="AM55" s="55" t="s">
        <v>124</v>
      </c>
      <c r="AN55" s="14" t="s">
        <v>128</v>
      </c>
    </row>
    <row r="56" spans="3:57" x14ac:dyDescent="0.35">
      <c r="AC56" s="55" t="s">
        <v>122</v>
      </c>
      <c r="AD56" s="14" t="s">
        <v>114</v>
      </c>
      <c r="AG56" s="14" t="s">
        <v>112</v>
      </c>
      <c r="AM56" s="55" t="s">
        <v>122</v>
      </c>
      <c r="AN56" s="14" t="s">
        <v>129</v>
      </c>
    </row>
    <row r="57" spans="3:57" x14ac:dyDescent="0.35">
      <c r="C57" s="14" t="s">
        <v>93</v>
      </c>
      <c r="D57" s="14" t="s">
        <v>148</v>
      </c>
      <c r="AM57" s="55" t="s">
        <v>125</v>
      </c>
      <c r="AN57" s="14" t="s">
        <v>130</v>
      </c>
    </row>
    <row r="58" spans="3:57" x14ac:dyDescent="0.35">
      <c r="C58" s="14" t="s">
        <v>8</v>
      </c>
      <c r="D58" s="14" t="s">
        <v>149</v>
      </c>
      <c r="AM58" s="55" t="s">
        <v>126</v>
      </c>
      <c r="AN58" s="14" t="s">
        <v>131</v>
      </c>
    </row>
    <row r="59" spans="3:57" x14ac:dyDescent="0.35">
      <c r="C59" s="14" t="s">
        <v>9</v>
      </c>
      <c r="D59" s="14" t="s">
        <v>150</v>
      </c>
      <c r="AM59" s="56"/>
    </row>
    <row r="60" spans="3:57" x14ac:dyDescent="0.35">
      <c r="C60" s="14" t="s">
        <v>10</v>
      </c>
      <c r="D60" s="14" t="s">
        <v>151</v>
      </c>
    </row>
    <row r="61" spans="3:57" x14ac:dyDescent="0.35">
      <c r="C61" s="14" t="s">
        <v>90</v>
      </c>
      <c r="D61" s="14" t="s">
        <v>152</v>
      </c>
    </row>
    <row r="62" spans="3:57" x14ac:dyDescent="0.35">
      <c r="C62" s="14" t="s">
        <v>91</v>
      </c>
      <c r="D62" s="14" t="s">
        <v>153</v>
      </c>
    </row>
  </sheetData>
  <mergeCells count="46">
    <mergeCell ref="GN1:HN1"/>
    <mergeCell ref="GN2:GP2"/>
    <mergeCell ref="GQ2:HB2"/>
    <mergeCell ref="HC2:HN2"/>
    <mergeCell ref="CJ2:CL2"/>
    <mergeCell ref="CM2:CX2"/>
    <mergeCell ref="CY2:DJ2"/>
    <mergeCell ref="BI1:CI1"/>
    <mergeCell ref="FA2:FL2"/>
    <mergeCell ref="J2:U2"/>
    <mergeCell ref="V2:AG2"/>
    <mergeCell ref="G1:AG1"/>
    <mergeCell ref="BI2:BK2"/>
    <mergeCell ref="BL2:BW2"/>
    <mergeCell ref="IP1:JP1"/>
    <mergeCell ref="IP2:IR2"/>
    <mergeCell ref="IS2:JD2"/>
    <mergeCell ref="JE2:JP2"/>
    <mergeCell ref="BX2:CI2"/>
    <mergeCell ref="FM1:GM1"/>
    <mergeCell ref="FM2:FO2"/>
    <mergeCell ref="FP2:GA2"/>
    <mergeCell ref="GB2:GM2"/>
    <mergeCell ref="HO1:IO1"/>
    <mergeCell ref="HO2:HQ2"/>
    <mergeCell ref="HR2:IC2"/>
    <mergeCell ref="ID2:IO2"/>
    <mergeCell ref="EL1:FL1"/>
    <mergeCell ref="EL2:EN2"/>
    <mergeCell ref="EO2:EZ2"/>
    <mergeCell ref="JQ1:KQ1"/>
    <mergeCell ref="JQ2:JS2"/>
    <mergeCell ref="JT2:KE2"/>
    <mergeCell ref="KF2:KQ2"/>
    <mergeCell ref="E1:F1"/>
    <mergeCell ref="E2:F2"/>
    <mergeCell ref="G2:I2"/>
    <mergeCell ref="DK1:EK1"/>
    <mergeCell ref="DK2:DM2"/>
    <mergeCell ref="DN2:DY2"/>
    <mergeCell ref="DZ2:EK2"/>
    <mergeCell ref="AH1:BH1"/>
    <mergeCell ref="AH2:AJ2"/>
    <mergeCell ref="AK2:AV2"/>
    <mergeCell ref="AW2:BH2"/>
    <mergeCell ref="CJ1:DJ1"/>
  </mergeCells>
  <conditionalFormatting sqref="A4:A24">
    <cfRule type="cellIs" dxfId="83" priority="153" operator="equal">
      <formula>0</formula>
    </cfRule>
  </conditionalFormatting>
  <conditionalFormatting sqref="D31:D51">
    <cfRule type="cellIs" dxfId="82" priority="649" operator="equal">
      <formula>0</formula>
    </cfRule>
  </conditionalFormatting>
  <conditionalFormatting sqref="E18:E21">
    <cfRule type="notContainsBlanks" dxfId="81" priority="180">
      <formula>LEN(TRIM(E18))&gt;0</formula>
    </cfRule>
  </conditionalFormatting>
  <conditionalFormatting sqref="E4:F15">
    <cfRule type="notContainsBlanks" dxfId="80" priority="50">
      <formula>LEN(TRIM(E4))&gt;0</formula>
    </cfRule>
  </conditionalFormatting>
  <conditionalFormatting sqref="E16:KQ17">
    <cfRule type="notContainsBlanks" dxfId="79" priority="315">
      <formula>LEN(TRIM(E16))&gt;0</formula>
    </cfRule>
  </conditionalFormatting>
  <conditionalFormatting sqref="F21:H21 J21:N21">
    <cfRule type="notContainsBlanks" dxfId="78" priority="313">
      <formula>LEN(TRIM(F21))&gt;0</formula>
    </cfRule>
  </conditionalFormatting>
  <conditionalFormatting sqref="F18:AD19">
    <cfRule type="notContainsBlanks" dxfId="77" priority="178">
      <formula>LEN(TRIM(F18))&gt;0</formula>
    </cfRule>
  </conditionalFormatting>
  <conditionalFormatting sqref="F20:AH20">
    <cfRule type="notContainsBlanks" dxfId="76" priority="235">
      <formula>LEN(TRIM(F20))&gt;0</formula>
    </cfRule>
  </conditionalFormatting>
  <conditionalFormatting sqref="G25:AD26">
    <cfRule type="notContainsBlanks" dxfId="75" priority="549">
      <formula>LEN(TRIM(G25))&gt;0</formula>
    </cfRule>
  </conditionalFormatting>
  <conditionalFormatting sqref="G4:BA13">
    <cfRule type="notContainsBlanks" dxfId="74" priority="20">
      <formula>LEN(TRIM(G4))&gt;0</formula>
    </cfRule>
  </conditionalFormatting>
  <conditionalFormatting sqref="G14:BH15">
    <cfRule type="notContainsBlanks" dxfId="73" priority="65">
      <formula>LEN(TRIM(G14))&gt;0</formula>
    </cfRule>
  </conditionalFormatting>
  <conditionalFormatting sqref="O31:O51">
    <cfRule type="cellIs" dxfId="72" priority="519" operator="equal">
      <formula>0</formula>
    </cfRule>
  </conditionalFormatting>
  <conditionalFormatting sqref="Z31:Z51">
    <cfRule type="cellIs" dxfId="71" priority="518" operator="equal">
      <formula>0</formula>
    </cfRule>
  </conditionalFormatting>
  <conditionalFormatting sqref="AE19:AH19">
    <cfRule type="notContainsBlanks" dxfId="70" priority="228">
      <formula>LEN(TRIM(AE19))&gt;0</formula>
    </cfRule>
  </conditionalFormatting>
  <conditionalFormatting sqref="AE18:AZ18">
    <cfRule type="notContainsBlanks" dxfId="69" priority="287">
      <formula>LEN(TRIM(AE18))&gt;0</formula>
    </cfRule>
  </conditionalFormatting>
  <conditionalFormatting sqref="AH25:BE27">
    <cfRule type="notContainsBlanks" dxfId="68" priority="562">
      <formula>LEN(TRIM(AH25))&gt;0</formula>
    </cfRule>
  </conditionalFormatting>
  <conditionalFormatting sqref="AI19:AZ20">
    <cfRule type="notContainsBlanks" dxfId="67" priority="226">
      <formula>LEN(TRIM(AI19))&gt;0</formula>
    </cfRule>
  </conditionalFormatting>
  <conditionalFormatting sqref="AT21:BB21 E22:BB24">
    <cfRule type="notContainsBlanks" dxfId="66" priority="327">
      <formula>LEN(TRIM(E21))&gt;0</formula>
    </cfRule>
  </conditionalFormatting>
  <conditionalFormatting sqref="BA18:KQ20">
    <cfRule type="notContainsBlanks" dxfId="65" priority="227">
      <formula>LEN(TRIM(BA18))&gt;0</formula>
    </cfRule>
  </conditionalFormatting>
  <conditionalFormatting sqref="BB13:BH13">
    <cfRule type="notContainsBlanks" dxfId="64" priority="22">
      <formula>LEN(TRIM(BB13))&gt;0</formula>
    </cfRule>
  </conditionalFormatting>
  <conditionalFormatting sqref="BB8:BI11">
    <cfRule type="notContainsBlanks" dxfId="63" priority="37">
      <formula>LEN(TRIM(BB8))&gt;0</formula>
    </cfRule>
  </conditionalFormatting>
  <conditionalFormatting sqref="BB7:CI7">
    <cfRule type="notContainsBlanks" dxfId="62" priority="38">
      <formula>LEN(TRIM(BB7))&gt;0</formula>
    </cfRule>
  </conditionalFormatting>
  <conditionalFormatting sqref="BB12:CI12">
    <cfRule type="notContainsBlanks" dxfId="61" priority="23">
      <formula>LEN(TRIM(BB12))&gt;0</formula>
    </cfRule>
  </conditionalFormatting>
  <conditionalFormatting sqref="BB4:HN6">
    <cfRule type="notContainsBlanks" dxfId="60" priority="192">
      <formula>LEN(TRIM(BB4))&gt;0</formula>
    </cfRule>
  </conditionalFormatting>
  <conditionalFormatting sqref="BC21:KQ24">
    <cfRule type="notContainsBlanks" dxfId="59" priority="366">
      <formula>LEN(TRIM(BC21))&gt;0</formula>
    </cfRule>
  </conditionalFormatting>
  <conditionalFormatting sqref="BD31:BD51">
    <cfRule type="cellIs" dxfId="58" priority="380" operator="equal">
      <formula>0</formula>
    </cfRule>
  </conditionalFormatting>
  <conditionalFormatting sqref="BI13:BI15">
    <cfRule type="notContainsBlanks" dxfId="57" priority="25">
      <formula>LEN(TRIM(BI13))&gt;0</formula>
    </cfRule>
  </conditionalFormatting>
  <conditionalFormatting sqref="BI25:BI27">
    <cfRule type="notContainsBlanks" dxfId="56" priority="575">
      <formula>LEN(TRIM(BI25))&gt;0</formula>
    </cfRule>
  </conditionalFormatting>
  <conditionalFormatting sqref="BJ8:CI10">
    <cfRule type="notContainsBlanks" dxfId="55" priority="41">
      <formula>LEN(TRIM(BJ8))&gt;0</formula>
    </cfRule>
  </conditionalFormatting>
  <conditionalFormatting sqref="BJ13:CI13">
    <cfRule type="notContainsBlanks" dxfId="54" priority="26">
      <formula>LEN(TRIM(BJ13))&gt;0</formula>
    </cfRule>
  </conditionalFormatting>
  <conditionalFormatting sqref="BJ11:EH11">
    <cfRule type="notContainsBlanks" dxfId="53" priority="91">
      <formula>LEN(TRIM(BJ11))&gt;0</formula>
    </cfRule>
  </conditionalFormatting>
  <conditionalFormatting sqref="BJ14:KQ15">
    <cfRule type="notContainsBlanks" dxfId="52" priority="381">
      <formula>LEN(TRIM(BJ14))&gt;0</formula>
    </cfRule>
  </conditionalFormatting>
  <conditionalFormatting sqref="CJ9:EH10">
    <cfRule type="notContainsBlanks" dxfId="51" priority="144">
      <formula>LEN(TRIM(CJ9))&gt;0</formula>
    </cfRule>
  </conditionalFormatting>
  <conditionalFormatting sqref="CJ7:HN8">
    <cfRule type="notContainsBlanks" dxfId="50" priority="39">
      <formula>LEN(TRIM(CJ7))&gt;0</formula>
    </cfRule>
  </conditionalFormatting>
  <conditionalFormatting sqref="CJ12:HN13">
    <cfRule type="notContainsBlanks" dxfId="49" priority="24">
      <formula>LEN(TRIM(CJ12))&gt;0</formula>
    </cfRule>
  </conditionalFormatting>
  <conditionalFormatting sqref="DC26">
    <cfRule type="notContainsBlanks" dxfId="48" priority="640">
      <formula>LEN(TRIM(DC26))&gt;0</formula>
    </cfRule>
  </conditionalFormatting>
  <conditionalFormatting sqref="DC25:DG25">
    <cfRule type="notContainsBlanks" dxfId="47" priority="641">
      <formula>LEN(TRIM(DC25))&gt;0</formula>
    </cfRule>
  </conditionalFormatting>
  <conditionalFormatting sqref="DC27:DG27">
    <cfRule type="notContainsBlanks" dxfId="46" priority="639">
      <formula>LEN(TRIM(DC27))&gt;0</formula>
    </cfRule>
  </conditionalFormatting>
  <conditionalFormatting sqref="DJ25:DJ27">
    <cfRule type="notContainsBlanks" dxfId="45" priority="568">
      <formula>LEN(TRIM(DJ25))&gt;0</formula>
    </cfRule>
  </conditionalFormatting>
  <conditionalFormatting sqref="DK25:EH29">
    <cfRule type="notContainsBlanks" dxfId="44" priority="565">
      <formula>LEN(TRIM(DK25))&gt;0</formula>
    </cfRule>
  </conditionalFormatting>
  <conditionalFormatting sqref="EI9:HN11">
    <cfRule type="notContainsBlanks" dxfId="43" priority="112">
      <formula>LEN(TRIM(EI9))&gt;0</formula>
    </cfRule>
  </conditionalFormatting>
  <conditionalFormatting sqref="FE26">
    <cfRule type="notContainsBlanks" dxfId="42" priority="536">
      <formula>LEN(TRIM(FE26))&gt;0</formula>
    </cfRule>
  </conditionalFormatting>
  <conditionalFormatting sqref="FE25:FI25">
    <cfRule type="notContainsBlanks" dxfId="41" priority="537">
      <formula>LEN(TRIM(FE25))&gt;0</formula>
    </cfRule>
  </conditionalFormatting>
  <conditionalFormatting sqref="FE27:FI27">
    <cfRule type="notContainsBlanks" dxfId="40" priority="535">
      <formula>LEN(TRIM(FE27))&gt;0</formula>
    </cfRule>
  </conditionalFormatting>
  <conditionalFormatting sqref="FL25:FL27">
    <cfRule type="notContainsBlanks" dxfId="39" priority="528">
      <formula>LEN(TRIM(FL25))&gt;0</formula>
    </cfRule>
  </conditionalFormatting>
  <conditionalFormatting sqref="GL25:GL27">
    <cfRule type="notContainsBlanks" dxfId="38" priority="559">
      <formula>LEN(TRIM(GL25))&gt;0</formula>
    </cfRule>
  </conditionalFormatting>
  <conditionalFormatting sqref="HM25:HM27">
    <cfRule type="notContainsBlanks" dxfId="37" priority="521">
      <formula>LEN(TRIM(HM25))&gt;0</formula>
    </cfRule>
  </conditionalFormatting>
  <conditionalFormatting sqref="HO29:HO31">
    <cfRule type="notContainsBlanks" dxfId="36" priority="613">
      <formula>LEN(TRIM(HO29))&gt;0</formula>
    </cfRule>
  </conditionalFormatting>
  <conditionalFormatting sqref="HO4:HU13">
    <cfRule type="notContainsBlanks" dxfId="35" priority="1">
      <formula>LEN(TRIM(HO4))&gt;0</formula>
    </cfRule>
  </conditionalFormatting>
  <conditionalFormatting sqref="HO25:HU25 ID25:IH25">
    <cfRule type="notContainsBlanks" dxfId="34" priority="631">
      <formula>LEN(TRIM(HO25))&gt;0</formula>
    </cfRule>
  </conditionalFormatting>
  <conditionalFormatting sqref="HO27:HU27 ID27:IH27">
    <cfRule type="notContainsBlanks" dxfId="33" priority="623">
      <formula>LEN(TRIM(HO27))&gt;0</formula>
    </cfRule>
  </conditionalFormatting>
  <conditionalFormatting sqref="HV7:HX10">
    <cfRule type="notContainsBlanks" dxfId="32" priority="28">
      <formula>LEN(TRIM(HV7))&gt;0</formula>
    </cfRule>
  </conditionalFormatting>
  <conditionalFormatting sqref="HV25:IC26">
    <cfRule type="notContainsBlanks" dxfId="31" priority="622">
      <formula>LEN(TRIM(HV25))&gt;0</formula>
    </cfRule>
  </conditionalFormatting>
  <conditionalFormatting sqref="HV4:KQ6">
    <cfRule type="notContainsBlanks" dxfId="30" priority="510">
      <formula>LEN(TRIM(HV4))&gt;0</formula>
    </cfRule>
  </conditionalFormatting>
  <conditionalFormatting sqref="HV12:KQ13">
    <cfRule type="notContainsBlanks" dxfId="29" priority="3">
      <formula>LEN(TRIM(HV12))&gt;0</formula>
    </cfRule>
  </conditionalFormatting>
  <conditionalFormatting sqref="HY9:IC10 HV11:IC11">
    <cfRule type="notContainsBlanks" dxfId="28" priority="135">
      <formula>LEN(TRIM(HV9))&gt;0</formula>
    </cfRule>
  </conditionalFormatting>
  <conditionalFormatting sqref="HY7:KQ8">
    <cfRule type="notContainsBlanks" dxfId="27" priority="30">
      <formula>LEN(TRIM(HY7))&gt;0</formula>
    </cfRule>
  </conditionalFormatting>
  <conditionalFormatting sqref="ID9:KQ11">
    <cfRule type="notContainsBlanks" dxfId="26" priority="114">
      <formula>LEN(TRIM(ID9))&gt;0</formula>
    </cfRule>
  </conditionalFormatting>
  <conditionalFormatting sqref="IP25:IV26">
    <cfRule type="notContainsBlanks" dxfId="25" priority="579">
      <formula>LEN(TRIM(IP25))&gt;0</formula>
    </cfRule>
  </conditionalFormatting>
  <conditionalFormatting sqref="IW25:JD27">
    <cfRule type="notContainsBlanks" dxfId="24" priority="585">
      <formula>LEN(TRIM(IW25))&gt;0</formula>
    </cfRule>
  </conditionalFormatting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76"/>
  <sheetViews>
    <sheetView tabSelected="1" zoomScale="85" zoomScaleNormal="85" workbookViewId="0">
      <selection activeCell="E16" sqref="E16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245"/>
      <c r="B1" s="245"/>
      <c r="C1" s="245" t="s">
        <v>4</v>
      </c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</row>
    <row r="2" spans="1:30" ht="15" thickBot="1" x14ac:dyDescent="0.4">
      <c r="A2" s="245"/>
      <c r="B2" s="245"/>
      <c r="C2" s="126" t="str">
        <f>Neu!$B4</f>
        <v>B63ls</v>
      </c>
      <c r="D2" s="97" t="str">
        <f>Neu!$B5</f>
        <v>B63la</v>
      </c>
      <c r="E2" s="97" t="str">
        <f>Neu!$B6</f>
        <v>B31rs</v>
      </c>
      <c r="F2" s="97" t="str">
        <f>Neu!$B7</f>
        <v>B64ls</v>
      </c>
      <c r="G2" s="97" t="str">
        <f>Neu!$B8</f>
        <v>B64la</v>
      </c>
      <c r="H2" s="97" t="str">
        <f>Neu!$B9</f>
        <v>B63rs</v>
      </c>
      <c r="I2" s="97" t="str">
        <f>Neu!$B10</f>
        <v>B63ra</v>
      </c>
      <c r="J2" s="97" t="str">
        <f>Neu!$B11</f>
        <v>B31ls</v>
      </c>
      <c r="K2" s="97" t="str">
        <f>Neu!$B12</f>
        <v>B64rs</v>
      </c>
      <c r="L2" s="97" t="str">
        <f>Neu!$B13</f>
        <v>B64ra</v>
      </c>
      <c r="M2" s="97">
        <f>Neu!$B14</f>
        <v>0</v>
      </c>
      <c r="N2" s="97">
        <f>Neu!$B15</f>
        <v>0</v>
      </c>
      <c r="O2" s="97"/>
      <c r="P2" s="97"/>
      <c r="Q2" s="97"/>
      <c r="R2" s="97"/>
      <c r="S2" s="97"/>
      <c r="T2" s="97">
        <f>Neu!$B16</f>
        <v>0</v>
      </c>
      <c r="U2" s="97">
        <f>Neu!$B17</f>
        <v>0</v>
      </c>
      <c r="V2" s="97" t="e">
        <f>Neu!#REF!</f>
        <v>#REF!</v>
      </c>
      <c r="W2" s="98">
        <f>Neu!$B24</f>
        <v>0</v>
      </c>
    </row>
    <row r="3" spans="1:30" ht="14.25" customHeight="1" x14ac:dyDescent="0.35">
      <c r="A3" s="246" t="s">
        <v>5</v>
      </c>
      <c r="B3" s="242" t="str">
        <f>Neu!B4</f>
        <v>B63ls</v>
      </c>
      <c r="C3" s="111"/>
      <c r="D3" s="112"/>
      <c r="E3" s="112"/>
      <c r="F3" s="112"/>
      <c r="G3" s="112"/>
      <c r="H3" s="113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3"/>
      <c r="T3" s="112"/>
      <c r="U3" s="112"/>
      <c r="V3" s="112"/>
      <c r="W3" s="114"/>
      <c r="X3" s="134" t="s">
        <v>161</v>
      </c>
      <c r="Y3" s="1" t="s">
        <v>164</v>
      </c>
      <c r="Z3" s="64"/>
      <c r="AA3" s="64"/>
      <c r="AB3" s="64"/>
      <c r="AC3" s="64"/>
      <c r="AD3" s="64"/>
    </row>
    <row r="4" spans="1:30" ht="14.25" customHeight="1" x14ac:dyDescent="0.35">
      <c r="A4" s="246"/>
      <c r="B4" s="243"/>
      <c r="C4" s="115"/>
      <c r="D4" s="109"/>
      <c r="E4" s="109"/>
      <c r="F4" s="109"/>
      <c r="G4" s="109"/>
      <c r="H4" s="100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0"/>
      <c r="T4" s="109"/>
      <c r="U4" s="109"/>
      <c r="V4" s="109"/>
      <c r="W4" s="116"/>
      <c r="X4" s="134" t="s">
        <v>162</v>
      </c>
      <c r="Y4" s="136">
        <f>MAX($C$3:$W$44)-(ROW(Y4)-4)*0.5</f>
        <v>1000</v>
      </c>
      <c r="Z4" s="64"/>
      <c r="AA4" s="64"/>
      <c r="AB4" s="64"/>
      <c r="AC4" s="64"/>
      <c r="AD4" s="64"/>
    </row>
    <row r="5" spans="1:30" ht="14.25" customHeight="1" x14ac:dyDescent="0.35">
      <c r="A5" s="246"/>
      <c r="B5" s="244" t="str">
        <f>Neu!B5</f>
        <v>B63la</v>
      </c>
      <c r="C5" s="117"/>
      <c r="D5" s="106"/>
      <c r="E5" s="108">
        <v>0.4</v>
      </c>
      <c r="F5" s="108"/>
      <c r="G5" s="141"/>
      <c r="H5" s="101"/>
      <c r="I5" s="108"/>
      <c r="J5" s="108"/>
      <c r="K5" s="141"/>
      <c r="L5" s="108"/>
      <c r="M5" s="108"/>
      <c r="N5" s="108"/>
      <c r="O5" s="108"/>
      <c r="P5" s="108"/>
      <c r="Q5" s="108"/>
      <c r="R5" s="108"/>
      <c r="S5" s="101"/>
      <c r="T5" s="108"/>
      <c r="U5" s="108"/>
      <c r="V5" s="108"/>
      <c r="W5" s="118"/>
      <c r="X5" s="64"/>
      <c r="Y5" s="136">
        <f t="shared" ref="Y5:Y26" si="0">MAX($C$3:$W$44)-(ROW(Y5)-4)*0.5</f>
        <v>999.5</v>
      </c>
      <c r="Z5" s="64"/>
      <c r="AA5" s="64"/>
      <c r="AB5" s="64"/>
      <c r="AC5" s="64"/>
      <c r="AD5" s="64"/>
    </row>
    <row r="6" spans="1:30" ht="14.25" customHeight="1" x14ac:dyDescent="0.35">
      <c r="A6" s="246"/>
      <c r="B6" s="243"/>
      <c r="C6" s="119"/>
      <c r="D6" s="110"/>
      <c r="E6" s="94">
        <v>18</v>
      </c>
      <c r="F6" s="94">
        <v>0.16</v>
      </c>
      <c r="G6" s="142">
        <v>0.01</v>
      </c>
      <c r="H6" s="95"/>
      <c r="I6" s="94"/>
      <c r="J6" s="94"/>
      <c r="K6" s="142"/>
      <c r="L6" s="94"/>
      <c r="M6" s="94"/>
      <c r="N6" s="94"/>
      <c r="O6" s="94"/>
      <c r="P6" s="94"/>
      <c r="Q6" s="94"/>
      <c r="R6" s="94"/>
      <c r="S6" s="95"/>
      <c r="T6" s="94"/>
      <c r="U6" s="94"/>
      <c r="V6" s="94"/>
      <c r="W6" s="96"/>
      <c r="X6" s="64"/>
      <c r="Y6" s="136">
        <f t="shared" si="0"/>
        <v>999</v>
      </c>
      <c r="Z6" s="64"/>
      <c r="AA6" s="64"/>
      <c r="AB6" s="64"/>
      <c r="AC6" s="64"/>
      <c r="AD6" s="64"/>
    </row>
    <row r="7" spans="1:30" ht="14.25" customHeight="1" x14ac:dyDescent="0.35">
      <c r="A7" s="246"/>
      <c r="B7" s="244" t="str">
        <f>Neu!B6</f>
        <v>B31rs</v>
      </c>
      <c r="C7" s="117"/>
      <c r="D7" s="108"/>
      <c r="E7" s="106"/>
      <c r="F7" s="108"/>
      <c r="G7" s="108"/>
      <c r="H7" s="101"/>
      <c r="I7" s="141"/>
      <c r="J7" s="108"/>
      <c r="K7" s="108"/>
      <c r="L7" s="108"/>
      <c r="M7" s="141"/>
      <c r="N7" s="108"/>
      <c r="O7" s="108"/>
      <c r="P7" s="108"/>
      <c r="Q7" s="108"/>
      <c r="R7" s="108"/>
      <c r="S7" s="101"/>
      <c r="T7" s="108"/>
      <c r="U7" s="108"/>
      <c r="V7" s="108"/>
      <c r="W7" s="118"/>
      <c r="X7" s="64"/>
      <c r="Y7" s="136">
        <f t="shared" si="0"/>
        <v>998.5</v>
      </c>
      <c r="Z7" s="64"/>
      <c r="AA7" s="64"/>
      <c r="AB7" s="64"/>
      <c r="AC7" s="64"/>
      <c r="AD7" s="64"/>
    </row>
    <row r="8" spans="1:30" ht="14.25" customHeight="1" x14ac:dyDescent="0.35">
      <c r="A8" s="246"/>
      <c r="B8" s="243"/>
      <c r="C8" s="119"/>
      <c r="D8" s="94"/>
      <c r="E8" s="110"/>
      <c r="F8" s="94"/>
      <c r="G8" s="94"/>
      <c r="H8" s="95"/>
      <c r="I8" s="142"/>
      <c r="J8" s="94"/>
      <c r="K8" s="94"/>
      <c r="L8" s="94"/>
      <c r="M8" s="142"/>
      <c r="N8" s="94"/>
      <c r="O8" s="94"/>
      <c r="P8" s="94"/>
      <c r="Q8" s="94"/>
      <c r="R8" s="94"/>
      <c r="S8" s="95"/>
      <c r="T8" s="94"/>
      <c r="U8" s="94"/>
      <c r="V8" s="94"/>
      <c r="W8" s="96"/>
      <c r="X8" s="64"/>
      <c r="Y8" s="136">
        <f t="shared" si="0"/>
        <v>998</v>
      </c>
      <c r="Z8" s="64"/>
      <c r="AA8" s="64"/>
      <c r="AB8" s="64"/>
      <c r="AC8" s="64"/>
      <c r="AD8" s="64"/>
    </row>
    <row r="9" spans="1:30" ht="14.25" customHeight="1" x14ac:dyDescent="0.35">
      <c r="A9" s="246"/>
      <c r="B9" s="244" t="str">
        <f>Neu!B7</f>
        <v>B64ls</v>
      </c>
      <c r="C9" s="117"/>
      <c r="D9" s="108"/>
      <c r="E9" s="108"/>
      <c r="F9" s="106"/>
      <c r="G9" s="108"/>
      <c r="H9" s="101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1"/>
      <c r="T9" s="108"/>
      <c r="U9" s="108"/>
      <c r="V9" s="108"/>
      <c r="W9" s="118"/>
      <c r="X9" s="64"/>
      <c r="Y9" s="136">
        <f t="shared" si="0"/>
        <v>997.5</v>
      </c>
      <c r="Z9" s="64"/>
      <c r="AA9" s="64"/>
      <c r="AB9" s="64"/>
      <c r="AC9" s="64"/>
      <c r="AD9" s="64"/>
    </row>
    <row r="10" spans="1:30" ht="14.25" customHeight="1" x14ac:dyDescent="0.35">
      <c r="A10" s="246"/>
      <c r="B10" s="243"/>
      <c r="C10" s="119"/>
      <c r="D10" s="94"/>
      <c r="E10" s="94"/>
      <c r="F10" s="110"/>
      <c r="G10" s="94"/>
      <c r="H10" s="95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5"/>
      <c r="T10" s="94"/>
      <c r="U10" s="94"/>
      <c r="V10" s="94"/>
      <c r="W10" s="96"/>
      <c r="X10" s="64"/>
      <c r="Y10" s="136">
        <f t="shared" si="0"/>
        <v>997</v>
      </c>
      <c r="Z10" s="64"/>
      <c r="AA10" s="64"/>
      <c r="AB10" s="64"/>
      <c r="AC10" s="64"/>
      <c r="AD10" s="64"/>
    </row>
    <row r="11" spans="1:30" ht="14.25" customHeight="1" x14ac:dyDescent="0.35">
      <c r="A11" s="246"/>
      <c r="B11" s="244" t="str">
        <f>Neu!B8</f>
        <v>B64la</v>
      </c>
      <c r="C11" s="117"/>
      <c r="D11" s="108"/>
      <c r="E11" s="108"/>
      <c r="F11" s="108"/>
      <c r="G11" s="106"/>
      <c r="H11" s="101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1"/>
      <c r="T11" s="108"/>
      <c r="U11" s="108"/>
      <c r="V11" s="108"/>
      <c r="W11" s="118"/>
      <c r="X11" s="64"/>
      <c r="Y11" s="136">
        <f t="shared" si="0"/>
        <v>996.5</v>
      </c>
      <c r="Z11" s="64"/>
      <c r="AA11" s="64"/>
      <c r="AB11" s="64"/>
      <c r="AC11" s="64"/>
      <c r="AD11" s="64"/>
    </row>
    <row r="12" spans="1:30" ht="14.25" customHeight="1" x14ac:dyDescent="0.35">
      <c r="A12" s="246"/>
      <c r="B12" s="243"/>
      <c r="C12" s="119">
        <v>200</v>
      </c>
      <c r="D12" s="94">
        <v>200</v>
      </c>
      <c r="E12" s="94">
        <v>1000</v>
      </c>
      <c r="F12" s="94"/>
      <c r="G12" s="110"/>
      <c r="H12" s="95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5"/>
      <c r="T12" s="94"/>
      <c r="U12" s="94"/>
      <c r="V12" s="94"/>
      <c r="W12" s="96"/>
      <c r="X12" s="64"/>
      <c r="Y12" s="136">
        <f t="shared" si="0"/>
        <v>996</v>
      </c>
      <c r="Z12" s="64"/>
      <c r="AA12" s="64"/>
      <c r="AB12" s="64"/>
      <c r="AC12" s="64"/>
      <c r="AD12" s="64"/>
    </row>
    <row r="13" spans="1:30" ht="14.25" customHeight="1" x14ac:dyDescent="0.35">
      <c r="A13" s="246"/>
      <c r="B13" s="244" t="str">
        <f>Neu!B9</f>
        <v>B63rs</v>
      </c>
      <c r="C13" s="117"/>
      <c r="D13" s="108"/>
      <c r="E13" s="108"/>
      <c r="F13" s="108"/>
      <c r="G13" s="108"/>
      <c r="H13" s="99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1"/>
      <c r="T13" s="108"/>
      <c r="U13" s="108"/>
      <c r="V13" s="108"/>
      <c r="W13" s="118"/>
      <c r="X13" s="64"/>
      <c r="Y13" s="136">
        <f t="shared" si="0"/>
        <v>995.5</v>
      </c>
      <c r="Z13" s="64"/>
      <c r="AA13" s="64"/>
      <c r="AB13" s="64"/>
      <c r="AC13" s="64"/>
      <c r="AD13" s="64"/>
    </row>
    <row r="14" spans="1:30" ht="14.25" customHeight="1" x14ac:dyDescent="0.35">
      <c r="A14" s="246"/>
      <c r="B14" s="243"/>
      <c r="C14" s="120"/>
      <c r="D14" s="109"/>
      <c r="E14" s="109"/>
      <c r="F14" s="109"/>
      <c r="G14" s="109"/>
      <c r="H14" s="102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0"/>
      <c r="T14" s="109"/>
      <c r="U14" s="109"/>
      <c r="V14" s="109"/>
      <c r="W14" s="116"/>
      <c r="X14" s="64"/>
      <c r="Y14" s="136">
        <f t="shared" si="0"/>
        <v>995</v>
      </c>
      <c r="Z14" s="64"/>
      <c r="AA14" s="64"/>
      <c r="AB14" s="64"/>
      <c r="AC14" s="64"/>
      <c r="AD14" s="64"/>
    </row>
    <row r="15" spans="1:30" ht="14.25" customHeight="1" x14ac:dyDescent="0.35">
      <c r="A15" s="246"/>
      <c r="B15" s="244" t="str">
        <f>Neu!B10</f>
        <v>B63ra</v>
      </c>
      <c r="C15" s="117"/>
      <c r="D15" s="108"/>
      <c r="E15" s="108"/>
      <c r="F15" s="108"/>
      <c r="G15" s="108"/>
      <c r="H15" s="101"/>
      <c r="I15" s="106"/>
      <c r="J15" s="108">
        <v>0.4</v>
      </c>
      <c r="K15" s="108"/>
      <c r="L15" s="108"/>
      <c r="M15" s="108"/>
      <c r="N15" s="108"/>
      <c r="O15" s="108"/>
      <c r="P15" s="108"/>
      <c r="Q15" s="108"/>
      <c r="R15" s="108"/>
      <c r="S15" s="101"/>
      <c r="T15" s="108"/>
      <c r="U15" s="108"/>
      <c r="V15" s="108"/>
      <c r="W15" s="118"/>
      <c r="X15" s="64"/>
      <c r="Y15" s="136">
        <f t="shared" si="0"/>
        <v>994.5</v>
      </c>
      <c r="Z15" s="64"/>
      <c r="AA15" s="64"/>
      <c r="AB15" s="64"/>
      <c r="AC15" s="64"/>
      <c r="AD15" s="64"/>
    </row>
    <row r="16" spans="1:30" ht="14.25" customHeight="1" x14ac:dyDescent="0.35">
      <c r="A16" s="246"/>
      <c r="B16" s="243"/>
      <c r="C16" s="119"/>
      <c r="D16" s="94"/>
      <c r="E16" s="94"/>
      <c r="F16" s="94"/>
      <c r="G16" s="94"/>
      <c r="H16" s="95"/>
      <c r="I16" s="110"/>
      <c r="J16" s="94">
        <v>9.9999999999999995E-7</v>
      </c>
      <c r="K16" s="94">
        <v>0.16</v>
      </c>
      <c r="L16" s="94">
        <v>0.01</v>
      </c>
      <c r="M16" s="94"/>
      <c r="N16" s="94"/>
      <c r="O16" s="94"/>
      <c r="P16" s="94"/>
      <c r="Q16" s="94"/>
      <c r="R16" s="94"/>
      <c r="S16" s="95"/>
      <c r="T16" s="94"/>
      <c r="U16" s="94"/>
      <c r="V16" s="94"/>
      <c r="W16" s="96"/>
      <c r="X16" s="64"/>
      <c r="Y16" s="136">
        <f t="shared" si="0"/>
        <v>994</v>
      </c>
      <c r="Z16" s="64"/>
      <c r="AA16" s="64"/>
      <c r="AB16" s="64"/>
      <c r="AC16" s="64"/>
      <c r="AD16" s="64"/>
    </row>
    <row r="17" spans="1:30" ht="14.25" customHeight="1" x14ac:dyDescent="0.35">
      <c r="A17" s="246"/>
      <c r="B17" s="244" t="str">
        <f>Neu!B11</f>
        <v>B31ls</v>
      </c>
      <c r="C17" s="117"/>
      <c r="D17" s="108"/>
      <c r="E17" s="108"/>
      <c r="F17" s="108"/>
      <c r="G17" s="108"/>
      <c r="H17" s="101"/>
      <c r="I17" s="108"/>
      <c r="J17" s="106"/>
      <c r="K17" s="108"/>
      <c r="L17" s="108"/>
      <c r="M17" s="108"/>
      <c r="N17" s="108"/>
      <c r="O17" s="108"/>
      <c r="P17" s="108"/>
      <c r="Q17" s="108"/>
      <c r="R17" s="108"/>
      <c r="S17" s="101"/>
      <c r="T17" s="108"/>
      <c r="U17" s="108"/>
      <c r="V17" s="108"/>
      <c r="W17" s="118"/>
      <c r="X17" s="64"/>
      <c r="Y17" s="136">
        <f t="shared" si="0"/>
        <v>993.5</v>
      </c>
      <c r="Z17" s="64"/>
      <c r="AA17" s="64"/>
      <c r="AB17" s="64"/>
      <c r="AC17" s="64"/>
      <c r="AD17" s="64"/>
    </row>
    <row r="18" spans="1:30" ht="14.25" customHeight="1" x14ac:dyDescent="0.35">
      <c r="A18" s="246"/>
      <c r="B18" s="243"/>
      <c r="C18" s="119"/>
      <c r="D18" s="94"/>
      <c r="E18" s="94"/>
      <c r="F18" s="94"/>
      <c r="G18" s="94"/>
      <c r="H18" s="95"/>
      <c r="I18" s="94"/>
      <c r="J18" s="110"/>
      <c r="K18" s="94"/>
      <c r="L18" s="94"/>
      <c r="M18" s="94"/>
      <c r="N18" s="94"/>
      <c r="O18" s="94"/>
      <c r="P18" s="94"/>
      <c r="Q18" s="94"/>
      <c r="R18" s="94"/>
      <c r="S18" s="95"/>
      <c r="T18" s="94"/>
      <c r="U18" s="94"/>
      <c r="V18" s="94"/>
      <c r="W18" s="96"/>
      <c r="X18" s="64"/>
      <c r="Y18" s="136">
        <f t="shared" si="0"/>
        <v>993</v>
      </c>
      <c r="Z18" s="64"/>
      <c r="AA18" s="64"/>
      <c r="AB18" s="64"/>
      <c r="AC18" s="64"/>
      <c r="AD18" s="64"/>
    </row>
    <row r="19" spans="1:30" ht="14.25" customHeight="1" x14ac:dyDescent="0.35">
      <c r="A19" s="246"/>
      <c r="B19" s="244" t="str">
        <f>Neu!B12</f>
        <v>B64rs</v>
      </c>
      <c r="C19" s="117"/>
      <c r="D19" s="108"/>
      <c r="E19" s="108"/>
      <c r="F19" s="108"/>
      <c r="G19" s="108"/>
      <c r="H19" s="101"/>
      <c r="I19" s="108"/>
      <c r="J19" s="108"/>
      <c r="K19" s="106"/>
      <c r="L19" s="108"/>
      <c r="M19" s="108"/>
      <c r="N19" s="108"/>
      <c r="O19" s="108"/>
      <c r="P19" s="108"/>
      <c r="Q19" s="108"/>
      <c r="R19" s="108"/>
      <c r="S19" s="101"/>
      <c r="T19" s="108"/>
      <c r="U19" s="108"/>
      <c r="V19" s="108"/>
      <c r="W19" s="118"/>
      <c r="X19" s="64"/>
      <c r="Y19" s="136">
        <f t="shared" si="0"/>
        <v>992.5</v>
      </c>
      <c r="Z19" s="64"/>
      <c r="AA19" s="64"/>
      <c r="AB19" s="64"/>
      <c r="AC19" s="64"/>
      <c r="AD19" s="64"/>
    </row>
    <row r="20" spans="1:30" ht="14.25" customHeight="1" x14ac:dyDescent="0.35">
      <c r="A20" s="246"/>
      <c r="B20" s="243"/>
      <c r="C20" s="119"/>
      <c r="D20" s="94"/>
      <c r="E20" s="94"/>
      <c r="F20" s="94"/>
      <c r="G20" s="94"/>
      <c r="H20" s="95"/>
      <c r="I20" s="94"/>
      <c r="J20" s="94"/>
      <c r="K20" s="110"/>
      <c r="L20" s="94"/>
      <c r="M20" s="94"/>
      <c r="N20" s="94"/>
      <c r="O20" s="94"/>
      <c r="P20" s="94"/>
      <c r="Q20" s="94"/>
      <c r="R20" s="94"/>
      <c r="S20" s="95"/>
      <c r="T20" s="94"/>
      <c r="U20" s="94"/>
      <c r="V20" s="94"/>
      <c r="W20" s="96"/>
      <c r="X20" s="64"/>
      <c r="Y20" s="136">
        <f t="shared" si="0"/>
        <v>992</v>
      </c>
      <c r="Z20" s="64"/>
      <c r="AA20" s="64"/>
      <c r="AB20" s="64"/>
      <c r="AC20" s="64"/>
      <c r="AD20" s="64"/>
    </row>
    <row r="21" spans="1:30" ht="14.25" customHeight="1" x14ac:dyDescent="0.35">
      <c r="A21" s="246"/>
      <c r="B21" s="244" t="str">
        <f>Neu!B13</f>
        <v>B64ra</v>
      </c>
      <c r="C21" s="117"/>
      <c r="D21" s="108"/>
      <c r="E21" s="108"/>
      <c r="F21" s="108"/>
      <c r="G21" s="108"/>
      <c r="H21" s="101"/>
      <c r="I21" s="108"/>
      <c r="J21" s="108"/>
      <c r="K21" s="108"/>
      <c r="L21" s="106"/>
      <c r="M21" s="108"/>
      <c r="N21" s="108"/>
      <c r="O21" s="108"/>
      <c r="P21" s="108"/>
      <c r="Q21" s="108"/>
      <c r="R21" s="108"/>
      <c r="S21" s="101"/>
      <c r="T21" s="108"/>
      <c r="U21" s="108"/>
      <c r="V21" s="108"/>
      <c r="W21" s="118"/>
      <c r="X21" s="64"/>
      <c r="Y21" s="136">
        <f t="shared" si="0"/>
        <v>991.5</v>
      </c>
      <c r="Z21" s="64"/>
      <c r="AA21" s="64"/>
      <c r="AB21" s="64"/>
      <c r="AC21" s="64"/>
      <c r="AD21" s="64"/>
    </row>
    <row r="22" spans="1:30" ht="14.25" customHeight="1" x14ac:dyDescent="0.35">
      <c r="A22" s="246"/>
      <c r="B22" s="243"/>
      <c r="C22" s="119"/>
      <c r="D22" s="94"/>
      <c r="E22" s="94"/>
      <c r="F22" s="94"/>
      <c r="G22" s="94"/>
      <c r="H22" s="95">
        <v>200</v>
      </c>
      <c r="I22" s="94">
        <v>200</v>
      </c>
      <c r="J22" s="94">
        <v>1000</v>
      </c>
      <c r="K22" s="94"/>
      <c r="L22" s="110"/>
      <c r="M22" s="94"/>
      <c r="N22" s="94"/>
      <c r="O22" s="94"/>
      <c r="P22" s="94"/>
      <c r="Q22" s="94"/>
      <c r="R22" s="94"/>
      <c r="S22" s="95"/>
      <c r="T22" s="94"/>
      <c r="U22" s="94"/>
      <c r="V22" s="94"/>
      <c r="W22" s="96"/>
      <c r="X22" s="64"/>
      <c r="Y22" s="136">
        <f t="shared" si="0"/>
        <v>991</v>
      </c>
      <c r="Z22" s="64"/>
      <c r="AA22" s="64"/>
      <c r="AB22" s="64"/>
      <c r="AC22" s="64"/>
      <c r="AD22" s="64"/>
    </row>
    <row r="23" spans="1:30" ht="14.25" customHeight="1" x14ac:dyDescent="0.35">
      <c r="A23" s="246"/>
      <c r="B23" s="244">
        <f>Neu!B14</f>
        <v>0</v>
      </c>
      <c r="C23" s="117"/>
      <c r="D23" s="108"/>
      <c r="E23" s="108"/>
      <c r="F23" s="108"/>
      <c r="G23" s="108"/>
      <c r="H23" s="101"/>
      <c r="I23" s="108"/>
      <c r="J23" s="108"/>
      <c r="K23" s="108"/>
      <c r="L23" s="108"/>
      <c r="M23" s="106"/>
      <c r="N23" s="108"/>
      <c r="O23" s="108"/>
      <c r="P23" s="108"/>
      <c r="Q23" s="108"/>
      <c r="R23" s="108"/>
      <c r="S23" s="101"/>
      <c r="T23" s="108"/>
      <c r="U23" s="108"/>
      <c r="V23" s="108"/>
      <c r="W23" s="118"/>
      <c r="X23" s="64"/>
      <c r="Y23" s="136">
        <f t="shared" si="0"/>
        <v>990.5</v>
      </c>
      <c r="Z23" s="64"/>
      <c r="AA23" s="64"/>
      <c r="AB23" s="64"/>
      <c r="AC23" s="64"/>
      <c r="AD23" s="64"/>
    </row>
    <row r="24" spans="1:30" ht="14.25" customHeight="1" x14ac:dyDescent="0.35">
      <c r="A24" s="246"/>
      <c r="B24" s="243"/>
      <c r="C24" s="120"/>
      <c r="D24" s="109"/>
      <c r="E24" s="109"/>
      <c r="F24" s="109"/>
      <c r="G24" s="109"/>
      <c r="H24" s="100"/>
      <c r="I24" s="109"/>
      <c r="J24" s="109"/>
      <c r="K24" s="109"/>
      <c r="L24" s="109"/>
      <c r="M24" s="107"/>
      <c r="N24" s="109"/>
      <c r="O24" s="109"/>
      <c r="P24" s="109"/>
      <c r="Q24" s="109"/>
      <c r="R24" s="109"/>
      <c r="S24" s="100"/>
      <c r="T24" s="109"/>
      <c r="U24" s="109"/>
      <c r="V24" s="109"/>
      <c r="W24" s="116"/>
      <c r="X24" s="64"/>
      <c r="Y24" s="136">
        <f t="shared" si="0"/>
        <v>990</v>
      </c>
      <c r="Z24" s="64"/>
      <c r="AA24" s="64"/>
      <c r="AB24" s="64"/>
      <c r="AC24" s="64"/>
      <c r="AD24" s="64"/>
    </row>
    <row r="25" spans="1:30" ht="14.25" customHeight="1" x14ac:dyDescent="0.35">
      <c r="A25" s="246"/>
      <c r="B25" s="244">
        <f>Neu!B15</f>
        <v>0</v>
      </c>
      <c r="C25" s="117"/>
      <c r="D25" s="108"/>
      <c r="E25" s="108"/>
      <c r="F25" s="108"/>
      <c r="G25" s="108"/>
      <c r="H25" s="101"/>
      <c r="I25" s="108"/>
      <c r="J25" s="108"/>
      <c r="K25" s="108"/>
      <c r="L25" s="108"/>
      <c r="M25" s="108"/>
      <c r="N25" s="106"/>
      <c r="O25" s="108"/>
      <c r="P25" s="108"/>
      <c r="Q25" s="108"/>
      <c r="R25" s="108"/>
      <c r="S25" s="101"/>
      <c r="T25" s="108"/>
      <c r="U25" s="108"/>
      <c r="V25" s="108"/>
      <c r="W25" s="118"/>
      <c r="X25" s="64"/>
      <c r="Y25" s="136">
        <f t="shared" si="0"/>
        <v>989.5</v>
      </c>
      <c r="Z25" s="64"/>
      <c r="AA25" s="64"/>
      <c r="AB25" s="64"/>
      <c r="AC25" s="64"/>
      <c r="AD25" s="64"/>
    </row>
    <row r="26" spans="1:30" ht="14.25" customHeight="1" x14ac:dyDescent="0.35">
      <c r="A26" s="246"/>
      <c r="B26" s="243"/>
      <c r="C26" s="119"/>
      <c r="D26" s="94"/>
      <c r="E26" s="94"/>
      <c r="F26" s="94"/>
      <c r="G26" s="94"/>
      <c r="H26" s="95"/>
      <c r="I26" s="94"/>
      <c r="J26" s="94"/>
      <c r="K26" s="94"/>
      <c r="L26" s="94"/>
      <c r="M26" s="94"/>
      <c r="N26" s="110"/>
      <c r="O26" s="94"/>
      <c r="P26" s="94"/>
      <c r="Q26" s="94"/>
      <c r="R26" s="94"/>
      <c r="S26" s="95"/>
      <c r="T26" s="94"/>
      <c r="U26" s="94"/>
      <c r="V26" s="94"/>
      <c r="W26" s="96"/>
      <c r="X26" s="64"/>
      <c r="Y26" s="136">
        <f t="shared" si="0"/>
        <v>989</v>
      </c>
      <c r="Z26" s="64"/>
      <c r="AA26" s="64"/>
      <c r="AB26" s="64"/>
      <c r="AC26" s="64"/>
      <c r="AD26" s="64"/>
    </row>
    <row r="27" spans="1:30" ht="14.25" customHeight="1" x14ac:dyDescent="0.35">
      <c r="A27" s="246"/>
      <c r="B27" s="244"/>
      <c r="C27" s="117"/>
      <c r="D27" s="108"/>
      <c r="E27" s="108"/>
      <c r="F27" s="108"/>
      <c r="G27" s="108"/>
      <c r="H27" s="101"/>
      <c r="I27" s="108"/>
      <c r="J27" s="108"/>
      <c r="K27" s="108"/>
      <c r="L27" s="108"/>
      <c r="M27" s="108"/>
      <c r="N27" s="108"/>
      <c r="O27" s="106"/>
      <c r="P27" s="108"/>
      <c r="Q27" s="108"/>
      <c r="R27" s="108"/>
      <c r="S27" s="101"/>
      <c r="T27" s="108"/>
      <c r="U27" s="108"/>
      <c r="V27" s="108"/>
      <c r="W27" s="118"/>
      <c r="X27" s="64"/>
      <c r="Y27" s="64"/>
      <c r="Z27" s="64"/>
      <c r="AA27" s="64"/>
      <c r="AB27" s="64"/>
      <c r="AC27" s="64"/>
      <c r="AD27" s="64"/>
    </row>
    <row r="28" spans="1:30" ht="14.25" customHeight="1" x14ac:dyDescent="0.35">
      <c r="A28" s="246"/>
      <c r="B28" s="243"/>
      <c r="C28" s="119"/>
      <c r="D28" s="94"/>
      <c r="E28" s="94"/>
      <c r="F28" s="94"/>
      <c r="G28" s="94"/>
      <c r="H28" s="95"/>
      <c r="I28" s="94"/>
      <c r="J28" s="94"/>
      <c r="K28" s="94"/>
      <c r="L28" s="94"/>
      <c r="M28" s="94"/>
      <c r="N28" s="94"/>
      <c r="O28" s="110"/>
      <c r="P28" s="94"/>
      <c r="Q28" s="94"/>
      <c r="R28" s="94"/>
      <c r="S28" s="95"/>
      <c r="T28" s="94"/>
      <c r="U28" s="94"/>
      <c r="V28" s="94"/>
      <c r="W28" s="96"/>
      <c r="X28" s="64"/>
      <c r="Y28" s="64"/>
      <c r="Z28" s="64"/>
      <c r="AA28" s="64"/>
      <c r="AB28" s="64"/>
      <c r="AC28" s="64"/>
      <c r="AD28" s="64"/>
    </row>
    <row r="29" spans="1:30" ht="14.25" customHeight="1" x14ac:dyDescent="0.35">
      <c r="A29" s="246"/>
      <c r="B29" s="244"/>
      <c r="C29" s="117"/>
      <c r="D29" s="108"/>
      <c r="E29" s="108"/>
      <c r="F29" s="108"/>
      <c r="G29" s="108"/>
      <c r="H29" s="101"/>
      <c r="I29" s="108"/>
      <c r="J29" s="108"/>
      <c r="K29" s="108"/>
      <c r="L29" s="108"/>
      <c r="M29" s="108"/>
      <c r="N29" s="108"/>
      <c r="O29" s="108"/>
      <c r="P29" s="106"/>
      <c r="Q29" s="108"/>
      <c r="R29" s="108"/>
      <c r="S29" s="101"/>
      <c r="T29" s="108"/>
      <c r="U29" s="108"/>
      <c r="V29" s="108"/>
      <c r="W29" s="118"/>
      <c r="X29" s="64"/>
      <c r="Y29" s="64"/>
      <c r="Z29" s="64"/>
      <c r="AA29" s="64"/>
      <c r="AB29" s="64"/>
      <c r="AC29" s="64"/>
      <c r="AD29" s="64"/>
    </row>
    <row r="30" spans="1:30" ht="14.25" customHeight="1" x14ac:dyDescent="0.35">
      <c r="A30" s="246"/>
      <c r="B30" s="243"/>
      <c r="C30" s="120"/>
      <c r="D30" s="109"/>
      <c r="E30" s="109"/>
      <c r="F30" s="109"/>
      <c r="G30" s="109"/>
      <c r="H30" s="100"/>
      <c r="I30" s="109"/>
      <c r="J30" s="109"/>
      <c r="K30" s="109"/>
      <c r="L30" s="109"/>
      <c r="M30" s="109"/>
      <c r="N30" s="109"/>
      <c r="O30" s="109"/>
      <c r="P30" s="107"/>
      <c r="Q30" s="109"/>
      <c r="R30" s="109"/>
      <c r="S30" s="100"/>
      <c r="T30" s="109"/>
      <c r="U30" s="109"/>
      <c r="V30" s="109"/>
      <c r="W30" s="116"/>
      <c r="X30" s="64"/>
      <c r="Y30" s="64"/>
      <c r="Z30" s="64"/>
      <c r="AA30" s="64"/>
      <c r="AB30" s="64"/>
      <c r="AC30" s="64"/>
      <c r="AD30" s="64"/>
    </row>
    <row r="31" spans="1:30" ht="14.25" customHeight="1" x14ac:dyDescent="0.35">
      <c r="A31" s="246"/>
      <c r="B31" s="244"/>
      <c r="C31" s="117"/>
      <c r="D31" s="108"/>
      <c r="E31" s="108"/>
      <c r="F31" s="108"/>
      <c r="G31" s="108"/>
      <c r="H31" s="101"/>
      <c r="I31" s="108"/>
      <c r="J31" s="108"/>
      <c r="K31" s="108"/>
      <c r="L31" s="108"/>
      <c r="M31" s="108"/>
      <c r="N31" s="108"/>
      <c r="O31" s="108"/>
      <c r="P31" s="108"/>
      <c r="Q31" s="106"/>
      <c r="R31" s="108"/>
      <c r="S31" s="101"/>
      <c r="T31" s="108"/>
      <c r="U31" s="108"/>
      <c r="V31" s="108"/>
      <c r="W31" s="118"/>
      <c r="X31" s="64"/>
      <c r="Y31" s="64"/>
      <c r="Z31" s="64"/>
      <c r="AA31" s="64"/>
      <c r="AB31" s="64"/>
      <c r="AC31" s="64"/>
      <c r="AD31" s="64"/>
    </row>
    <row r="32" spans="1:30" ht="14.25" customHeight="1" x14ac:dyDescent="0.35">
      <c r="A32" s="246"/>
      <c r="B32" s="243"/>
      <c r="C32" s="119"/>
      <c r="D32" s="94"/>
      <c r="E32" s="94"/>
      <c r="F32" s="94"/>
      <c r="G32" s="94"/>
      <c r="H32" s="95"/>
      <c r="I32" s="94"/>
      <c r="J32" s="94"/>
      <c r="K32" s="94"/>
      <c r="L32" s="94"/>
      <c r="M32" s="94"/>
      <c r="N32" s="94"/>
      <c r="O32" s="94"/>
      <c r="P32" s="94"/>
      <c r="Q32" s="110"/>
      <c r="R32" s="94"/>
      <c r="S32" s="95"/>
      <c r="T32" s="94"/>
      <c r="U32" s="94"/>
      <c r="V32" s="94"/>
      <c r="W32" s="96"/>
      <c r="X32" s="64"/>
      <c r="Y32" s="64"/>
      <c r="Z32" s="64"/>
      <c r="AA32" s="64"/>
      <c r="AB32" s="64"/>
      <c r="AC32" s="64"/>
      <c r="AD32" s="64"/>
    </row>
    <row r="33" spans="1:30" ht="14.25" customHeight="1" x14ac:dyDescent="0.35">
      <c r="A33" s="246"/>
      <c r="B33" s="244"/>
      <c r="C33" s="117"/>
      <c r="D33" s="108"/>
      <c r="E33" s="108"/>
      <c r="F33" s="108"/>
      <c r="G33" s="108"/>
      <c r="H33" s="101"/>
      <c r="I33" s="108"/>
      <c r="J33" s="108"/>
      <c r="K33" s="108"/>
      <c r="L33" s="108"/>
      <c r="M33" s="108"/>
      <c r="N33" s="108"/>
      <c r="O33" s="108"/>
      <c r="P33" s="108"/>
      <c r="Q33" s="108"/>
      <c r="R33" s="106"/>
      <c r="S33" s="101"/>
      <c r="T33" s="108"/>
      <c r="U33" s="108"/>
      <c r="V33" s="108"/>
      <c r="W33" s="118"/>
      <c r="X33" s="64"/>
      <c r="Y33" s="64"/>
      <c r="Z33" s="64"/>
      <c r="AA33" s="64"/>
      <c r="AB33" s="64"/>
      <c r="AC33" s="64"/>
      <c r="AD33" s="64"/>
    </row>
    <row r="34" spans="1:30" ht="14.25" customHeight="1" x14ac:dyDescent="0.35">
      <c r="A34" s="246"/>
      <c r="B34" s="243"/>
      <c r="C34" s="119"/>
      <c r="D34" s="94"/>
      <c r="E34" s="94"/>
      <c r="F34" s="94"/>
      <c r="G34" s="94"/>
      <c r="H34" s="95"/>
      <c r="I34" s="94"/>
      <c r="J34" s="94"/>
      <c r="K34" s="94"/>
      <c r="L34" s="94"/>
      <c r="M34" s="94"/>
      <c r="N34" s="94"/>
      <c r="O34" s="94"/>
      <c r="P34" s="94"/>
      <c r="Q34" s="94"/>
      <c r="R34" s="110"/>
      <c r="S34" s="95"/>
      <c r="T34" s="94"/>
      <c r="U34" s="94"/>
      <c r="V34" s="94"/>
      <c r="W34" s="96"/>
      <c r="X34" s="64"/>
      <c r="Y34" s="64"/>
      <c r="Z34" s="64"/>
      <c r="AA34" s="64"/>
      <c r="AB34" s="64"/>
      <c r="AC34" s="64"/>
      <c r="AD34" s="64"/>
    </row>
    <row r="35" spans="1:30" ht="14.25" customHeight="1" x14ac:dyDescent="0.35">
      <c r="A35" s="246"/>
      <c r="B35" s="244"/>
      <c r="C35" s="117"/>
      <c r="D35" s="108"/>
      <c r="E35" s="108"/>
      <c r="F35" s="108"/>
      <c r="G35" s="108"/>
      <c r="H35" s="101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99"/>
      <c r="T35" s="108"/>
      <c r="U35" s="108"/>
      <c r="V35" s="108"/>
      <c r="W35" s="118"/>
      <c r="X35" s="64"/>
      <c r="Y35" s="64"/>
      <c r="Z35" s="64"/>
      <c r="AA35" s="64"/>
      <c r="AB35" s="64"/>
      <c r="AC35" s="64"/>
      <c r="AD35" s="64"/>
    </row>
    <row r="36" spans="1:30" ht="14.25" customHeight="1" x14ac:dyDescent="0.35">
      <c r="A36" s="246"/>
      <c r="B36" s="243"/>
      <c r="C36" s="119"/>
      <c r="D36" s="94"/>
      <c r="E36" s="94"/>
      <c r="F36" s="94"/>
      <c r="G36" s="94"/>
      <c r="H36" s="95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103"/>
      <c r="T36" s="94"/>
      <c r="U36" s="94"/>
      <c r="V36" s="94"/>
      <c r="W36" s="96"/>
      <c r="X36" s="64"/>
      <c r="Y36" s="64"/>
      <c r="Z36" s="64"/>
      <c r="AA36" s="64"/>
      <c r="AB36" s="64"/>
      <c r="AC36" s="64"/>
      <c r="AD36" s="64"/>
    </row>
    <row r="37" spans="1:30" ht="14.25" customHeight="1" x14ac:dyDescent="0.35">
      <c r="A37" s="246"/>
      <c r="B37" s="244">
        <f>Neu!B16</f>
        <v>0</v>
      </c>
      <c r="C37" s="117"/>
      <c r="D37" s="108"/>
      <c r="E37" s="108"/>
      <c r="F37" s="108"/>
      <c r="G37" s="108"/>
      <c r="H37" s="101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1"/>
      <c r="T37" s="106"/>
      <c r="U37" s="108"/>
      <c r="V37" s="108"/>
      <c r="W37" s="118"/>
      <c r="X37" s="64"/>
      <c r="Y37" s="64"/>
      <c r="Z37" s="64"/>
      <c r="AA37" s="64"/>
      <c r="AB37" s="64"/>
      <c r="AC37" s="64"/>
      <c r="AD37" s="64"/>
    </row>
    <row r="38" spans="1:30" ht="14.25" customHeight="1" x14ac:dyDescent="0.35">
      <c r="A38" s="246"/>
      <c r="B38" s="243"/>
      <c r="C38" s="120"/>
      <c r="D38" s="109"/>
      <c r="E38" s="109"/>
      <c r="F38" s="109"/>
      <c r="G38" s="109"/>
      <c r="H38" s="100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0"/>
      <c r="T38" s="107"/>
      <c r="U38" s="109"/>
      <c r="V38" s="109"/>
      <c r="W38" s="116"/>
      <c r="X38" s="64"/>
      <c r="Y38" s="64"/>
      <c r="Z38" s="64"/>
      <c r="AA38" s="64"/>
      <c r="AB38" s="64"/>
      <c r="AC38" s="64"/>
      <c r="AD38" s="64"/>
    </row>
    <row r="39" spans="1:30" ht="14.25" customHeight="1" x14ac:dyDescent="0.35">
      <c r="A39" s="246"/>
      <c r="B39" s="244">
        <f>Neu!B17</f>
        <v>0</v>
      </c>
      <c r="C39" s="117"/>
      <c r="D39" s="108"/>
      <c r="E39" s="108"/>
      <c r="F39" s="108"/>
      <c r="G39" s="108"/>
      <c r="H39" s="101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1"/>
      <c r="T39" s="108"/>
      <c r="U39" s="106"/>
      <c r="V39" s="108"/>
      <c r="W39" s="118"/>
      <c r="X39" s="64"/>
      <c r="Y39" s="64"/>
      <c r="Z39" s="64"/>
      <c r="AA39" s="64"/>
      <c r="AB39" s="64"/>
      <c r="AC39" s="64"/>
      <c r="AD39" s="64"/>
    </row>
    <row r="40" spans="1:30" ht="14.25" customHeight="1" x14ac:dyDescent="0.35">
      <c r="A40" s="246"/>
      <c r="B40" s="243"/>
      <c r="C40" s="119"/>
      <c r="D40" s="94"/>
      <c r="E40" s="94"/>
      <c r="F40" s="94"/>
      <c r="G40" s="94"/>
      <c r="H40" s="95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5"/>
      <c r="T40" s="94"/>
      <c r="U40" s="110"/>
      <c r="V40" s="94"/>
      <c r="W40" s="96"/>
      <c r="X40" s="64"/>
      <c r="Y40" s="64"/>
      <c r="Z40" s="64"/>
      <c r="AA40" s="64"/>
      <c r="AB40" s="64"/>
      <c r="AC40" s="64"/>
      <c r="AD40" s="64"/>
    </row>
    <row r="41" spans="1:30" ht="14.25" customHeight="1" x14ac:dyDescent="0.35">
      <c r="A41" s="246"/>
      <c r="B41" s="244"/>
      <c r="C41" s="117"/>
      <c r="D41" s="108"/>
      <c r="E41" s="108"/>
      <c r="F41" s="108"/>
      <c r="G41" s="108"/>
      <c r="H41" s="101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1"/>
      <c r="T41" s="108"/>
      <c r="U41" s="108"/>
      <c r="V41" s="106"/>
      <c r="W41" s="118"/>
      <c r="X41" s="64"/>
      <c r="Y41" s="64"/>
      <c r="Z41" s="64"/>
      <c r="AA41" s="64"/>
      <c r="AB41" s="64"/>
      <c r="AC41" s="64"/>
      <c r="AD41" s="64"/>
    </row>
    <row r="42" spans="1:30" ht="14.25" customHeight="1" x14ac:dyDescent="0.35">
      <c r="A42" s="246"/>
      <c r="B42" s="243"/>
      <c r="C42" s="119"/>
      <c r="D42" s="94"/>
      <c r="E42" s="94"/>
      <c r="F42" s="94"/>
      <c r="G42" s="94"/>
      <c r="H42" s="95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5"/>
      <c r="T42" s="94"/>
      <c r="U42" s="94"/>
      <c r="V42" s="110"/>
      <c r="W42" s="96"/>
      <c r="X42" s="64"/>
      <c r="Y42" s="64"/>
      <c r="Z42" s="64"/>
      <c r="AA42" s="64"/>
      <c r="AB42" s="64"/>
      <c r="AC42" s="64"/>
      <c r="AD42" s="64"/>
    </row>
    <row r="43" spans="1:30" ht="14.25" customHeight="1" x14ac:dyDescent="0.35">
      <c r="A43" s="246"/>
      <c r="B43" s="244">
        <f>Neu!B24</f>
        <v>0</v>
      </c>
      <c r="C43" s="117"/>
      <c r="D43" s="108"/>
      <c r="E43" s="108"/>
      <c r="F43" s="108"/>
      <c r="G43" s="108"/>
      <c r="H43" s="101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1"/>
      <c r="T43" s="108"/>
      <c r="U43" s="108"/>
      <c r="V43" s="108"/>
      <c r="W43" s="121"/>
      <c r="X43" s="64"/>
      <c r="Y43" s="64"/>
      <c r="Z43" s="64"/>
      <c r="AA43" s="64"/>
      <c r="AB43" s="64"/>
      <c r="AC43" s="64"/>
      <c r="AD43" s="64"/>
    </row>
    <row r="44" spans="1:30" ht="14.25" customHeight="1" thickBot="1" x14ac:dyDescent="0.4">
      <c r="A44" s="105"/>
      <c r="B44" s="247"/>
      <c r="C44" s="122"/>
      <c r="D44" s="123"/>
      <c r="E44" s="123"/>
      <c r="F44" s="123"/>
      <c r="G44" s="123"/>
      <c r="H44" s="124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4"/>
      <c r="T44" s="123"/>
      <c r="U44" s="123"/>
      <c r="V44" s="123"/>
      <c r="W44" s="125"/>
      <c r="X44" s="64"/>
      <c r="Y44" s="64"/>
      <c r="Z44" s="64"/>
      <c r="AA44" s="64"/>
      <c r="AB44" s="64"/>
      <c r="AC44" s="64"/>
      <c r="AD44" s="64"/>
    </row>
    <row r="45" spans="1:30" x14ac:dyDescent="0.35"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</row>
    <row r="46" spans="1:30" x14ac:dyDescent="0.35"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</row>
    <row r="47" spans="1:30" x14ac:dyDescent="0.35"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</row>
    <row r="48" spans="1:30" x14ac:dyDescent="0.35"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</row>
    <row r="49" spans="3:30" x14ac:dyDescent="0.35"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</row>
    <row r="50" spans="3:30" x14ac:dyDescent="0.35"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</row>
    <row r="51" spans="3:30" x14ac:dyDescent="0.35"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</row>
    <row r="52" spans="3:30" x14ac:dyDescent="0.35"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</row>
    <row r="53" spans="3:30" x14ac:dyDescent="0.35"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</row>
    <row r="54" spans="3:30" x14ac:dyDescent="0.35"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</row>
    <row r="55" spans="3:30" x14ac:dyDescent="0.35"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</row>
    <row r="56" spans="3:30" x14ac:dyDescent="0.35"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</row>
    <row r="57" spans="3:30" x14ac:dyDescent="0.35"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</row>
    <row r="58" spans="3:30" x14ac:dyDescent="0.35"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</row>
    <row r="59" spans="3:30" x14ac:dyDescent="0.35"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</row>
    <row r="60" spans="3:30" x14ac:dyDescent="0.35"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</row>
    <row r="61" spans="3:30" x14ac:dyDescent="0.35"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</row>
    <row r="62" spans="3:30" x14ac:dyDescent="0.35"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</row>
    <row r="63" spans="3:30" x14ac:dyDescent="0.35"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</row>
    <row r="64" spans="3:30" x14ac:dyDescent="0.35"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</row>
    <row r="65" spans="3:30" x14ac:dyDescent="0.35"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</row>
    <row r="66" spans="3:30" x14ac:dyDescent="0.35"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</row>
    <row r="67" spans="3:30" x14ac:dyDescent="0.35"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</row>
    <row r="68" spans="3:30" x14ac:dyDescent="0.35"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</row>
    <row r="69" spans="3:30" x14ac:dyDescent="0.35"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</row>
    <row r="70" spans="3:30" x14ac:dyDescent="0.35"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</row>
    <row r="71" spans="3:30" x14ac:dyDescent="0.35"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</row>
    <row r="72" spans="3:30" x14ac:dyDescent="0.35"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</row>
    <row r="73" spans="3:30" x14ac:dyDescent="0.35"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</row>
    <row r="74" spans="3:30" x14ac:dyDescent="0.35"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</row>
    <row r="75" spans="3:30" x14ac:dyDescent="0.35"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</row>
    <row r="76" spans="3:30" x14ac:dyDescent="0.35"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</row>
  </sheetData>
  <mergeCells count="24">
    <mergeCell ref="B39:B40"/>
    <mergeCell ref="B41:B42"/>
    <mergeCell ref="B43:B44"/>
    <mergeCell ref="B27:B28"/>
    <mergeCell ref="B29:B30"/>
    <mergeCell ref="B31:B32"/>
    <mergeCell ref="B33:B34"/>
    <mergeCell ref="B35:B36"/>
    <mergeCell ref="B3:B4"/>
    <mergeCell ref="B5:B6"/>
    <mergeCell ref="A1:B2"/>
    <mergeCell ref="A3:A43"/>
    <mergeCell ref="C1:W1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37:B38"/>
  </mergeCells>
  <conditionalFormatting sqref="B3 B5 B7 B9 B11 B13 B15 B17 B19 B21 B23 B25 B27 B29 B31 B33 B35 B37 B39 B41 B43">
    <cfRule type="cellIs" dxfId="12" priority="4" operator="equal">
      <formula>0</formula>
    </cfRule>
  </conditionalFormatting>
  <conditionalFormatting sqref="C2:W2">
    <cfRule type="cellIs" dxfId="11" priority="5" operator="equal">
      <formula>0</formula>
    </cfRule>
  </conditionalFormatting>
  <conditionalFormatting sqref="C3:W44">
    <cfRule type="colorScale" priority="7">
      <colorScale>
        <cfvo type="min"/>
        <cfvo type="max"/>
        <color rgb="FFFCFCFF"/>
        <color rgb="FFF8696B"/>
      </colorScale>
    </cfRule>
  </conditionalFormatting>
  <conditionalFormatting sqref="Y1:Y2 Y4:Y36">
    <cfRule type="cellIs" dxfId="10" priority="1" operator="lessThan">
      <formula>0</formula>
    </cfRule>
  </conditionalFormatting>
  <conditionalFormatting sqref="Y1:Y1048576">
    <cfRule type="colorScale" priority="2">
      <colorScale>
        <cfvo type="num" val="MIN($C$3:$W$44)"/>
        <cfvo type="num" val="MAX($C$3:$W$44)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76"/>
  <sheetViews>
    <sheetView topLeftCell="B3" zoomScale="83" zoomScaleNormal="160" workbookViewId="0">
      <selection activeCell="F12" sqref="F12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245"/>
      <c r="B1" s="245"/>
      <c r="C1" s="245" t="s">
        <v>4</v>
      </c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</row>
    <row r="2" spans="1:30" ht="15" thickBot="1" x14ac:dyDescent="0.4">
      <c r="A2" s="245"/>
      <c r="B2" s="245"/>
      <c r="C2" s="126" t="str">
        <f>Neu!$B4</f>
        <v>B63ls</v>
      </c>
      <c r="D2" s="97" t="str">
        <f>Neu!$B5</f>
        <v>B63la</v>
      </c>
      <c r="E2" s="97" t="str">
        <f>Neu!$B6</f>
        <v>B31rs</v>
      </c>
      <c r="F2" s="97" t="str">
        <f>Neu!$B7</f>
        <v>B64ls</v>
      </c>
      <c r="G2" s="97" t="str">
        <f>Neu!$B8</f>
        <v>B64la</v>
      </c>
      <c r="H2" s="97" t="str">
        <f>Neu!$B9</f>
        <v>B63rs</v>
      </c>
      <c r="I2" s="97" t="str">
        <f>Neu!$B10</f>
        <v>B63ra</v>
      </c>
      <c r="J2" s="97" t="str">
        <f>Neu!$B11</f>
        <v>B31ls</v>
      </c>
      <c r="K2" s="97" t="str">
        <f>Neu!$B12</f>
        <v>B64rs</v>
      </c>
      <c r="L2" s="97" t="str">
        <f>Neu!$B13</f>
        <v>B64ra</v>
      </c>
      <c r="M2" s="97">
        <f>Neu!$B14</f>
        <v>0</v>
      </c>
      <c r="N2" s="97">
        <f>Neu!$B15</f>
        <v>0</v>
      </c>
      <c r="O2" s="97"/>
      <c r="P2" s="97"/>
      <c r="Q2" s="97"/>
      <c r="R2" s="97"/>
      <c r="S2" s="97"/>
      <c r="T2" s="97">
        <f>Neu!$B16</f>
        <v>0</v>
      </c>
      <c r="U2" s="97">
        <f>Neu!$B17</f>
        <v>0</v>
      </c>
      <c r="V2" s="97" t="e">
        <f>Neu!#REF!</f>
        <v>#REF!</v>
      </c>
      <c r="W2" s="98">
        <f>Neu!$B24</f>
        <v>0</v>
      </c>
    </row>
    <row r="3" spans="1:30" ht="14.25" customHeight="1" x14ac:dyDescent="0.35">
      <c r="A3" s="246" t="s">
        <v>5</v>
      </c>
      <c r="B3" s="242" t="str">
        <f>Neu!B4</f>
        <v>B63ls</v>
      </c>
      <c r="C3" s="130"/>
      <c r="D3" s="112"/>
      <c r="E3" s="112"/>
      <c r="F3" s="112"/>
      <c r="G3" s="113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4"/>
      <c r="X3" s="134" t="s">
        <v>161</v>
      </c>
      <c r="Y3" s="1" t="s">
        <v>164</v>
      </c>
      <c r="Z3" s="64"/>
      <c r="AA3" s="64"/>
      <c r="AB3" s="64"/>
      <c r="AC3" s="64"/>
      <c r="AD3" s="64"/>
    </row>
    <row r="4" spans="1:30" ht="14.25" customHeight="1" x14ac:dyDescent="0.35">
      <c r="A4" s="246"/>
      <c r="B4" s="243"/>
      <c r="C4" s="129"/>
      <c r="D4" s="94"/>
      <c r="E4" s="94"/>
      <c r="F4" s="94"/>
      <c r="G4" s="95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6"/>
      <c r="X4" s="134" t="s">
        <v>162</v>
      </c>
      <c r="Y4" s="136">
        <f>MAX($C$3:$W$44)-(ROW(Y4)-4)*10</f>
        <v>0</v>
      </c>
      <c r="Z4" s="64"/>
      <c r="AA4" s="64"/>
      <c r="AB4" s="64"/>
      <c r="AC4" s="64"/>
      <c r="AD4" s="64"/>
    </row>
    <row r="5" spans="1:30" ht="14.25" customHeight="1" x14ac:dyDescent="0.35">
      <c r="A5" s="246"/>
      <c r="B5" s="244" t="str">
        <f>Neu!B5</f>
        <v>B63la</v>
      </c>
      <c r="C5" s="104"/>
      <c r="D5" s="106"/>
      <c r="E5" s="108">
        <v>0</v>
      </c>
      <c r="F5" s="108"/>
      <c r="G5" s="143"/>
      <c r="H5" s="108"/>
      <c r="I5" s="108"/>
      <c r="J5" s="108"/>
      <c r="K5" s="143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18"/>
      <c r="X5" s="64"/>
      <c r="Y5" s="136">
        <f t="shared" ref="Y5:Y32" si="0">MAX($C$3:$W$44)-(ROW(Y5)-4)*10</f>
        <v>-10</v>
      </c>
      <c r="Z5" s="64"/>
      <c r="AA5" s="64"/>
      <c r="AB5" s="64"/>
      <c r="AC5" s="64"/>
      <c r="AD5" s="64"/>
    </row>
    <row r="6" spans="1:30" ht="14.25" customHeight="1" x14ac:dyDescent="0.35">
      <c r="A6" s="246"/>
      <c r="B6" s="243"/>
      <c r="C6" s="127"/>
      <c r="D6" s="110"/>
      <c r="E6" s="94">
        <v>-2</v>
      </c>
      <c r="F6" s="94">
        <v>-2</v>
      </c>
      <c r="G6" s="144">
        <v>-2</v>
      </c>
      <c r="H6" s="94"/>
      <c r="I6" s="94"/>
      <c r="J6" s="94"/>
      <c r="K6" s="142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6"/>
      <c r="X6" s="64"/>
      <c r="Y6" s="136">
        <f t="shared" si="0"/>
        <v>-20</v>
      </c>
      <c r="Z6" s="64"/>
      <c r="AA6" s="64"/>
      <c r="AB6" s="64"/>
      <c r="AC6" s="64"/>
      <c r="AD6" s="64"/>
    </row>
    <row r="7" spans="1:30" ht="14.25" customHeight="1" x14ac:dyDescent="0.35">
      <c r="A7" s="246"/>
      <c r="B7" s="244" t="str">
        <f>Neu!B6</f>
        <v>B31rs</v>
      </c>
      <c r="C7" s="104"/>
      <c r="D7" s="108"/>
      <c r="E7" s="106"/>
      <c r="F7" s="108"/>
      <c r="G7" s="101"/>
      <c r="H7" s="108"/>
      <c r="I7" s="143"/>
      <c r="J7" s="108"/>
      <c r="K7" s="108"/>
      <c r="L7" s="108"/>
      <c r="M7" s="143"/>
      <c r="N7" s="108"/>
      <c r="O7" s="108"/>
      <c r="P7" s="108"/>
      <c r="Q7" s="108"/>
      <c r="R7" s="108"/>
      <c r="S7" s="108"/>
      <c r="T7" s="108"/>
      <c r="U7" s="108"/>
      <c r="V7" s="108"/>
      <c r="W7" s="118"/>
      <c r="X7" s="64"/>
      <c r="Y7" s="136">
        <f t="shared" si="0"/>
        <v>-30</v>
      </c>
      <c r="Z7" s="64"/>
      <c r="AA7" s="64"/>
      <c r="AB7" s="64"/>
      <c r="AC7" s="64"/>
      <c r="AD7" s="64"/>
    </row>
    <row r="8" spans="1:30" ht="14.25" customHeight="1" x14ac:dyDescent="0.35">
      <c r="A8" s="246"/>
      <c r="B8" s="243"/>
      <c r="C8" s="127"/>
      <c r="D8" s="94"/>
      <c r="E8" s="110"/>
      <c r="F8" s="94"/>
      <c r="G8" s="95"/>
      <c r="H8" s="94"/>
      <c r="I8" s="142"/>
      <c r="J8" s="94"/>
      <c r="K8" s="94"/>
      <c r="L8" s="94"/>
      <c r="M8" s="142"/>
      <c r="N8" s="94"/>
      <c r="O8" s="94"/>
      <c r="P8" s="94"/>
      <c r="Q8" s="94"/>
      <c r="R8" s="94"/>
      <c r="S8" s="94"/>
      <c r="T8" s="94"/>
      <c r="U8" s="94"/>
      <c r="V8" s="94"/>
      <c r="W8" s="96"/>
      <c r="X8" s="64"/>
      <c r="Y8" s="136">
        <f t="shared" si="0"/>
        <v>-40</v>
      </c>
      <c r="Z8" s="64"/>
      <c r="AA8" s="64"/>
      <c r="AB8" s="64"/>
      <c r="AC8" s="64"/>
      <c r="AD8" s="64"/>
    </row>
    <row r="9" spans="1:30" ht="14.25" customHeight="1" x14ac:dyDescent="0.35">
      <c r="A9" s="246"/>
      <c r="B9" s="244" t="str">
        <f>Neu!B7</f>
        <v>B64ls</v>
      </c>
      <c r="C9" s="104"/>
      <c r="D9" s="108"/>
      <c r="E9" s="108"/>
      <c r="F9" s="106"/>
      <c r="G9" s="101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18"/>
      <c r="X9" s="64"/>
      <c r="Y9" s="136">
        <f t="shared" si="0"/>
        <v>-50</v>
      </c>
      <c r="Z9" s="64"/>
      <c r="AA9" s="64"/>
      <c r="AB9" s="64"/>
      <c r="AC9" s="64"/>
      <c r="AD9" s="64"/>
    </row>
    <row r="10" spans="1:30" ht="14.25" customHeight="1" x14ac:dyDescent="0.35">
      <c r="A10" s="246"/>
      <c r="B10" s="243"/>
      <c r="C10" s="127"/>
      <c r="D10" s="94"/>
      <c r="E10" s="94"/>
      <c r="F10" s="110"/>
      <c r="G10" s="95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6"/>
      <c r="X10" s="64"/>
      <c r="Y10" s="136">
        <f t="shared" si="0"/>
        <v>-60</v>
      </c>
      <c r="Z10" s="64"/>
      <c r="AA10" s="64"/>
      <c r="AB10" s="64"/>
      <c r="AC10" s="64"/>
      <c r="AD10" s="64"/>
    </row>
    <row r="11" spans="1:30" ht="14.25" customHeight="1" x14ac:dyDescent="0.35">
      <c r="A11" s="246"/>
      <c r="B11" s="244" t="str">
        <f>Neu!B8</f>
        <v>B64la</v>
      </c>
      <c r="C11" s="104"/>
      <c r="D11" s="108"/>
      <c r="E11" s="108"/>
      <c r="F11" s="108"/>
      <c r="G11" s="99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18"/>
      <c r="X11" s="64"/>
      <c r="Y11" s="136">
        <f t="shared" si="0"/>
        <v>-70</v>
      </c>
      <c r="Z11" s="64"/>
      <c r="AA11" s="64"/>
      <c r="AB11" s="64"/>
      <c r="AC11" s="64"/>
      <c r="AD11" s="64"/>
    </row>
    <row r="12" spans="1:30" ht="14.25" customHeight="1" x14ac:dyDescent="0.35">
      <c r="A12" s="246"/>
      <c r="B12" s="243"/>
      <c r="C12" s="128">
        <v>-75</v>
      </c>
      <c r="D12" s="109">
        <v>-75</v>
      </c>
      <c r="E12" s="109">
        <v>-75</v>
      </c>
      <c r="F12" s="109"/>
      <c r="G12" s="102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16"/>
      <c r="X12" s="64"/>
      <c r="Y12" s="136">
        <f t="shared" si="0"/>
        <v>-80</v>
      </c>
      <c r="Z12" s="64"/>
      <c r="AA12" s="64"/>
      <c r="AB12" s="64"/>
      <c r="AC12" s="64"/>
      <c r="AD12" s="64"/>
    </row>
    <row r="13" spans="1:30" ht="14.25" customHeight="1" x14ac:dyDescent="0.35">
      <c r="A13" s="246"/>
      <c r="B13" s="244" t="str">
        <f>Neu!B9</f>
        <v>B63rs</v>
      </c>
      <c r="C13" s="104"/>
      <c r="D13" s="108"/>
      <c r="E13" s="108"/>
      <c r="F13" s="108"/>
      <c r="G13" s="101"/>
      <c r="H13" s="106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18"/>
      <c r="X13" s="64"/>
      <c r="Y13" s="136">
        <f t="shared" si="0"/>
        <v>-90</v>
      </c>
      <c r="Z13" s="64"/>
      <c r="AA13" s="64"/>
      <c r="AB13" s="64"/>
      <c r="AC13" s="64"/>
      <c r="AD13" s="64"/>
    </row>
    <row r="14" spans="1:30" ht="14.25" customHeight="1" x14ac:dyDescent="0.35">
      <c r="A14" s="246"/>
      <c r="B14" s="243"/>
      <c r="C14" s="127"/>
      <c r="D14" s="94"/>
      <c r="E14" s="94"/>
      <c r="F14" s="94"/>
      <c r="G14" s="95"/>
      <c r="H14" s="110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6"/>
      <c r="X14" s="64"/>
      <c r="Y14" s="136">
        <f t="shared" si="0"/>
        <v>-100</v>
      </c>
      <c r="Z14" s="64"/>
      <c r="AA14" s="64"/>
      <c r="AB14" s="64"/>
      <c r="AC14" s="64"/>
      <c r="AD14" s="64"/>
    </row>
    <row r="15" spans="1:30" ht="14.25" customHeight="1" x14ac:dyDescent="0.35">
      <c r="A15" s="246"/>
      <c r="B15" s="244" t="str">
        <f>Neu!B10</f>
        <v>B63ra</v>
      </c>
      <c r="C15" s="104"/>
      <c r="D15" s="108"/>
      <c r="E15" s="108"/>
      <c r="F15" s="108"/>
      <c r="G15" s="101"/>
      <c r="H15" s="108"/>
      <c r="I15" s="106"/>
      <c r="J15" s="108">
        <v>0</v>
      </c>
      <c r="K15" s="108"/>
      <c r="L15" s="143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18"/>
      <c r="X15" s="64"/>
      <c r="Y15" s="136">
        <f t="shared" si="0"/>
        <v>-110</v>
      </c>
      <c r="Z15" s="64"/>
      <c r="AA15" s="64"/>
      <c r="AB15" s="64"/>
      <c r="AC15" s="64"/>
      <c r="AD15" s="64"/>
    </row>
    <row r="16" spans="1:30" ht="14.25" customHeight="1" x14ac:dyDescent="0.35">
      <c r="A16" s="246"/>
      <c r="B16" s="243"/>
      <c r="C16" s="127"/>
      <c r="D16" s="94"/>
      <c r="E16" s="94"/>
      <c r="F16" s="94"/>
      <c r="G16" s="95"/>
      <c r="H16" s="94"/>
      <c r="I16" s="110"/>
      <c r="J16" s="94">
        <v>-2</v>
      </c>
      <c r="K16" s="94">
        <v>-2</v>
      </c>
      <c r="L16" s="144">
        <v>-2</v>
      </c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6"/>
      <c r="X16" s="64"/>
      <c r="Y16" s="136">
        <f t="shared" si="0"/>
        <v>-120</v>
      </c>
      <c r="Z16" s="64"/>
      <c r="AA16" s="64"/>
      <c r="AB16" s="64"/>
      <c r="AC16" s="64"/>
      <c r="AD16" s="64"/>
    </row>
    <row r="17" spans="1:30" ht="14.25" customHeight="1" x14ac:dyDescent="0.35">
      <c r="A17" s="246"/>
      <c r="B17" s="244" t="str">
        <f>Neu!B11</f>
        <v>B31ls</v>
      </c>
      <c r="C17" s="104"/>
      <c r="D17" s="108"/>
      <c r="E17" s="108"/>
      <c r="F17" s="108"/>
      <c r="G17" s="101"/>
      <c r="H17" s="108"/>
      <c r="I17" s="108"/>
      <c r="J17" s="106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18"/>
      <c r="X17" s="64"/>
      <c r="Y17" s="136">
        <f t="shared" si="0"/>
        <v>-130</v>
      </c>
      <c r="Z17" s="64"/>
      <c r="AA17" s="64"/>
      <c r="AB17" s="64"/>
      <c r="AC17" s="64"/>
      <c r="AD17" s="64"/>
    </row>
    <row r="18" spans="1:30" ht="14.25" customHeight="1" x14ac:dyDescent="0.35">
      <c r="A18" s="246"/>
      <c r="B18" s="243"/>
      <c r="C18" s="127"/>
      <c r="D18" s="94"/>
      <c r="E18" s="94"/>
      <c r="F18" s="94"/>
      <c r="G18" s="95"/>
      <c r="H18" s="94"/>
      <c r="I18" s="94"/>
      <c r="J18" s="110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6"/>
      <c r="X18" s="64"/>
      <c r="Y18" s="136">
        <f t="shared" si="0"/>
        <v>-140</v>
      </c>
      <c r="Z18" s="64"/>
      <c r="AA18" s="64"/>
      <c r="AB18" s="64"/>
      <c r="AC18" s="64"/>
      <c r="AD18" s="64"/>
    </row>
    <row r="19" spans="1:30" ht="14.25" customHeight="1" x14ac:dyDescent="0.35">
      <c r="A19" s="246"/>
      <c r="B19" s="244" t="str">
        <f>Neu!B12</f>
        <v>B64rs</v>
      </c>
      <c r="C19" s="104"/>
      <c r="D19" s="108"/>
      <c r="E19" s="108"/>
      <c r="F19" s="108"/>
      <c r="G19" s="101"/>
      <c r="H19" s="108"/>
      <c r="I19" s="108"/>
      <c r="J19" s="108"/>
      <c r="K19" s="106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18"/>
      <c r="X19" s="64"/>
      <c r="Y19" s="136">
        <f t="shared" si="0"/>
        <v>-150</v>
      </c>
      <c r="Z19" s="64"/>
      <c r="AA19" s="64"/>
      <c r="AB19" s="64"/>
      <c r="AC19" s="64"/>
      <c r="AD19" s="64"/>
    </row>
    <row r="20" spans="1:30" ht="14.25" customHeight="1" x14ac:dyDescent="0.35">
      <c r="A20" s="246"/>
      <c r="B20" s="243"/>
      <c r="C20" s="127"/>
      <c r="D20" s="94"/>
      <c r="E20" s="94"/>
      <c r="F20" s="94"/>
      <c r="G20" s="95"/>
      <c r="H20" s="94"/>
      <c r="I20" s="94"/>
      <c r="J20" s="94"/>
      <c r="K20" s="110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6"/>
      <c r="X20" s="64"/>
      <c r="Y20" s="136">
        <f t="shared" si="0"/>
        <v>-160</v>
      </c>
      <c r="Z20" s="64"/>
      <c r="AA20" s="64"/>
      <c r="AB20" s="64"/>
      <c r="AC20" s="64"/>
      <c r="AD20" s="64"/>
    </row>
    <row r="21" spans="1:30" ht="14.25" customHeight="1" x14ac:dyDescent="0.35">
      <c r="A21" s="246"/>
      <c r="B21" s="244" t="str">
        <f>Neu!B13</f>
        <v>B64ra</v>
      </c>
      <c r="C21" s="104"/>
      <c r="D21" s="108"/>
      <c r="E21" s="108"/>
      <c r="F21" s="108"/>
      <c r="G21" s="101"/>
      <c r="H21" s="108"/>
      <c r="I21" s="108"/>
      <c r="J21" s="108"/>
      <c r="K21" s="108"/>
      <c r="L21" s="106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18"/>
      <c r="X21" s="64"/>
      <c r="Y21" s="136">
        <f t="shared" si="0"/>
        <v>-170</v>
      </c>
      <c r="Z21" s="64"/>
      <c r="AA21" s="64"/>
      <c r="AB21" s="64"/>
      <c r="AC21" s="64"/>
      <c r="AD21" s="64"/>
    </row>
    <row r="22" spans="1:30" ht="14.25" customHeight="1" x14ac:dyDescent="0.35">
      <c r="A22" s="246"/>
      <c r="B22" s="243"/>
      <c r="C22" s="127"/>
      <c r="D22" s="94"/>
      <c r="E22" s="94"/>
      <c r="F22" s="94"/>
      <c r="G22" s="95"/>
      <c r="H22" s="128">
        <v>-75</v>
      </c>
      <c r="I22" s="109">
        <v>-75</v>
      </c>
      <c r="J22" s="109">
        <v>-75</v>
      </c>
      <c r="K22" s="94"/>
      <c r="L22" s="110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6"/>
      <c r="X22" s="64"/>
      <c r="Y22" s="136">
        <f t="shared" si="0"/>
        <v>-180</v>
      </c>
      <c r="Z22" s="64"/>
      <c r="AA22" s="64"/>
      <c r="AB22" s="64"/>
      <c r="AC22" s="64"/>
      <c r="AD22" s="64"/>
    </row>
    <row r="23" spans="1:30" ht="14.25" customHeight="1" x14ac:dyDescent="0.35">
      <c r="A23" s="246"/>
      <c r="B23" s="244">
        <f>Neu!B14</f>
        <v>0</v>
      </c>
      <c r="C23" s="104"/>
      <c r="D23" s="108"/>
      <c r="E23" s="108"/>
      <c r="F23" s="108"/>
      <c r="G23" s="101"/>
      <c r="H23" s="108"/>
      <c r="I23" s="108"/>
      <c r="J23" s="108"/>
      <c r="K23" s="108"/>
      <c r="L23" s="108"/>
      <c r="M23" s="106"/>
      <c r="N23" s="108"/>
      <c r="O23" s="108"/>
      <c r="P23" s="108"/>
      <c r="Q23" s="108"/>
      <c r="R23" s="108"/>
      <c r="S23" s="108"/>
      <c r="T23" s="108"/>
      <c r="U23" s="108"/>
      <c r="V23" s="108"/>
      <c r="W23" s="118"/>
      <c r="X23" s="64"/>
      <c r="Y23" s="136">
        <f t="shared" si="0"/>
        <v>-190</v>
      </c>
      <c r="Z23" s="64"/>
      <c r="AA23" s="64"/>
      <c r="AB23" s="64"/>
      <c r="AC23" s="64"/>
      <c r="AD23" s="64"/>
    </row>
    <row r="24" spans="1:30" ht="14.25" customHeight="1" x14ac:dyDescent="0.35">
      <c r="A24" s="246"/>
      <c r="B24" s="243"/>
      <c r="C24" s="128"/>
      <c r="D24" s="109"/>
      <c r="E24" s="109"/>
      <c r="F24" s="109"/>
      <c r="G24" s="100"/>
      <c r="H24" s="109"/>
      <c r="I24" s="109"/>
      <c r="J24" s="109"/>
      <c r="K24" s="109"/>
      <c r="L24" s="109"/>
      <c r="M24" s="107"/>
      <c r="N24" s="109"/>
      <c r="O24" s="109"/>
      <c r="P24" s="109"/>
      <c r="Q24" s="109"/>
      <c r="R24" s="109"/>
      <c r="S24" s="109"/>
      <c r="T24" s="109"/>
      <c r="U24" s="109"/>
      <c r="V24" s="109"/>
      <c r="W24" s="116"/>
      <c r="X24" s="64"/>
      <c r="Y24" s="136">
        <f t="shared" si="0"/>
        <v>-200</v>
      </c>
      <c r="Z24" s="64"/>
      <c r="AA24" s="64"/>
      <c r="AB24" s="64"/>
      <c r="AC24" s="64"/>
      <c r="AD24" s="64"/>
    </row>
    <row r="25" spans="1:30" ht="14.25" customHeight="1" x14ac:dyDescent="0.35">
      <c r="A25" s="246"/>
      <c r="B25" s="244">
        <f>Neu!B15</f>
        <v>0</v>
      </c>
      <c r="C25" s="104"/>
      <c r="D25" s="108"/>
      <c r="E25" s="108"/>
      <c r="F25" s="108"/>
      <c r="G25" s="101"/>
      <c r="H25" s="108"/>
      <c r="I25" s="108"/>
      <c r="J25" s="108"/>
      <c r="K25" s="108"/>
      <c r="L25" s="108"/>
      <c r="M25" s="108"/>
      <c r="N25" s="106"/>
      <c r="O25" s="108"/>
      <c r="P25" s="108"/>
      <c r="Q25" s="108"/>
      <c r="R25" s="108"/>
      <c r="S25" s="108"/>
      <c r="T25" s="108"/>
      <c r="U25" s="108"/>
      <c r="V25" s="108"/>
      <c r="W25" s="118"/>
      <c r="X25" s="64"/>
      <c r="Y25" s="136">
        <f t="shared" si="0"/>
        <v>-210</v>
      </c>
      <c r="Z25" s="64"/>
      <c r="AA25" s="64"/>
      <c r="AB25" s="64"/>
      <c r="AC25" s="64"/>
      <c r="AD25" s="64"/>
    </row>
    <row r="26" spans="1:30" ht="14.25" customHeight="1" x14ac:dyDescent="0.35">
      <c r="A26" s="246"/>
      <c r="B26" s="243"/>
      <c r="C26" s="127"/>
      <c r="D26" s="94"/>
      <c r="E26" s="94"/>
      <c r="F26" s="94"/>
      <c r="G26" s="95"/>
      <c r="H26" s="94"/>
      <c r="I26" s="94"/>
      <c r="J26" s="94"/>
      <c r="K26" s="94"/>
      <c r="L26" s="94"/>
      <c r="M26" s="94"/>
      <c r="N26" s="110"/>
      <c r="O26" s="94"/>
      <c r="P26" s="94"/>
      <c r="Q26" s="94"/>
      <c r="R26" s="94"/>
      <c r="S26" s="94"/>
      <c r="T26" s="94"/>
      <c r="U26" s="94"/>
      <c r="V26" s="94"/>
      <c r="W26" s="96"/>
      <c r="X26" s="64"/>
      <c r="Y26" s="136">
        <f t="shared" si="0"/>
        <v>-220</v>
      </c>
      <c r="Z26" s="64"/>
      <c r="AA26" s="64"/>
      <c r="AB26" s="64"/>
      <c r="AC26" s="64"/>
      <c r="AD26" s="64"/>
    </row>
    <row r="27" spans="1:30" ht="14.25" customHeight="1" x14ac:dyDescent="0.35">
      <c r="A27" s="246"/>
      <c r="B27" s="244"/>
      <c r="C27" s="104"/>
      <c r="D27" s="108"/>
      <c r="E27" s="108"/>
      <c r="F27" s="108"/>
      <c r="G27" s="101"/>
      <c r="H27" s="108"/>
      <c r="I27" s="108"/>
      <c r="J27" s="108"/>
      <c r="K27" s="108"/>
      <c r="L27" s="108"/>
      <c r="M27" s="108"/>
      <c r="N27" s="108"/>
      <c r="O27" s="106"/>
      <c r="P27" s="108"/>
      <c r="Q27" s="108"/>
      <c r="R27" s="108"/>
      <c r="S27" s="108"/>
      <c r="T27" s="108"/>
      <c r="U27" s="108"/>
      <c r="V27" s="108"/>
      <c r="W27" s="118"/>
      <c r="X27" s="64"/>
      <c r="Y27" s="136">
        <f t="shared" si="0"/>
        <v>-230</v>
      </c>
      <c r="Z27" s="64"/>
      <c r="AA27" s="64"/>
      <c r="AB27" s="64"/>
      <c r="AC27" s="64"/>
      <c r="AD27" s="64"/>
    </row>
    <row r="28" spans="1:30" ht="14.25" customHeight="1" x14ac:dyDescent="0.35">
      <c r="A28" s="246"/>
      <c r="B28" s="243"/>
      <c r="C28" s="127"/>
      <c r="D28" s="94"/>
      <c r="E28" s="94"/>
      <c r="F28" s="94"/>
      <c r="G28" s="95"/>
      <c r="H28" s="94"/>
      <c r="I28" s="94"/>
      <c r="J28" s="94"/>
      <c r="K28" s="94"/>
      <c r="L28" s="94"/>
      <c r="M28" s="94"/>
      <c r="N28" s="94"/>
      <c r="O28" s="110"/>
      <c r="P28" s="94"/>
      <c r="Q28" s="94"/>
      <c r="R28" s="94"/>
      <c r="S28" s="94"/>
      <c r="T28" s="94"/>
      <c r="U28" s="94"/>
      <c r="V28" s="94"/>
      <c r="W28" s="96"/>
      <c r="X28" s="64"/>
      <c r="Y28" s="136">
        <f t="shared" si="0"/>
        <v>-240</v>
      </c>
      <c r="Z28" s="64"/>
      <c r="AA28" s="64"/>
      <c r="AB28" s="64"/>
      <c r="AC28" s="64"/>
      <c r="AD28" s="64"/>
    </row>
    <row r="29" spans="1:30" ht="14.25" customHeight="1" x14ac:dyDescent="0.35">
      <c r="A29" s="246"/>
      <c r="B29" s="244"/>
      <c r="C29" s="104"/>
      <c r="D29" s="108"/>
      <c r="E29" s="108"/>
      <c r="F29" s="108"/>
      <c r="G29" s="101"/>
      <c r="H29" s="108"/>
      <c r="I29" s="108"/>
      <c r="J29" s="108"/>
      <c r="K29" s="108"/>
      <c r="L29" s="108"/>
      <c r="M29" s="108"/>
      <c r="N29" s="108"/>
      <c r="O29" s="108"/>
      <c r="P29" s="106"/>
      <c r="Q29" s="108"/>
      <c r="R29" s="108"/>
      <c r="S29" s="108"/>
      <c r="T29" s="108"/>
      <c r="U29" s="108"/>
      <c r="V29" s="108"/>
      <c r="W29" s="118"/>
      <c r="X29" s="64"/>
      <c r="Y29" s="136">
        <f t="shared" si="0"/>
        <v>-250</v>
      </c>
      <c r="Z29" s="64"/>
      <c r="AA29" s="64"/>
      <c r="AB29" s="64"/>
      <c r="AC29" s="64"/>
      <c r="AD29" s="64"/>
    </row>
    <row r="30" spans="1:30" ht="14.25" customHeight="1" x14ac:dyDescent="0.35">
      <c r="A30" s="246"/>
      <c r="B30" s="243"/>
      <c r="C30" s="127"/>
      <c r="D30" s="94"/>
      <c r="E30" s="94"/>
      <c r="F30" s="94"/>
      <c r="G30" s="95"/>
      <c r="H30" s="94"/>
      <c r="I30" s="94"/>
      <c r="J30" s="94"/>
      <c r="K30" s="94"/>
      <c r="L30" s="94"/>
      <c r="M30" s="94"/>
      <c r="N30" s="94"/>
      <c r="O30" s="94"/>
      <c r="P30" s="110"/>
      <c r="Q30" s="94"/>
      <c r="R30" s="94"/>
      <c r="S30" s="94"/>
      <c r="T30" s="94"/>
      <c r="U30" s="94"/>
      <c r="V30" s="94"/>
      <c r="W30" s="96"/>
      <c r="X30" s="64"/>
      <c r="Y30" s="136">
        <f t="shared" si="0"/>
        <v>-260</v>
      </c>
      <c r="Z30" s="64"/>
      <c r="AA30" s="64"/>
      <c r="AB30" s="64"/>
      <c r="AC30" s="64"/>
      <c r="AD30" s="64"/>
    </row>
    <row r="31" spans="1:30" ht="14.25" customHeight="1" x14ac:dyDescent="0.35">
      <c r="A31" s="246"/>
      <c r="B31" s="244"/>
      <c r="C31" s="104"/>
      <c r="D31" s="108"/>
      <c r="E31" s="108"/>
      <c r="F31" s="108"/>
      <c r="G31" s="101"/>
      <c r="H31" s="108"/>
      <c r="I31" s="108"/>
      <c r="J31" s="108"/>
      <c r="K31" s="108"/>
      <c r="L31" s="108"/>
      <c r="M31" s="108"/>
      <c r="N31" s="108"/>
      <c r="O31" s="108"/>
      <c r="P31" s="108"/>
      <c r="Q31" s="106"/>
      <c r="R31" s="108"/>
      <c r="S31" s="108"/>
      <c r="T31" s="108"/>
      <c r="U31" s="108"/>
      <c r="V31" s="108"/>
      <c r="W31" s="118"/>
      <c r="X31" s="64"/>
      <c r="Y31" s="136">
        <f t="shared" si="0"/>
        <v>-270</v>
      </c>
      <c r="Z31" s="64"/>
      <c r="AA31" s="64"/>
      <c r="AB31" s="64"/>
      <c r="AC31" s="64"/>
      <c r="AD31" s="64"/>
    </row>
    <row r="32" spans="1:30" ht="14.25" customHeight="1" x14ac:dyDescent="0.35">
      <c r="A32" s="246"/>
      <c r="B32" s="243"/>
      <c r="C32" s="127"/>
      <c r="D32" s="94"/>
      <c r="E32" s="94"/>
      <c r="F32" s="94"/>
      <c r="G32" s="95"/>
      <c r="H32" s="94"/>
      <c r="I32" s="94"/>
      <c r="J32" s="94"/>
      <c r="K32" s="94"/>
      <c r="L32" s="94"/>
      <c r="M32" s="94"/>
      <c r="N32" s="94"/>
      <c r="O32" s="94"/>
      <c r="P32" s="94"/>
      <c r="Q32" s="110"/>
      <c r="R32" s="94"/>
      <c r="S32" s="94"/>
      <c r="T32" s="94"/>
      <c r="U32" s="94"/>
      <c r="V32" s="94"/>
      <c r="W32" s="96"/>
      <c r="X32" s="64"/>
      <c r="Y32" s="136">
        <f t="shared" si="0"/>
        <v>-280</v>
      </c>
      <c r="Z32" s="64"/>
      <c r="AA32" s="64"/>
      <c r="AB32" s="64"/>
      <c r="AC32" s="64"/>
      <c r="AD32" s="64"/>
    </row>
    <row r="33" spans="1:30" ht="14.25" customHeight="1" x14ac:dyDescent="0.35">
      <c r="A33" s="246"/>
      <c r="B33" s="244"/>
      <c r="C33" s="104"/>
      <c r="D33" s="108"/>
      <c r="E33" s="108"/>
      <c r="F33" s="108"/>
      <c r="G33" s="101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6"/>
      <c r="S33" s="108"/>
      <c r="T33" s="108"/>
      <c r="U33" s="108"/>
      <c r="V33" s="108"/>
      <c r="W33" s="118"/>
      <c r="X33" s="64"/>
      <c r="Y33" s="64"/>
      <c r="Z33" s="64"/>
      <c r="AA33" s="64"/>
      <c r="AB33" s="64"/>
      <c r="AC33" s="64"/>
      <c r="AD33" s="64"/>
    </row>
    <row r="34" spans="1:30" ht="14.25" customHeight="1" x14ac:dyDescent="0.35">
      <c r="A34" s="246"/>
      <c r="B34" s="243"/>
      <c r="C34" s="127"/>
      <c r="D34" s="94"/>
      <c r="E34" s="94"/>
      <c r="F34" s="94"/>
      <c r="G34" s="95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10"/>
      <c r="S34" s="94"/>
      <c r="T34" s="94"/>
      <c r="U34" s="94"/>
      <c r="V34" s="94"/>
      <c r="W34" s="96"/>
      <c r="X34" s="64"/>
      <c r="Y34" s="64"/>
      <c r="Z34" s="64"/>
      <c r="AA34" s="64"/>
      <c r="AB34" s="64"/>
      <c r="AC34" s="64"/>
      <c r="AD34" s="64"/>
    </row>
    <row r="35" spans="1:30" ht="14.25" customHeight="1" x14ac:dyDescent="0.35">
      <c r="A35" s="246"/>
      <c r="B35" s="244"/>
      <c r="C35" s="104"/>
      <c r="D35" s="108"/>
      <c r="E35" s="108"/>
      <c r="F35" s="108"/>
      <c r="G35" s="101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6"/>
      <c r="T35" s="108"/>
      <c r="U35" s="108"/>
      <c r="V35" s="108"/>
      <c r="W35" s="118"/>
      <c r="X35" s="64"/>
      <c r="Y35" s="64"/>
      <c r="Z35" s="64"/>
      <c r="AA35" s="64"/>
      <c r="AB35" s="64"/>
      <c r="AC35" s="64"/>
      <c r="AD35" s="64"/>
    </row>
    <row r="36" spans="1:30" ht="14.25" customHeight="1" x14ac:dyDescent="0.35">
      <c r="A36" s="246"/>
      <c r="B36" s="243"/>
      <c r="C36" s="128"/>
      <c r="D36" s="109"/>
      <c r="E36" s="109"/>
      <c r="F36" s="109"/>
      <c r="G36" s="100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7"/>
      <c r="T36" s="109"/>
      <c r="U36" s="109"/>
      <c r="V36" s="109"/>
      <c r="W36" s="116"/>
      <c r="X36" s="64"/>
      <c r="Y36" s="64"/>
      <c r="Z36" s="64"/>
      <c r="AA36" s="64"/>
      <c r="AB36" s="64"/>
      <c r="AC36" s="64"/>
      <c r="AD36" s="64"/>
    </row>
    <row r="37" spans="1:30" ht="14.25" customHeight="1" x14ac:dyDescent="0.35">
      <c r="A37" s="246"/>
      <c r="B37" s="244">
        <f>Neu!B16</f>
        <v>0</v>
      </c>
      <c r="C37" s="104"/>
      <c r="D37" s="108"/>
      <c r="E37" s="108"/>
      <c r="F37" s="108"/>
      <c r="G37" s="101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6"/>
      <c r="U37" s="108"/>
      <c r="V37" s="108"/>
      <c r="W37" s="118"/>
      <c r="X37" s="64"/>
      <c r="Y37" s="64"/>
      <c r="Z37" s="64"/>
      <c r="AA37" s="64"/>
      <c r="AB37" s="64"/>
      <c r="AC37" s="64"/>
      <c r="AD37" s="64"/>
    </row>
    <row r="38" spans="1:30" ht="14.25" customHeight="1" x14ac:dyDescent="0.35">
      <c r="A38" s="246"/>
      <c r="B38" s="243"/>
      <c r="C38" s="127"/>
      <c r="D38" s="94"/>
      <c r="E38" s="94"/>
      <c r="F38" s="94"/>
      <c r="G38" s="95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110"/>
      <c r="U38" s="94"/>
      <c r="V38" s="94"/>
      <c r="W38" s="96"/>
      <c r="X38" s="64"/>
      <c r="Y38" s="64"/>
      <c r="Z38" s="64"/>
      <c r="AA38" s="64"/>
      <c r="AB38" s="64"/>
      <c r="AC38" s="64"/>
      <c r="AD38" s="64"/>
    </row>
    <row r="39" spans="1:30" ht="14.25" customHeight="1" x14ac:dyDescent="0.35">
      <c r="A39" s="246"/>
      <c r="B39" s="244">
        <f>Neu!B17</f>
        <v>0</v>
      </c>
      <c r="C39" s="104"/>
      <c r="D39" s="108"/>
      <c r="E39" s="108"/>
      <c r="F39" s="108"/>
      <c r="G39" s="101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6"/>
      <c r="V39" s="108"/>
      <c r="W39" s="118"/>
      <c r="X39" s="64"/>
      <c r="Y39" s="64"/>
      <c r="Z39" s="64"/>
      <c r="AA39" s="64"/>
      <c r="AB39" s="64"/>
      <c r="AC39" s="64"/>
      <c r="AD39" s="64"/>
    </row>
    <row r="40" spans="1:30" ht="14.25" customHeight="1" x14ac:dyDescent="0.35">
      <c r="A40" s="246"/>
      <c r="B40" s="243"/>
      <c r="C40" s="127"/>
      <c r="D40" s="94"/>
      <c r="E40" s="94"/>
      <c r="F40" s="94"/>
      <c r="G40" s="95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110"/>
      <c r="V40" s="94"/>
      <c r="W40" s="96"/>
      <c r="X40" s="64"/>
      <c r="Y40" s="64"/>
      <c r="Z40" s="64"/>
      <c r="AA40" s="64"/>
      <c r="AB40" s="64"/>
      <c r="AC40" s="64"/>
      <c r="AD40" s="64"/>
    </row>
    <row r="41" spans="1:30" ht="14.25" customHeight="1" x14ac:dyDescent="0.35">
      <c r="A41" s="246"/>
      <c r="B41" s="244" t="e">
        <f>Neu!#REF!</f>
        <v>#REF!</v>
      </c>
      <c r="C41" s="104"/>
      <c r="D41" s="108"/>
      <c r="E41" s="108"/>
      <c r="F41" s="108"/>
      <c r="G41" s="101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6"/>
      <c r="W41" s="118"/>
      <c r="X41" s="64"/>
      <c r="Y41" s="64"/>
      <c r="Z41" s="64"/>
      <c r="AA41" s="64"/>
      <c r="AB41" s="64"/>
      <c r="AC41" s="64"/>
      <c r="AD41" s="64"/>
    </row>
    <row r="42" spans="1:30" ht="14.25" customHeight="1" x14ac:dyDescent="0.35">
      <c r="A42" s="246"/>
      <c r="B42" s="243"/>
      <c r="C42" s="127"/>
      <c r="D42" s="94"/>
      <c r="E42" s="94"/>
      <c r="F42" s="94"/>
      <c r="G42" s="95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110"/>
      <c r="W42" s="96"/>
      <c r="X42" s="64"/>
      <c r="Y42" s="64"/>
      <c r="Z42" s="64"/>
      <c r="AA42" s="64"/>
      <c r="AB42" s="64"/>
      <c r="AC42" s="64"/>
      <c r="AD42" s="64"/>
    </row>
    <row r="43" spans="1:30" ht="14.25" customHeight="1" x14ac:dyDescent="0.35">
      <c r="A43" s="246"/>
      <c r="B43" s="244">
        <f>Neu!B24</f>
        <v>0</v>
      </c>
      <c r="C43" s="104"/>
      <c r="D43" s="108"/>
      <c r="E43" s="108"/>
      <c r="F43" s="108"/>
      <c r="G43" s="101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21"/>
      <c r="X43" s="64"/>
      <c r="Y43" s="64"/>
      <c r="Z43" s="64"/>
      <c r="AA43" s="64"/>
      <c r="AB43" s="64"/>
      <c r="AC43" s="64"/>
      <c r="AD43" s="64"/>
    </row>
    <row r="44" spans="1:30" ht="14.25" customHeight="1" thickBot="1" x14ac:dyDescent="0.4">
      <c r="A44" s="105"/>
      <c r="B44" s="247"/>
      <c r="C44" s="131"/>
      <c r="D44" s="123"/>
      <c r="E44" s="123"/>
      <c r="F44" s="123"/>
      <c r="G44" s="124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5"/>
      <c r="X44" s="64"/>
      <c r="Y44" s="64"/>
      <c r="Z44" s="64"/>
      <c r="AA44" s="64"/>
      <c r="AB44" s="64"/>
      <c r="AC44" s="64"/>
      <c r="AD44" s="64"/>
    </row>
    <row r="45" spans="1:30" x14ac:dyDescent="0.35"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</row>
    <row r="46" spans="1:30" x14ac:dyDescent="0.35"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</row>
    <row r="47" spans="1:30" x14ac:dyDescent="0.35"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</row>
    <row r="48" spans="1:30" x14ac:dyDescent="0.35"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</row>
    <row r="49" spans="3:30" x14ac:dyDescent="0.35"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</row>
    <row r="50" spans="3:30" x14ac:dyDescent="0.35"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</row>
    <row r="51" spans="3:30" x14ac:dyDescent="0.35"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</row>
    <row r="52" spans="3:30" x14ac:dyDescent="0.35"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</row>
    <row r="53" spans="3:30" x14ac:dyDescent="0.35"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</row>
    <row r="54" spans="3:30" x14ac:dyDescent="0.35"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</row>
    <row r="55" spans="3:30" x14ac:dyDescent="0.35"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</row>
    <row r="56" spans="3:30" x14ac:dyDescent="0.35"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</row>
    <row r="57" spans="3:30" x14ac:dyDescent="0.35"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</row>
    <row r="58" spans="3:30" x14ac:dyDescent="0.35"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</row>
    <row r="59" spans="3:30" x14ac:dyDescent="0.35"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</row>
    <row r="60" spans="3:30" x14ac:dyDescent="0.35"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</row>
    <row r="61" spans="3:30" x14ac:dyDescent="0.35"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</row>
    <row r="62" spans="3:30" x14ac:dyDescent="0.35"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</row>
    <row r="63" spans="3:30" x14ac:dyDescent="0.35"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</row>
    <row r="64" spans="3:30" x14ac:dyDescent="0.35"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</row>
    <row r="65" spans="3:30" x14ac:dyDescent="0.35"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</row>
    <row r="66" spans="3:30" x14ac:dyDescent="0.35"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</row>
    <row r="67" spans="3:30" x14ac:dyDescent="0.35"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</row>
    <row r="68" spans="3:30" x14ac:dyDescent="0.35"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</row>
    <row r="69" spans="3:30" x14ac:dyDescent="0.35"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</row>
    <row r="70" spans="3:30" x14ac:dyDescent="0.35"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</row>
    <row r="71" spans="3:30" x14ac:dyDescent="0.35"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</row>
    <row r="72" spans="3:30" x14ac:dyDescent="0.35"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</row>
    <row r="73" spans="3:30" x14ac:dyDescent="0.35"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</row>
    <row r="74" spans="3:30" x14ac:dyDescent="0.35"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</row>
    <row r="75" spans="3:30" x14ac:dyDescent="0.35"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</row>
    <row r="76" spans="3:30" x14ac:dyDescent="0.35"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</row>
  </sheetData>
  <mergeCells count="24">
    <mergeCell ref="B39:B40"/>
    <mergeCell ref="B41:B42"/>
    <mergeCell ref="B43:B44"/>
    <mergeCell ref="B29:B30"/>
    <mergeCell ref="B31:B32"/>
    <mergeCell ref="B33:B34"/>
    <mergeCell ref="B35:B36"/>
    <mergeCell ref="B37:B38"/>
    <mergeCell ref="B3:B4"/>
    <mergeCell ref="A1:B2"/>
    <mergeCell ref="A3:A43"/>
    <mergeCell ref="C1:W1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</mergeCells>
  <conditionalFormatting sqref="B3 B5 B7 B9 B11 B13 B15 B17 B19 B21">
    <cfRule type="cellIs" dxfId="9" priority="3" operator="equal">
      <formula>0</formula>
    </cfRule>
  </conditionalFormatting>
  <conditionalFormatting sqref="B23 B25 B27 B29 B31 B33 B35 B37 B39 B41 B43">
    <cfRule type="cellIs" dxfId="8" priority="15" operator="equal">
      <formula>0</formula>
    </cfRule>
  </conditionalFormatting>
  <conditionalFormatting sqref="C2:W2">
    <cfRule type="cellIs" dxfId="7" priority="2" operator="equal">
      <formula>0</formula>
    </cfRule>
  </conditionalFormatting>
  <conditionalFormatting sqref="C3:W21 C23:W44 P22:W22 C22:L22">
    <cfRule type="colorScale" priority="9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conditionalFormatting sqref="M22:O22">
    <cfRule type="colorScale" priority="1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conditionalFormatting sqref="Y1:Y2 Y4:Y36">
    <cfRule type="cellIs" dxfId="6" priority="4" operator="lessThan">
      <formula>-100</formula>
    </cfRule>
  </conditionalFormatting>
  <conditionalFormatting sqref="Y1:Y44">
    <cfRule type="colorScale" priority="8">
      <colorScale>
        <cfvo type="num" val="MIN($C$3:$W$44)"/>
        <cfvo type="num" val="MAX($C$3:$W$44)"/>
        <color rgb="FFFCFCFF"/>
        <color rgb="FFF8696B"/>
      </colorScale>
    </cfRule>
  </conditionalFormatting>
  <conditionalFormatting sqref="Y1:Y1048576">
    <cfRule type="colorScale" priority="7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L229"/>
  <sheetViews>
    <sheetView zoomScale="50" zoomScaleNormal="100" workbookViewId="0">
      <selection activeCell="D40" sqref="D40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26" width="5.7265625" style="1" customWidth="1"/>
    <col min="27" max="27" width="10" style="9" customWidth="1"/>
    <col min="28" max="28" width="10" style="12" customWidth="1"/>
    <col min="29" max="29" width="10" style="9" customWidth="1"/>
    <col min="30" max="30" width="7.54296875" style="11" customWidth="1"/>
    <col min="31" max="31" width="5.7265625" style="13" customWidth="1"/>
    <col min="32" max="33" width="5.7265625" style="10" customWidth="1"/>
    <col min="34" max="34" width="5.7265625" style="11" customWidth="1"/>
    <col min="35" max="35" width="5.81640625" style="67" customWidth="1"/>
    <col min="36" max="36" width="7.453125" style="67" customWidth="1"/>
    <col min="37" max="16384" width="9.1796875" style="1"/>
  </cols>
  <sheetData>
    <row r="1" spans="1:38" ht="15" thickBot="1" x14ac:dyDescent="0.4">
      <c r="A1" s="245"/>
      <c r="B1" s="245"/>
      <c r="C1" s="251" t="s">
        <v>4</v>
      </c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AA1" s="249" t="s">
        <v>144</v>
      </c>
      <c r="AB1" s="250"/>
      <c r="AC1" s="66" t="s">
        <v>142</v>
      </c>
      <c r="AD1" s="4"/>
      <c r="AE1" s="248" t="s">
        <v>160</v>
      </c>
      <c r="AF1" s="248"/>
      <c r="AG1" s="248"/>
      <c r="AH1" s="248"/>
      <c r="AI1" s="248" t="s">
        <v>143</v>
      </c>
      <c r="AJ1" s="248"/>
    </row>
    <row r="2" spans="1:38" ht="15" thickBot="1" x14ac:dyDescent="0.4">
      <c r="A2" s="245"/>
      <c r="B2" s="245"/>
      <c r="C2" s="126" t="str">
        <f>Neu!$B4</f>
        <v>B63ls</v>
      </c>
      <c r="D2" s="97" t="str">
        <f>Neu!$B5</f>
        <v>B63la</v>
      </c>
      <c r="E2" s="97" t="str">
        <f>Neu!$B6</f>
        <v>B31rs</v>
      </c>
      <c r="F2" s="97" t="str">
        <f>Neu!$B7</f>
        <v>B64ls</v>
      </c>
      <c r="G2" s="97" t="str">
        <f>Neu!$B8</f>
        <v>B64la</v>
      </c>
      <c r="H2" s="97" t="str">
        <f>Neu!$B9</f>
        <v>B63rs</v>
      </c>
      <c r="I2" s="97" t="str">
        <f>Neu!$B10</f>
        <v>B63ra</v>
      </c>
      <c r="J2" s="97" t="str">
        <f>Neu!$B11</f>
        <v>B31ls</v>
      </c>
      <c r="K2" s="97" t="str">
        <f>Neu!$B12</f>
        <v>B64rs</v>
      </c>
      <c r="L2" s="97" t="str">
        <f>Neu!$B13</f>
        <v>B64ra</v>
      </c>
      <c r="M2" s="97">
        <f>Neu!$B14</f>
        <v>0</v>
      </c>
      <c r="N2" s="97">
        <f>Neu!$B15</f>
        <v>0</v>
      </c>
      <c r="O2" s="97"/>
      <c r="P2" s="97"/>
      <c r="Q2" s="97"/>
      <c r="R2" s="97"/>
      <c r="S2" s="97"/>
      <c r="T2" s="97">
        <f>Neu!$B16</f>
        <v>0</v>
      </c>
      <c r="U2" s="97">
        <f>Neu!$B17</f>
        <v>0</v>
      </c>
      <c r="V2" s="97" t="e">
        <f>Neu!#REF!</f>
        <v>#REF!</v>
      </c>
      <c r="W2" s="98">
        <f>Neu!$B24</f>
        <v>0</v>
      </c>
      <c r="AA2" s="4" t="s">
        <v>6</v>
      </c>
      <c r="AB2" s="4" t="s">
        <v>7</v>
      </c>
      <c r="AC2" s="4" t="s">
        <v>12</v>
      </c>
      <c r="AD2" s="4" t="s">
        <v>13</v>
      </c>
      <c r="AE2" s="4" t="s">
        <v>8</v>
      </c>
      <c r="AF2" s="4" t="s">
        <v>9</v>
      </c>
      <c r="AG2" s="4" t="s">
        <v>10</v>
      </c>
      <c r="AH2" s="4" t="s">
        <v>11</v>
      </c>
      <c r="AI2" s="4" t="s">
        <v>101</v>
      </c>
      <c r="AJ2" s="63" t="s">
        <v>145</v>
      </c>
    </row>
    <row r="3" spans="1:38" ht="14.25" customHeight="1" x14ac:dyDescent="0.35">
      <c r="A3" s="246" t="s">
        <v>5</v>
      </c>
      <c r="B3" s="242" t="str">
        <f>Neu!B4</f>
        <v>B63ls</v>
      </c>
      <c r="C3" s="111"/>
      <c r="D3" s="112"/>
      <c r="E3" s="112"/>
      <c r="F3" s="113"/>
      <c r="G3" s="112"/>
      <c r="H3" s="112"/>
      <c r="I3" s="112"/>
      <c r="J3" s="112"/>
      <c r="K3" s="113"/>
      <c r="L3" s="112"/>
      <c r="M3" s="112"/>
      <c r="N3" s="112"/>
      <c r="O3" s="112"/>
      <c r="P3" s="113"/>
      <c r="Q3" s="112"/>
      <c r="R3" s="112"/>
      <c r="S3" s="112"/>
      <c r="T3" s="112"/>
      <c r="U3" s="112"/>
      <c r="V3" s="112"/>
      <c r="W3" s="114"/>
      <c r="X3" s="65" t="s">
        <v>161</v>
      </c>
      <c r="Y3" s="1">
        <v>1</v>
      </c>
      <c r="Z3" s="1">
        <v>1</v>
      </c>
      <c r="AA3" s="27">
        <v>1E-3</v>
      </c>
      <c r="AB3" s="28">
        <v>0.01</v>
      </c>
      <c r="AC3" s="27">
        <v>-0.09</v>
      </c>
      <c r="AD3" s="29">
        <v>3.3</v>
      </c>
      <c r="AE3" s="30"/>
      <c r="AF3" s="31"/>
      <c r="AG3" s="31"/>
      <c r="AH3" s="29"/>
      <c r="AK3" s="65"/>
    </row>
    <row r="4" spans="1:38" ht="14.25" customHeight="1" x14ac:dyDescent="0.35">
      <c r="A4" s="246"/>
      <c r="B4" s="243"/>
      <c r="C4" s="115"/>
      <c r="D4" s="109"/>
      <c r="E4" s="109"/>
      <c r="F4" s="100"/>
      <c r="G4" s="109"/>
      <c r="H4" s="109"/>
      <c r="I4" s="109"/>
      <c r="J4" s="109"/>
      <c r="K4" s="100"/>
      <c r="L4" s="109"/>
      <c r="M4" s="109"/>
      <c r="N4" s="109"/>
      <c r="O4" s="109"/>
      <c r="P4" s="100"/>
      <c r="Q4" s="109"/>
      <c r="R4" s="109"/>
      <c r="S4" s="109"/>
      <c r="T4" s="109"/>
      <c r="U4" s="109"/>
      <c r="V4" s="109"/>
      <c r="W4" s="116"/>
      <c r="X4" s="65" t="s">
        <v>162</v>
      </c>
      <c r="Y4" s="1">
        <v>2</v>
      </c>
      <c r="Z4" s="1">
        <v>2</v>
      </c>
      <c r="AA4" s="9">
        <v>1.4</v>
      </c>
      <c r="AB4" s="12">
        <v>2.8</v>
      </c>
      <c r="AC4" s="27">
        <v>-0.09</v>
      </c>
      <c r="AD4" s="29">
        <v>3.3</v>
      </c>
      <c r="AE4" s="30">
        <v>-50</v>
      </c>
      <c r="AF4" s="31">
        <v>4</v>
      </c>
      <c r="AG4" s="31">
        <v>1</v>
      </c>
      <c r="AH4" s="29">
        <v>0.3</v>
      </c>
      <c r="AK4" s="65"/>
    </row>
    <row r="5" spans="1:38" ht="14.25" customHeight="1" x14ac:dyDescent="0.35">
      <c r="A5" s="246"/>
      <c r="B5" s="244" t="str">
        <f>Neu!B5</f>
        <v>B63la</v>
      </c>
      <c r="C5" s="117"/>
      <c r="D5" s="106"/>
      <c r="E5" s="108">
        <v>1</v>
      </c>
      <c r="F5" s="101"/>
      <c r="G5" s="141"/>
      <c r="H5" s="108"/>
      <c r="I5" s="108"/>
      <c r="J5" s="108"/>
      <c r="K5" s="143"/>
      <c r="L5" s="108"/>
      <c r="M5" s="108"/>
      <c r="N5" s="108"/>
      <c r="O5" s="108"/>
      <c r="P5" s="101"/>
      <c r="Q5" s="108"/>
      <c r="R5" s="108"/>
      <c r="S5" s="108"/>
      <c r="T5" s="108"/>
      <c r="U5" s="108"/>
      <c r="V5" s="108"/>
      <c r="W5" s="118"/>
      <c r="Y5" s="1">
        <f t="shared" ref="Y5:Y26" si="0">COUNTIF($C$3:$W$44,ROW(Z5)-2)</f>
        <v>0</v>
      </c>
      <c r="Z5" s="1">
        <v>3</v>
      </c>
      <c r="AA5" s="9">
        <v>1.4</v>
      </c>
      <c r="AB5" s="12">
        <v>2.8</v>
      </c>
      <c r="AC5" s="27">
        <v>-1</v>
      </c>
      <c r="AD5" s="29">
        <v>1</v>
      </c>
      <c r="AE5" s="30">
        <v>-50</v>
      </c>
      <c r="AF5" s="31">
        <v>4</v>
      </c>
      <c r="AG5" s="31">
        <v>1</v>
      </c>
      <c r="AH5" s="29">
        <v>0.3</v>
      </c>
    </row>
    <row r="6" spans="1:38" ht="14.25" customHeight="1" x14ac:dyDescent="0.35">
      <c r="A6" s="246"/>
      <c r="B6" s="243"/>
      <c r="C6" s="119"/>
      <c r="D6" s="110"/>
      <c r="E6" s="94">
        <v>2</v>
      </c>
      <c r="F6" s="95">
        <v>2</v>
      </c>
      <c r="G6" s="142">
        <v>2</v>
      </c>
      <c r="H6" s="94"/>
      <c r="I6" s="94"/>
      <c r="J6" s="94"/>
      <c r="K6" s="144"/>
      <c r="L6" s="94"/>
      <c r="M6" s="94"/>
      <c r="N6" s="94"/>
      <c r="O6" s="94"/>
      <c r="P6" s="95"/>
      <c r="Q6" s="94"/>
      <c r="R6" s="94"/>
      <c r="S6" s="94"/>
      <c r="T6" s="94"/>
      <c r="U6" s="94"/>
      <c r="V6" s="94"/>
      <c r="W6" s="96"/>
      <c r="Y6" s="1">
        <f t="shared" si="0"/>
        <v>6</v>
      </c>
      <c r="Z6" s="1">
        <f>IF(ROW(AA6)-2&lt;=MAX($C$3:$W$44),ROW(AA6)-2,"")</f>
        <v>4</v>
      </c>
      <c r="AA6" s="9">
        <v>1.4999999999999999E-2</v>
      </c>
      <c r="AB6" s="12">
        <v>1.5</v>
      </c>
      <c r="AC6" s="27">
        <v>-1</v>
      </c>
      <c r="AD6" s="29">
        <v>1</v>
      </c>
    </row>
    <row r="7" spans="1:38" ht="14.25" customHeight="1" x14ac:dyDescent="0.35">
      <c r="A7" s="246"/>
      <c r="B7" s="244" t="str">
        <f>Neu!B6</f>
        <v>B31rs</v>
      </c>
      <c r="C7" s="117"/>
      <c r="D7" s="108"/>
      <c r="E7" s="106"/>
      <c r="F7" s="101"/>
      <c r="G7" s="108"/>
      <c r="H7" s="108"/>
      <c r="I7" s="141"/>
      <c r="J7" s="108"/>
      <c r="K7" s="101"/>
      <c r="L7" s="108"/>
      <c r="M7" s="141"/>
      <c r="N7" s="108"/>
      <c r="O7" s="108"/>
      <c r="P7" s="101"/>
      <c r="Q7" s="108"/>
      <c r="R7" s="108"/>
      <c r="S7" s="108"/>
      <c r="T7" s="108"/>
      <c r="U7" s="108"/>
      <c r="V7" s="108"/>
      <c r="W7" s="118"/>
      <c r="Y7" s="1">
        <f t="shared" si="0"/>
        <v>0</v>
      </c>
      <c r="Z7" s="1" t="str">
        <f>IF(ROW(AA7)-2&lt;=MAX($C$3:$W$44),ROW(AA7)-2,"")</f>
        <v/>
      </c>
      <c r="AA7" s="9">
        <v>4.0000000000000001E-3</v>
      </c>
      <c r="AB7" s="12">
        <v>1.5E-3</v>
      </c>
      <c r="AI7" s="67" t="s">
        <v>89</v>
      </c>
      <c r="AJ7" s="67">
        <v>0.5</v>
      </c>
    </row>
    <row r="8" spans="1:38" ht="14.25" customHeight="1" x14ac:dyDescent="0.35">
      <c r="A8" s="246"/>
      <c r="B8" s="243"/>
      <c r="C8" s="119"/>
      <c r="D8" s="94"/>
      <c r="E8" s="110"/>
      <c r="F8" s="95"/>
      <c r="G8" s="94"/>
      <c r="H8" s="94"/>
      <c r="I8" s="142"/>
      <c r="J8" s="94"/>
      <c r="K8" s="95"/>
      <c r="L8" s="94"/>
      <c r="M8" s="142"/>
      <c r="N8" s="94"/>
      <c r="O8" s="94"/>
      <c r="P8" s="95"/>
      <c r="Q8" s="94"/>
      <c r="R8" s="94"/>
      <c r="S8" s="94"/>
      <c r="T8" s="94"/>
      <c r="U8" s="94"/>
      <c r="V8" s="94"/>
      <c r="W8" s="96"/>
      <c r="Y8" s="1">
        <f t="shared" si="0"/>
        <v>0</v>
      </c>
      <c r="Z8" s="1" t="str">
        <f>IF(ROW(AA8)-2&lt;=MAX($C$3:$W$44),ROW(AA8)-2,"")</f>
        <v/>
      </c>
      <c r="AA8" s="9">
        <v>1</v>
      </c>
      <c r="AE8" s="13">
        <v>-31</v>
      </c>
      <c r="AF8" s="10">
        <v>3</v>
      </c>
      <c r="AG8" s="10">
        <v>1</v>
      </c>
      <c r="AH8" s="11">
        <v>0.5</v>
      </c>
      <c r="AI8" s="67" t="s">
        <v>89</v>
      </c>
      <c r="AJ8" s="67">
        <v>0.5</v>
      </c>
    </row>
    <row r="9" spans="1:38" ht="14.25" customHeight="1" x14ac:dyDescent="0.35">
      <c r="A9" s="246"/>
      <c r="B9" s="244" t="str">
        <f>Neu!B7</f>
        <v>B64ls</v>
      </c>
      <c r="C9" s="117"/>
      <c r="D9" s="108"/>
      <c r="E9" s="108"/>
      <c r="F9" s="99"/>
      <c r="G9" s="108"/>
      <c r="H9" s="108"/>
      <c r="I9" s="108"/>
      <c r="J9" s="108"/>
      <c r="K9" s="101"/>
      <c r="L9" s="108"/>
      <c r="M9" s="108"/>
      <c r="N9" s="108"/>
      <c r="O9" s="108"/>
      <c r="P9" s="101"/>
      <c r="Q9" s="108"/>
      <c r="R9" s="108"/>
      <c r="S9" s="108"/>
      <c r="T9" s="108"/>
      <c r="U9" s="108"/>
      <c r="V9" s="108"/>
      <c r="W9" s="118"/>
      <c r="Y9" s="1">
        <f t="shared" si="0"/>
        <v>0</v>
      </c>
      <c r="Z9" s="1" t="str">
        <f t="shared" ref="Z9:Z17" si="1">IF(ROW(AA9)-2&lt;=MAX($C$3:$W$44),ROW(AA9)-2,"")</f>
        <v/>
      </c>
      <c r="AA9" s="9">
        <v>0.2</v>
      </c>
      <c r="AB9" s="12">
        <v>1E-3</v>
      </c>
      <c r="AK9" s="65" t="s">
        <v>158</v>
      </c>
    </row>
    <row r="10" spans="1:38" ht="14.25" customHeight="1" x14ac:dyDescent="0.35">
      <c r="A10" s="246"/>
      <c r="B10" s="243"/>
      <c r="C10" s="119"/>
      <c r="D10" s="94"/>
      <c r="E10" s="94"/>
      <c r="F10" s="103"/>
      <c r="G10" s="94"/>
      <c r="H10" s="94"/>
      <c r="I10" s="94"/>
      <c r="J10" s="94"/>
      <c r="K10" s="95"/>
      <c r="L10" s="94"/>
      <c r="M10" s="94"/>
      <c r="N10" s="94"/>
      <c r="O10" s="94"/>
      <c r="P10" s="95"/>
      <c r="Q10" s="94"/>
      <c r="R10" s="94"/>
      <c r="S10" s="94"/>
      <c r="T10" s="94"/>
      <c r="U10" s="94"/>
      <c r="V10" s="94"/>
      <c r="W10" s="96"/>
      <c r="Y10" s="1">
        <f t="shared" si="0"/>
        <v>0</v>
      </c>
      <c r="Z10" s="1" t="str">
        <f t="shared" si="1"/>
        <v/>
      </c>
      <c r="AA10" s="9">
        <v>5.0000000000000001E-3</v>
      </c>
      <c r="AI10" s="67" t="s">
        <v>89</v>
      </c>
      <c r="AJ10" s="67">
        <v>0.5</v>
      </c>
      <c r="AL10" s="65"/>
    </row>
    <row r="11" spans="1:38" ht="14.25" customHeight="1" x14ac:dyDescent="0.35">
      <c r="A11" s="246"/>
      <c r="B11" s="244" t="str">
        <f>Neu!B8</f>
        <v>B64la</v>
      </c>
      <c r="C11" s="117"/>
      <c r="D11" s="108"/>
      <c r="E11" s="108"/>
      <c r="F11" s="101"/>
      <c r="G11" s="106"/>
      <c r="H11" s="108"/>
      <c r="I11" s="108"/>
      <c r="J11" s="108"/>
      <c r="K11" s="101"/>
      <c r="L11" s="108"/>
      <c r="M11" s="108"/>
      <c r="N11" s="108"/>
      <c r="O11" s="108"/>
      <c r="P11" s="101"/>
      <c r="Q11" s="108"/>
      <c r="R11" s="108"/>
      <c r="S11" s="108"/>
      <c r="T11" s="108"/>
      <c r="U11" s="108"/>
      <c r="V11" s="108"/>
      <c r="W11" s="118"/>
      <c r="Y11" s="1">
        <f t="shared" si="0"/>
        <v>0</v>
      </c>
      <c r="Z11" s="1" t="str">
        <f t="shared" si="1"/>
        <v/>
      </c>
      <c r="AA11" s="9">
        <v>0.01</v>
      </c>
      <c r="AI11" s="67" t="s">
        <v>89</v>
      </c>
      <c r="AJ11" s="67">
        <v>0.5</v>
      </c>
    </row>
    <row r="12" spans="1:38" ht="14.25" customHeight="1" x14ac:dyDescent="0.35">
      <c r="A12" s="246"/>
      <c r="B12" s="243"/>
      <c r="C12" s="119">
        <v>4</v>
      </c>
      <c r="D12" s="94">
        <v>4</v>
      </c>
      <c r="E12" s="94">
        <v>4</v>
      </c>
      <c r="F12" s="95"/>
      <c r="G12" s="110"/>
      <c r="H12" s="94"/>
      <c r="I12" s="94"/>
      <c r="J12" s="94"/>
      <c r="K12" s="95"/>
      <c r="L12" s="94"/>
      <c r="M12" s="94"/>
      <c r="N12" s="94"/>
      <c r="O12" s="94"/>
      <c r="P12" s="95"/>
      <c r="Q12" s="94"/>
      <c r="R12" s="94"/>
      <c r="S12" s="94"/>
      <c r="T12" s="94"/>
      <c r="U12" s="94"/>
      <c r="V12" s="94"/>
      <c r="W12" s="96"/>
      <c r="Y12" s="1">
        <f t="shared" si="0"/>
        <v>0</v>
      </c>
      <c r="Z12" s="1" t="str">
        <f t="shared" si="1"/>
        <v/>
      </c>
      <c r="AA12" s="9">
        <v>0.02</v>
      </c>
    </row>
    <row r="13" spans="1:38" ht="14.25" customHeight="1" x14ac:dyDescent="0.35">
      <c r="A13" s="246"/>
      <c r="B13" s="244" t="str">
        <f>Neu!B9</f>
        <v>B63rs</v>
      </c>
      <c r="C13" s="117"/>
      <c r="D13" s="108"/>
      <c r="E13" s="108"/>
      <c r="F13" s="101"/>
      <c r="G13" s="108"/>
      <c r="H13" s="106"/>
      <c r="I13" s="108"/>
      <c r="J13" s="108"/>
      <c r="K13" s="101"/>
      <c r="L13" s="108"/>
      <c r="M13" s="108"/>
      <c r="N13" s="108"/>
      <c r="O13" s="108"/>
      <c r="P13" s="101"/>
      <c r="Q13" s="108"/>
      <c r="R13" s="108"/>
      <c r="S13" s="108"/>
      <c r="T13" s="108"/>
      <c r="U13" s="108"/>
      <c r="V13" s="108"/>
      <c r="W13" s="118"/>
      <c r="Y13" s="1">
        <f t="shared" si="0"/>
        <v>0</v>
      </c>
      <c r="Z13" s="1" t="str">
        <f t="shared" si="1"/>
        <v/>
      </c>
      <c r="AA13" s="9">
        <v>0.5</v>
      </c>
      <c r="AB13" s="12">
        <v>5</v>
      </c>
      <c r="AE13" s="13">
        <v>-30</v>
      </c>
      <c r="AF13" s="10">
        <v>15</v>
      </c>
      <c r="AG13" s="10">
        <v>1</v>
      </c>
      <c r="AH13" s="11">
        <v>0.5</v>
      </c>
      <c r="AK13" s="135" t="s">
        <v>163</v>
      </c>
    </row>
    <row r="14" spans="1:38" ht="14.25" customHeight="1" x14ac:dyDescent="0.35">
      <c r="A14" s="246"/>
      <c r="B14" s="243"/>
      <c r="C14" s="119"/>
      <c r="D14" s="94"/>
      <c r="E14" s="94"/>
      <c r="F14" s="95"/>
      <c r="G14" s="94"/>
      <c r="H14" s="110"/>
      <c r="I14" s="94"/>
      <c r="J14" s="94"/>
      <c r="K14" s="95"/>
      <c r="L14" s="94"/>
      <c r="M14" s="94"/>
      <c r="N14" s="94"/>
      <c r="O14" s="94"/>
      <c r="P14" s="95"/>
      <c r="Q14" s="94"/>
      <c r="R14" s="94"/>
      <c r="S14" s="94"/>
      <c r="T14" s="94"/>
      <c r="U14" s="94"/>
      <c r="V14" s="94"/>
      <c r="W14" s="96"/>
      <c r="Y14" s="1">
        <f t="shared" si="0"/>
        <v>0</v>
      </c>
      <c r="Z14" s="1" t="str">
        <f t="shared" si="1"/>
        <v/>
      </c>
      <c r="AA14" s="9">
        <v>0.2</v>
      </c>
      <c r="AE14" s="13">
        <v>-48</v>
      </c>
      <c r="AF14" s="10">
        <v>4</v>
      </c>
      <c r="AG14" s="10">
        <v>3</v>
      </c>
      <c r="AH14" s="11">
        <v>0.1</v>
      </c>
      <c r="AI14" s="67" t="s">
        <v>89</v>
      </c>
      <c r="AJ14" s="67">
        <v>0.5</v>
      </c>
    </row>
    <row r="15" spans="1:38" ht="14.25" customHeight="1" x14ac:dyDescent="0.35">
      <c r="A15" s="246"/>
      <c r="B15" s="244" t="str">
        <f>Neu!B10</f>
        <v>B63ra</v>
      </c>
      <c r="C15" s="117"/>
      <c r="D15" s="108"/>
      <c r="E15" s="108"/>
      <c r="F15" s="101"/>
      <c r="G15" s="108"/>
      <c r="H15" s="108"/>
      <c r="I15" s="106"/>
      <c r="J15" s="108">
        <v>1</v>
      </c>
      <c r="K15" s="101"/>
      <c r="L15" s="141"/>
      <c r="M15" s="108"/>
      <c r="N15" s="108"/>
      <c r="O15" s="108"/>
      <c r="P15" s="101"/>
      <c r="Q15" s="108"/>
      <c r="R15" s="108"/>
      <c r="S15" s="108"/>
      <c r="T15" s="108"/>
      <c r="U15" s="108"/>
      <c r="V15" s="108"/>
      <c r="W15" s="118"/>
      <c r="Y15" s="1">
        <f t="shared" si="0"/>
        <v>0</v>
      </c>
      <c r="Z15" s="1" t="str">
        <f t="shared" si="1"/>
        <v/>
      </c>
      <c r="AA15" s="9">
        <v>1.5</v>
      </c>
    </row>
    <row r="16" spans="1:38" ht="14.25" customHeight="1" x14ac:dyDescent="0.35">
      <c r="A16" s="246"/>
      <c r="B16" s="243"/>
      <c r="C16" s="120"/>
      <c r="D16" s="109"/>
      <c r="E16" s="109"/>
      <c r="F16" s="100"/>
      <c r="G16" s="109"/>
      <c r="H16" s="109"/>
      <c r="I16" s="107"/>
      <c r="J16" s="94">
        <v>2</v>
      </c>
      <c r="K16" s="95">
        <v>2</v>
      </c>
      <c r="L16" s="142">
        <v>2</v>
      </c>
      <c r="M16" s="109"/>
      <c r="N16" s="109"/>
      <c r="O16" s="109"/>
      <c r="P16" s="100"/>
      <c r="Q16" s="109"/>
      <c r="R16" s="109"/>
      <c r="S16" s="109"/>
      <c r="T16" s="109"/>
      <c r="U16" s="109"/>
      <c r="V16" s="109"/>
      <c r="W16" s="116"/>
      <c r="Y16" s="1">
        <f t="shared" si="0"/>
        <v>0</v>
      </c>
      <c r="Z16" s="1" t="str">
        <f t="shared" si="1"/>
        <v/>
      </c>
      <c r="AA16" s="9">
        <v>2.5000000000000001E-2</v>
      </c>
      <c r="AC16" s="9">
        <v>0.5</v>
      </c>
      <c r="AD16" s="11">
        <v>1</v>
      </c>
    </row>
    <row r="17" spans="1:36" ht="14.25" customHeight="1" x14ac:dyDescent="0.35">
      <c r="A17" s="246"/>
      <c r="B17" s="244" t="str">
        <f>Neu!B11</f>
        <v>B31ls</v>
      </c>
      <c r="C17" s="117"/>
      <c r="D17" s="108"/>
      <c r="E17" s="108"/>
      <c r="F17" s="101"/>
      <c r="G17" s="108"/>
      <c r="H17" s="108"/>
      <c r="I17" s="108"/>
      <c r="J17" s="106"/>
      <c r="K17" s="101"/>
      <c r="L17" s="108"/>
      <c r="M17" s="108"/>
      <c r="N17" s="108"/>
      <c r="O17" s="108"/>
      <c r="P17" s="101"/>
      <c r="Q17" s="108"/>
      <c r="R17" s="108"/>
      <c r="S17" s="108"/>
      <c r="T17" s="108"/>
      <c r="U17" s="108"/>
      <c r="V17" s="108"/>
      <c r="W17" s="118"/>
      <c r="Y17" s="1">
        <f t="shared" si="0"/>
        <v>0</v>
      </c>
      <c r="Z17" s="1" t="str">
        <f t="shared" si="1"/>
        <v/>
      </c>
      <c r="AA17" s="9">
        <v>0.02</v>
      </c>
      <c r="AC17" s="9">
        <v>4.2000000000000003E-2</v>
      </c>
      <c r="AD17" s="11">
        <v>15</v>
      </c>
    </row>
    <row r="18" spans="1:36" ht="14.25" customHeight="1" x14ac:dyDescent="0.35">
      <c r="A18" s="246"/>
      <c r="B18" s="243"/>
      <c r="C18" s="119"/>
      <c r="D18" s="94"/>
      <c r="E18" s="94"/>
      <c r="F18" s="95"/>
      <c r="G18" s="94"/>
      <c r="H18" s="94"/>
      <c r="I18" s="94"/>
      <c r="J18" s="110"/>
      <c r="K18" s="95"/>
      <c r="L18" s="94"/>
      <c r="M18" s="94"/>
      <c r="N18" s="94"/>
      <c r="O18" s="94"/>
      <c r="P18" s="95"/>
      <c r="Q18" s="94"/>
      <c r="R18" s="94"/>
      <c r="S18" s="94"/>
      <c r="T18" s="94"/>
      <c r="U18" s="94"/>
      <c r="V18" s="94"/>
      <c r="W18" s="96"/>
      <c r="Y18" s="1">
        <f t="shared" si="0"/>
        <v>0</v>
      </c>
      <c r="Z18" s="1" t="str">
        <f>IF(ROW(AA18)-2&lt;=MAX($C$3:$W$44),ROW(AA18)-2,"")</f>
        <v/>
      </c>
      <c r="AA18" s="9">
        <v>1.3</v>
      </c>
    </row>
    <row r="19" spans="1:36" ht="14.25" customHeight="1" x14ac:dyDescent="0.35">
      <c r="A19" s="246"/>
      <c r="B19" s="244" t="str">
        <f>Neu!B12</f>
        <v>B64rs</v>
      </c>
      <c r="C19" s="117"/>
      <c r="D19" s="108"/>
      <c r="E19" s="108"/>
      <c r="F19" s="101"/>
      <c r="G19" s="108"/>
      <c r="H19" s="108"/>
      <c r="I19" s="108"/>
      <c r="J19" s="108"/>
      <c r="K19" s="99"/>
      <c r="L19" s="108"/>
      <c r="M19" s="108"/>
      <c r="N19" s="108"/>
      <c r="O19" s="108"/>
      <c r="P19" s="101"/>
      <c r="Q19" s="108"/>
      <c r="R19" s="108"/>
      <c r="S19" s="108"/>
      <c r="T19" s="108"/>
      <c r="U19" s="108"/>
      <c r="V19" s="108"/>
      <c r="W19" s="118"/>
      <c r="Y19" s="1">
        <f t="shared" si="0"/>
        <v>0</v>
      </c>
      <c r="Z19" s="1" t="str">
        <f t="shared" ref="Z19:Z82" si="2">IF(ROW(AA19)-2&lt;=MAX($C$3:$W$44),ROW(AA19)-2,"")</f>
        <v/>
      </c>
      <c r="AA19" s="9">
        <v>2E-3</v>
      </c>
    </row>
    <row r="20" spans="1:36" ht="14.25" customHeight="1" x14ac:dyDescent="0.35">
      <c r="A20" s="246"/>
      <c r="B20" s="243"/>
      <c r="C20" s="119"/>
      <c r="D20" s="94"/>
      <c r="E20" s="94"/>
      <c r="F20" s="95"/>
      <c r="G20" s="94"/>
      <c r="H20" s="94"/>
      <c r="I20" s="94"/>
      <c r="J20" s="94"/>
      <c r="K20" s="103"/>
      <c r="L20" s="94"/>
      <c r="M20" s="94"/>
      <c r="N20" s="94"/>
      <c r="O20" s="94"/>
      <c r="P20" s="95"/>
      <c r="Q20" s="94"/>
      <c r="R20" s="94"/>
      <c r="S20" s="94"/>
      <c r="T20" s="94"/>
      <c r="U20" s="94"/>
      <c r="V20" s="94"/>
      <c r="W20" s="96"/>
      <c r="Y20" s="1">
        <f t="shared" si="0"/>
        <v>0</v>
      </c>
      <c r="Z20" s="1" t="str">
        <f t="shared" si="2"/>
        <v/>
      </c>
      <c r="AA20" s="9">
        <v>4</v>
      </c>
    </row>
    <row r="21" spans="1:36" ht="14.25" customHeight="1" x14ac:dyDescent="0.35">
      <c r="A21" s="246"/>
      <c r="B21" s="244" t="str">
        <f>Neu!B13</f>
        <v>B64ra</v>
      </c>
      <c r="C21" s="117"/>
      <c r="D21" s="108"/>
      <c r="E21" s="108"/>
      <c r="F21" s="101"/>
      <c r="G21" s="108"/>
      <c r="H21" s="108"/>
      <c r="I21" s="108"/>
      <c r="J21" s="108"/>
      <c r="K21" s="101"/>
      <c r="L21" s="106"/>
      <c r="M21" s="108"/>
      <c r="N21" s="108"/>
      <c r="O21" s="108"/>
      <c r="P21" s="101"/>
      <c r="Q21" s="108"/>
      <c r="R21" s="108"/>
      <c r="S21" s="108"/>
      <c r="T21" s="108"/>
      <c r="U21" s="108"/>
      <c r="V21" s="108"/>
      <c r="W21" s="118"/>
      <c r="Y21" s="1">
        <f t="shared" si="0"/>
        <v>0</v>
      </c>
      <c r="Z21" s="1" t="str">
        <f t="shared" si="2"/>
        <v/>
      </c>
      <c r="AA21" s="9">
        <v>5</v>
      </c>
      <c r="AB21" s="12">
        <v>1E-3</v>
      </c>
      <c r="AE21" s="13">
        <v>-31</v>
      </c>
      <c r="AF21" s="10">
        <v>3</v>
      </c>
      <c r="AG21" s="10">
        <v>1</v>
      </c>
    </row>
    <row r="22" spans="1:36" ht="14.25" customHeight="1" x14ac:dyDescent="0.35">
      <c r="A22" s="246"/>
      <c r="B22" s="243"/>
      <c r="C22" s="119"/>
      <c r="D22" s="94"/>
      <c r="E22" s="94"/>
      <c r="F22" s="95"/>
      <c r="G22" s="94"/>
      <c r="H22" s="94">
        <v>4</v>
      </c>
      <c r="I22" s="94">
        <v>4</v>
      </c>
      <c r="J22" s="94">
        <v>4</v>
      </c>
      <c r="K22" s="95"/>
      <c r="L22" s="110"/>
      <c r="M22" s="94"/>
      <c r="N22" s="94"/>
      <c r="O22" s="94"/>
      <c r="P22" s="95"/>
      <c r="Q22" s="94"/>
      <c r="R22" s="94"/>
      <c r="S22" s="94"/>
      <c r="T22" s="94"/>
      <c r="U22" s="94"/>
      <c r="V22" s="94"/>
      <c r="W22" s="96"/>
      <c r="Y22" s="1">
        <f t="shared" si="0"/>
        <v>0</v>
      </c>
      <c r="Z22" s="1" t="str">
        <f t="shared" si="2"/>
        <v/>
      </c>
      <c r="AA22" s="9">
        <v>5.0000000000000001E-3</v>
      </c>
    </row>
    <row r="23" spans="1:36" ht="14.25" customHeight="1" x14ac:dyDescent="0.35">
      <c r="A23" s="246"/>
      <c r="B23" s="244">
        <f>Neu!B14</f>
        <v>0</v>
      </c>
      <c r="C23" s="117"/>
      <c r="D23" s="108"/>
      <c r="E23" s="108"/>
      <c r="F23" s="101"/>
      <c r="G23" s="108"/>
      <c r="H23" s="108"/>
      <c r="I23" s="108"/>
      <c r="J23" s="108"/>
      <c r="K23" s="101"/>
      <c r="L23" s="108"/>
      <c r="M23" s="106"/>
      <c r="N23" s="108"/>
      <c r="O23" s="108"/>
      <c r="P23" s="101"/>
      <c r="Q23" s="108"/>
      <c r="R23" s="108"/>
      <c r="S23" s="108"/>
      <c r="T23" s="108"/>
      <c r="U23" s="108"/>
      <c r="V23" s="108"/>
      <c r="W23" s="118"/>
      <c r="Y23" s="1">
        <f t="shared" si="0"/>
        <v>0</v>
      </c>
      <c r="Z23" s="1" t="str">
        <f t="shared" si="2"/>
        <v/>
      </c>
      <c r="AA23" s="9">
        <v>0.03</v>
      </c>
    </row>
    <row r="24" spans="1:36" ht="14.25" customHeight="1" x14ac:dyDescent="0.35">
      <c r="A24" s="246"/>
      <c r="B24" s="243"/>
      <c r="C24" s="120"/>
      <c r="D24" s="109"/>
      <c r="E24" s="109"/>
      <c r="F24" s="100"/>
      <c r="G24" s="109"/>
      <c r="H24" s="109"/>
      <c r="I24" s="109"/>
      <c r="J24" s="109"/>
      <c r="K24" s="100"/>
      <c r="L24" s="109"/>
      <c r="M24" s="107"/>
      <c r="N24" s="109"/>
      <c r="O24" s="109"/>
      <c r="P24" s="100"/>
      <c r="Q24" s="109"/>
      <c r="R24" s="109"/>
      <c r="S24" s="109"/>
      <c r="T24" s="109"/>
      <c r="U24" s="109"/>
      <c r="V24" s="109"/>
      <c r="W24" s="116"/>
      <c r="Y24" s="1">
        <f t="shared" si="0"/>
        <v>0</v>
      </c>
      <c r="Z24" s="1" t="str">
        <f t="shared" si="2"/>
        <v/>
      </c>
      <c r="AA24" s="9">
        <v>0.5</v>
      </c>
      <c r="AI24" s="67" t="s">
        <v>89</v>
      </c>
      <c r="AJ24" s="67">
        <v>0.5</v>
      </c>
    </row>
    <row r="25" spans="1:36" ht="14.25" customHeight="1" x14ac:dyDescent="0.35">
      <c r="A25" s="246"/>
      <c r="B25" s="244">
        <f>Neu!B15</f>
        <v>0</v>
      </c>
      <c r="C25" s="117"/>
      <c r="D25" s="108"/>
      <c r="E25" s="108"/>
      <c r="F25" s="101"/>
      <c r="G25" s="108"/>
      <c r="H25" s="108"/>
      <c r="I25" s="108"/>
      <c r="J25" s="108"/>
      <c r="K25" s="101"/>
      <c r="L25" s="108"/>
      <c r="M25" s="108"/>
      <c r="N25" s="106"/>
      <c r="O25" s="108"/>
      <c r="P25" s="101"/>
      <c r="Q25" s="108"/>
      <c r="R25" s="108"/>
      <c r="S25" s="108"/>
      <c r="T25" s="108"/>
      <c r="U25" s="108"/>
      <c r="V25" s="108"/>
      <c r="W25" s="118"/>
      <c r="Y25" s="1">
        <f t="shared" si="0"/>
        <v>0</v>
      </c>
      <c r="Z25" s="1" t="str">
        <f t="shared" si="2"/>
        <v/>
      </c>
      <c r="AA25" s="9">
        <v>1.4999999999999999E-2</v>
      </c>
      <c r="AI25" s="67" t="s">
        <v>89</v>
      </c>
      <c r="AJ25" s="67">
        <v>0.5</v>
      </c>
    </row>
    <row r="26" spans="1:36" ht="14.25" customHeight="1" x14ac:dyDescent="0.35">
      <c r="A26" s="246"/>
      <c r="B26" s="243"/>
      <c r="C26" s="119"/>
      <c r="D26" s="94"/>
      <c r="E26" s="94"/>
      <c r="F26" s="95"/>
      <c r="G26" s="94"/>
      <c r="H26" s="94"/>
      <c r="I26" s="94"/>
      <c r="J26" s="94"/>
      <c r="K26" s="95"/>
      <c r="L26" s="94"/>
      <c r="M26" s="94"/>
      <c r="N26" s="110"/>
      <c r="O26" s="94"/>
      <c r="P26" s="95"/>
      <c r="Q26" s="94"/>
      <c r="R26" s="94"/>
      <c r="S26" s="94"/>
      <c r="T26" s="94"/>
      <c r="U26" s="94"/>
      <c r="V26" s="94"/>
      <c r="W26" s="96"/>
      <c r="Y26" s="1">
        <f t="shared" si="0"/>
        <v>0</v>
      </c>
      <c r="Z26" s="1" t="str">
        <f t="shared" si="2"/>
        <v/>
      </c>
      <c r="AA26" s="9">
        <v>0.01</v>
      </c>
    </row>
    <row r="27" spans="1:36" ht="14.25" customHeight="1" x14ac:dyDescent="0.35">
      <c r="A27" s="246"/>
      <c r="B27" s="244"/>
      <c r="C27" s="117"/>
      <c r="D27" s="108"/>
      <c r="E27" s="108"/>
      <c r="F27" s="101"/>
      <c r="G27" s="108"/>
      <c r="H27" s="108"/>
      <c r="I27" s="108"/>
      <c r="J27" s="108"/>
      <c r="K27" s="101"/>
      <c r="L27" s="108"/>
      <c r="M27" s="108"/>
      <c r="N27" s="108"/>
      <c r="O27" s="106"/>
      <c r="P27" s="101"/>
      <c r="Q27" s="108"/>
      <c r="R27" s="108"/>
      <c r="S27" s="108"/>
      <c r="T27" s="108"/>
      <c r="U27" s="108"/>
      <c r="V27" s="108"/>
      <c r="W27" s="118"/>
    </row>
    <row r="28" spans="1:36" ht="14.25" customHeight="1" x14ac:dyDescent="0.35">
      <c r="A28" s="246"/>
      <c r="B28" s="243"/>
      <c r="C28" s="119"/>
      <c r="D28" s="94"/>
      <c r="E28" s="94"/>
      <c r="F28" s="95"/>
      <c r="G28" s="94"/>
      <c r="H28" s="94"/>
      <c r="I28" s="94"/>
      <c r="J28" s="94"/>
      <c r="K28" s="95"/>
      <c r="L28" s="94"/>
      <c r="M28" s="94"/>
      <c r="N28" s="94"/>
      <c r="O28" s="110"/>
      <c r="P28" s="95"/>
      <c r="Q28" s="94"/>
      <c r="R28" s="94"/>
      <c r="S28" s="94"/>
      <c r="T28" s="94"/>
      <c r="U28" s="94"/>
      <c r="V28" s="94"/>
      <c r="W28" s="96"/>
    </row>
    <row r="29" spans="1:36" ht="14.25" customHeight="1" x14ac:dyDescent="0.35">
      <c r="A29" s="246"/>
      <c r="B29" s="244"/>
      <c r="C29" s="117"/>
      <c r="D29" s="108"/>
      <c r="E29" s="108"/>
      <c r="F29" s="101"/>
      <c r="G29" s="108"/>
      <c r="H29" s="108"/>
      <c r="I29" s="108"/>
      <c r="J29" s="108"/>
      <c r="K29" s="101"/>
      <c r="L29" s="108"/>
      <c r="M29" s="108"/>
      <c r="N29" s="108"/>
      <c r="O29" s="108"/>
      <c r="P29" s="99"/>
      <c r="Q29" s="108"/>
      <c r="R29" s="108"/>
      <c r="S29" s="108"/>
      <c r="T29" s="108"/>
      <c r="U29" s="108"/>
      <c r="V29" s="108"/>
      <c r="W29" s="118"/>
    </row>
    <row r="30" spans="1:36" ht="14.25" customHeight="1" x14ac:dyDescent="0.35">
      <c r="A30" s="246"/>
      <c r="B30" s="243"/>
      <c r="C30" s="119"/>
      <c r="D30" s="94"/>
      <c r="E30" s="94"/>
      <c r="F30" s="95"/>
      <c r="G30" s="94"/>
      <c r="H30" s="94"/>
      <c r="I30" s="94"/>
      <c r="J30" s="94"/>
      <c r="K30" s="95"/>
      <c r="L30" s="94"/>
      <c r="M30" s="94"/>
      <c r="N30" s="94"/>
      <c r="O30" s="94"/>
      <c r="P30" s="103"/>
      <c r="Q30" s="94"/>
      <c r="R30" s="94"/>
      <c r="S30" s="94"/>
      <c r="T30" s="94"/>
      <c r="U30" s="94"/>
      <c r="V30" s="94"/>
      <c r="W30" s="96"/>
    </row>
    <row r="31" spans="1:36" ht="14.25" customHeight="1" x14ac:dyDescent="0.35">
      <c r="A31" s="246"/>
      <c r="B31" s="244"/>
      <c r="C31" s="117"/>
      <c r="D31" s="108"/>
      <c r="E31" s="108"/>
      <c r="F31" s="101"/>
      <c r="G31" s="108"/>
      <c r="H31" s="108"/>
      <c r="I31" s="108"/>
      <c r="J31" s="108"/>
      <c r="K31" s="101"/>
      <c r="L31" s="108"/>
      <c r="M31" s="108"/>
      <c r="N31" s="108"/>
      <c r="O31" s="108"/>
      <c r="P31" s="101"/>
      <c r="Q31" s="106"/>
      <c r="R31" s="108"/>
      <c r="S31" s="108"/>
      <c r="T31" s="108"/>
      <c r="U31" s="108"/>
      <c r="V31" s="108"/>
      <c r="W31" s="118"/>
    </row>
    <row r="32" spans="1:36" ht="14.25" customHeight="1" x14ac:dyDescent="0.35">
      <c r="A32" s="246"/>
      <c r="B32" s="243"/>
      <c r="C32" s="120"/>
      <c r="D32" s="109"/>
      <c r="E32" s="109"/>
      <c r="F32" s="100"/>
      <c r="G32" s="109"/>
      <c r="H32" s="109"/>
      <c r="I32" s="109"/>
      <c r="J32" s="109"/>
      <c r="K32" s="100"/>
      <c r="L32" s="109"/>
      <c r="M32" s="109"/>
      <c r="N32" s="109"/>
      <c r="O32" s="109"/>
      <c r="P32" s="100"/>
      <c r="Q32" s="107"/>
      <c r="R32" s="109"/>
      <c r="S32" s="109"/>
      <c r="T32" s="109"/>
      <c r="U32" s="109"/>
      <c r="V32" s="109"/>
      <c r="W32" s="116"/>
    </row>
    <row r="33" spans="1:26" ht="14.25" customHeight="1" x14ac:dyDescent="0.35">
      <c r="A33" s="246"/>
      <c r="B33" s="244"/>
      <c r="C33" s="117"/>
      <c r="D33" s="108"/>
      <c r="E33" s="108"/>
      <c r="F33" s="101"/>
      <c r="G33" s="108"/>
      <c r="H33" s="108"/>
      <c r="I33" s="108"/>
      <c r="J33" s="108"/>
      <c r="K33" s="101"/>
      <c r="L33" s="108"/>
      <c r="M33" s="108"/>
      <c r="N33" s="108"/>
      <c r="O33" s="108"/>
      <c r="P33" s="101"/>
      <c r="Q33" s="108"/>
      <c r="R33" s="106"/>
      <c r="S33" s="108"/>
      <c r="T33" s="108"/>
      <c r="U33" s="108"/>
      <c r="V33" s="108"/>
      <c r="W33" s="118"/>
    </row>
    <row r="34" spans="1:26" ht="14.25" customHeight="1" x14ac:dyDescent="0.35">
      <c r="A34" s="246"/>
      <c r="B34" s="243"/>
      <c r="C34" s="119"/>
      <c r="D34" s="94"/>
      <c r="E34" s="94"/>
      <c r="F34" s="95"/>
      <c r="G34" s="94"/>
      <c r="H34" s="94"/>
      <c r="I34" s="94"/>
      <c r="J34" s="94"/>
      <c r="K34" s="95"/>
      <c r="L34" s="94"/>
      <c r="M34" s="94"/>
      <c r="N34" s="94"/>
      <c r="O34" s="94"/>
      <c r="P34" s="95"/>
      <c r="Q34" s="94"/>
      <c r="R34" s="110"/>
      <c r="S34" s="94"/>
      <c r="T34" s="94"/>
      <c r="U34" s="94"/>
      <c r="V34" s="94"/>
      <c r="W34" s="96"/>
    </row>
    <row r="35" spans="1:26" ht="14.25" customHeight="1" x14ac:dyDescent="0.35">
      <c r="A35" s="246"/>
      <c r="B35" s="244"/>
      <c r="C35" s="117"/>
      <c r="D35" s="108"/>
      <c r="E35" s="108"/>
      <c r="F35" s="101"/>
      <c r="G35" s="108"/>
      <c r="H35" s="108"/>
      <c r="I35" s="108"/>
      <c r="J35" s="108"/>
      <c r="K35" s="101"/>
      <c r="L35" s="108"/>
      <c r="M35" s="108"/>
      <c r="N35" s="108"/>
      <c r="O35" s="108"/>
      <c r="P35" s="101"/>
      <c r="Q35" s="108"/>
      <c r="R35" s="108"/>
      <c r="S35" s="106"/>
      <c r="T35" s="108"/>
      <c r="U35" s="108"/>
      <c r="V35" s="108"/>
      <c r="W35" s="118"/>
    </row>
    <row r="36" spans="1:26" ht="14.25" customHeight="1" x14ac:dyDescent="0.35">
      <c r="A36" s="246"/>
      <c r="B36" s="243"/>
      <c r="C36" s="119"/>
      <c r="D36" s="94"/>
      <c r="E36" s="94"/>
      <c r="F36" s="95"/>
      <c r="G36" s="94"/>
      <c r="H36" s="94"/>
      <c r="I36" s="94"/>
      <c r="J36" s="94"/>
      <c r="K36" s="95"/>
      <c r="L36" s="94"/>
      <c r="M36" s="94"/>
      <c r="N36" s="94"/>
      <c r="O36" s="94"/>
      <c r="P36" s="95"/>
      <c r="Q36" s="94"/>
      <c r="R36" s="94"/>
      <c r="S36" s="110"/>
      <c r="T36" s="94"/>
      <c r="U36" s="94"/>
      <c r="V36" s="94"/>
      <c r="W36" s="96"/>
    </row>
    <row r="37" spans="1:26" ht="14.25" customHeight="1" x14ac:dyDescent="0.35">
      <c r="A37" s="246"/>
      <c r="B37" s="244">
        <f>Neu!B16</f>
        <v>0</v>
      </c>
      <c r="C37" s="117"/>
      <c r="D37" s="108"/>
      <c r="E37" s="108"/>
      <c r="F37" s="101"/>
      <c r="G37" s="108"/>
      <c r="H37" s="108"/>
      <c r="I37" s="108"/>
      <c r="J37" s="108"/>
      <c r="K37" s="101"/>
      <c r="L37" s="108"/>
      <c r="M37" s="108"/>
      <c r="N37" s="108"/>
      <c r="O37" s="108"/>
      <c r="P37" s="101"/>
      <c r="Q37" s="108"/>
      <c r="R37" s="108"/>
      <c r="S37" s="108"/>
      <c r="T37" s="106"/>
      <c r="U37" s="108"/>
      <c r="V37" s="108"/>
      <c r="W37" s="118"/>
    </row>
    <row r="38" spans="1:26" ht="14.25" customHeight="1" x14ac:dyDescent="0.35">
      <c r="A38" s="246"/>
      <c r="B38" s="243"/>
      <c r="C38" s="119"/>
      <c r="D38" s="94"/>
      <c r="E38" s="94"/>
      <c r="F38" s="95"/>
      <c r="G38" s="94"/>
      <c r="H38" s="94"/>
      <c r="I38" s="94"/>
      <c r="J38" s="94"/>
      <c r="K38" s="95"/>
      <c r="L38" s="94"/>
      <c r="M38" s="94"/>
      <c r="N38" s="94"/>
      <c r="O38" s="94"/>
      <c r="P38" s="95"/>
      <c r="Q38" s="94"/>
      <c r="R38" s="94"/>
      <c r="S38" s="94"/>
      <c r="T38" s="110"/>
      <c r="U38" s="94"/>
      <c r="V38" s="94"/>
      <c r="W38" s="96"/>
    </row>
    <row r="39" spans="1:26" ht="14.25" customHeight="1" x14ac:dyDescent="0.35">
      <c r="A39" s="246"/>
      <c r="B39" s="244">
        <f>Neu!B17</f>
        <v>0</v>
      </c>
      <c r="C39" s="117"/>
      <c r="D39" s="108"/>
      <c r="E39" s="108"/>
      <c r="F39" s="101"/>
      <c r="G39" s="108"/>
      <c r="H39" s="108"/>
      <c r="I39" s="108"/>
      <c r="J39" s="108"/>
      <c r="K39" s="101"/>
      <c r="L39" s="108"/>
      <c r="M39" s="108"/>
      <c r="N39" s="108"/>
      <c r="O39" s="108"/>
      <c r="P39" s="101"/>
      <c r="Q39" s="108"/>
      <c r="R39" s="108"/>
      <c r="S39" s="108"/>
      <c r="T39" s="108"/>
      <c r="U39" s="106"/>
      <c r="V39" s="108"/>
      <c r="W39" s="118"/>
    </row>
    <row r="40" spans="1:26" ht="14.25" customHeight="1" x14ac:dyDescent="0.35">
      <c r="A40" s="246"/>
      <c r="B40" s="243"/>
      <c r="C40" s="119"/>
      <c r="D40" s="94"/>
      <c r="E40" s="94"/>
      <c r="F40" s="95"/>
      <c r="G40" s="94"/>
      <c r="H40" s="94"/>
      <c r="I40" s="94"/>
      <c r="J40" s="94"/>
      <c r="K40" s="95"/>
      <c r="L40" s="94"/>
      <c r="M40" s="94"/>
      <c r="N40" s="94"/>
      <c r="O40" s="94"/>
      <c r="P40" s="95"/>
      <c r="Q40" s="94"/>
      <c r="R40" s="94"/>
      <c r="S40" s="94"/>
      <c r="T40" s="94"/>
      <c r="U40" s="110"/>
      <c r="V40" s="94"/>
      <c r="W40" s="96"/>
    </row>
    <row r="41" spans="1:26" ht="14.25" customHeight="1" x14ac:dyDescent="0.35">
      <c r="A41" s="246"/>
      <c r="B41" s="244" t="e">
        <f>Neu!#REF!</f>
        <v>#REF!</v>
      </c>
      <c r="C41" s="117"/>
      <c r="D41" s="108"/>
      <c r="E41" s="108"/>
      <c r="F41" s="101"/>
      <c r="G41" s="108"/>
      <c r="H41" s="108"/>
      <c r="I41" s="108"/>
      <c r="J41" s="108"/>
      <c r="K41" s="101"/>
      <c r="L41" s="108"/>
      <c r="M41" s="108"/>
      <c r="N41" s="108"/>
      <c r="O41" s="108"/>
      <c r="P41" s="101"/>
      <c r="Q41" s="108"/>
      <c r="R41" s="108"/>
      <c r="S41" s="108"/>
      <c r="T41" s="108"/>
      <c r="U41" s="108"/>
      <c r="V41" s="106"/>
      <c r="W41" s="118"/>
    </row>
    <row r="42" spans="1:26" ht="14.25" customHeight="1" x14ac:dyDescent="0.35">
      <c r="A42" s="246"/>
      <c r="B42" s="243"/>
      <c r="C42" s="119"/>
      <c r="D42" s="94"/>
      <c r="E42" s="94"/>
      <c r="F42" s="95"/>
      <c r="G42" s="94"/>
      <c r="H42" s="94"/>
      <c r="I42" s="94"/>
      <c r="J42" s="94"/>
      <c r="K42" s="95"/>
      <c r="L42" s="94"/>
      <c r="M42" s="94"/>
      <c r="N42" s="94"/>
      <c r="O42" s="94"/>
      <c r="P42" s="95"/>
      <c r="Q42" s="94"/>
      <c r="R42" s="94"/>
      <c r="S42" s="94"/>
      <c r="T42" s="94"/>
      <c r="U42" s="94"/>
      <c r="V42" s="110"/>
      <c r="W42" s="96"/>
    </row>
    <row r="43" spans="1:26" ht="14.25" customHeight="1" x14ac:dyDescent="0.35">
      <c r="A43" s="246"/>
      <c r="B43" s="244">
        <f>Neu!B24</f>
        <v>0</v>
      </c>
      <c r="C43" s="117"/>
      <c r="D43" s="108"/>
      <c r="E43" s="108"/>
      <c r="F43" s="101"/>
      <c r="G43" s="108"/>
      <c r="H43" s="108"/>
      <c r="I43" s="108"/>
      <c r="J43" s="108"/>
      <c r="K43" s="101"/>
      <c r="L43" s="108"/>
      <c r="M43" s="108"/>
      <c r="N43" s="108"/>
      <c r="O43" s="108"/>
      <c r="P43" s="101"/>
      <c r="Q43" s="108"/>
      <c r="R43" s="108"/>
      <c r="S43" s="108"/>
      <c r="T43" s="108"/>
      <c r="U43" s="108"/>
      <c r="V43" s="108"/>
      <c r="W43" s="121"/>
    </row>
    <row r="44" spans="1:26" ht="14.25" customHeight="1" thickBot="1" x14ac:dyDescent="0.4">
      <c r="A44" s="105"/>
      <c r="B44" s="247"/>
      <c r="C44" s="122"/>
      <c r="D44" s="123"/>
      <c r="E44" s="123"/>
      <c r="F44" s="124"/>
      <c r="G44" s="123"/>
      <c r="H44" s="123"/>
      <c r="I44" s="123"/>
      <c r="J44" s="123"/>
      <c r="K44" s="124"/>
      <c r="L44" s="123"/>
      <c r="M44" s="123"/>
      <c r="N44" s="123"/>
      <c r="O44" s="123"/>
      <c r="P44" s="124"/>
      <c r="Q44" s="123"/>
      <c r="R44" s="123"/>
      <c r="S44" s="123"/>
      <c r="T44" s="123"/>
      <c r="U44" s="123"/>
      <c r="V44" s="123"/>
      <c r="W44" s="125"/>
    </row>
    <row r="45" spans="1:26" x14ac:dyDescent="0.35">
      <c r="V45" s="93" t="s">
        <v>159</v>
      </c>
      <c r="W45" s="1">
        <f>(MAX(Z:Z)+MIN(Z:Z))/2</f>
        <v>2.5</v>
      </c>
      <c r="Z45" s="1" t="str">
        <f t="shared" si="2"/>
        <v/>
      </c>
    </row>
    <row r="46" spans="1:26" x14ac:dyDescent="0.35">
      <c r="Z46" s="1" t="str">
        <f t="shared" si="2"/>
        <v/>
      </c>
    </row>
    <row r="47" spans="1:26" x14ac:dyDescent="0.35">
      <c r="Z47" s="1" t="str">
        <f t="shared" si="2"/>
        <v/>
      </c>
    </row>
    <row r="48" spans="1:26" x14ac:dyDescent="0.35">
      <c r="Z48" s="1" t="str">
        <f t="shared" si="2"/>
        <v/>
      </c>
    </row>
    <row r="49" spans="26:26" x14ac:dyDescent="0.35">
      <c r="Z49" s="1" t="str">
        <f t="shared" si="2"/>
        <v/>
      </c>
    </row>
    <row r="50" spans="26:26" x14ac:dyDescent="0.35">
      <c r="Z50" s="1" t="str">
        <f t="shared" si="2"/>
        <v/>
      </c>
    </row>
    <row r="51" spans="26:26" x14ac:dyDescent="0.35">
      <c r="Z51" s="1" t="str">
        <f t="shared" si="2"/>
        <v/>
      </c>
    </row>
    <row r="52" spans="26:26" x14ac:dyDescent="0.35">
      <c r="Z52" s="1" t="str">
        <f t="shared" si="2"/>
        <v/>
      </c>
    </row>
    <row r="53" spans="26:26" x14ac:dyDescent="0.35">
      <c r="Z53" s="1" t="str">
        <f t="shared" si="2"/>
        <v/>
      </c>
    </row>
    <row r="54" spans="26:26" x14ac:dyDescent="0.35">
      <c r="Z54" s="1" t="str">
        <f t="shared" si="2"/>
        <v/>
      </c>
    </row>
    <row r="55" spans="26:26" x14ac:dyDescent="0.35">
      <c r="Z55" s="1" t="str">
        <f t="shared" si="2"/>
        <v/>
      </c>
    </row>
    <row r="56" spans="26:26" x14ac:dyDescent="0.35">
      <c r="Z56" s="1" t="str">
        <f t="shared" si="2"/>
        <v/>
      </c>
    </row>
    <row r="57" spans="26:26" x14ac:dyDescent="0.35">
      <c r="Z57" s="1" t="str">
        <f t="shared" si="2"/>
        <v/>
      </c>
    </row>
    <row r="58" spans="26:26" x14ac:dyDescent="0.35">
      <c r="Z58" s="1" t="str">
        <f t="shared" si="2"/>
        <v/>
      </c>
    </row>
    <row r="59" spans="26:26" x14ac:dyDescent="0.35">
      <c r="Z59" s="1" t="str">
        <f t="shared" si="2"/>
        <v/>
      </c>
    </row>
    <row r="60" spans="26:26" x14ac:dyDescent="0.35">
      <c r="Z60" s="1" t="str">
        <f t="shared" si="2"/>
        <v/>
      </c>
    </row>
    <row r="61" spans="26:26" x14ac:dyDescent="0.35">
      <c r="Z61" s="1" t="str">
        <f t="shared" si="2"/>
        <v/>
      </c>
    </row>
    <row r="62" spans="26:26" x14ac:dyDescent="0.35">
      <c r="Z62" s="1" t="str">
        <f t="shared" si="2"/>
        <v/>
      </c>
    </row>
    <row r="63" spans="26:26" x14ac:dyDescent="0.35">
      <c r="Z63" s="1" t="str">
        <f t="shared" si="2"/>
        <v/>
      </c>
    </row>
    <row r="64" spans="26:26" x14ac:dyDescent="0.35">
      <c r="Z64" s="1" t="str">
        <f t="shared" si="2"/>
        <v/>
      </c>
    </row>
    <row r="65" spans="26:26" x14ac:dyDescent="0.35">
      <c r="Z65" s="1" t="str">
        <f t="shared" si="2"/>
        <v/>
      </c>
    </row>
    <row r="66" spans="26:26" x14ac:dyDescent="0.35">
      <c r="Z66" s="1" t="str">
        <f t="shared" si="2"/>
        <v/>
      </c>
    </row>
    <row r="67" spans="26:26" x14ac:dyDescent="0.35">
      <c r="Z67" s="1" t="str">
        <f t="shared" si="2"/>
        <v/>
      </c>
    </row>
    <row r="68" spans="26:26" x14ac:dyDescent="0.35">
      <c r="Z68" s="1" t="str">
        <f t="shared" si="2"/>
        <v/>
      </c>
    </row>
    <row r="69" spans="26:26" x14ac:dyDescent="0.35">
      <c r="Z69" s="1" t="str">
        <f t="shared" si="2"/>
        <v/>
      </c>
    </row>
    <row r="70" spans="26:26" x14ac:dyDescent="0.35">
      <c r="Z70" s="1" t="str">
        <f t="shared" si="2"/>
        <v/>
      </c>
    </row>
    <row r="71" spans="26:26" x14ac:dyDescent="0.35">
      <c r="Z71" s="1" t="str">
        <f t="shared" si="2"/>
        <v/>
      </c>
    </row>
    <row r="72" spans="26:26" x14ac:dyDescent="0.35">
      <c r="Z72" s="1" t="str">
        <f t="shared" si="2"/>
        <v/>
      </c>
    </row>
    <row r="73" spans="26:26" x14ac:dyDescent="0.35">
      <c r="Z73" s="1" t="str">
        <f t="shared" si="2"/>
        <v/>
      </c>
    </row>
    <row r="74" spans="26:26" x14ac:dyDescent="0.35">
      <c r="Z74" s="1" t="str">
        <f t="shared" si="2"/>
        <v/>
      </c>
    </row>
    <row r="75" spans="26:26" x14ac:dyDescent="0.35">
      <c r="Z75" s="1" t="str">
        <f t="shared" si="2"/>
        <v/>
      </c>
    </row>
    <row r="76" spans="26:26" x14ac:dyDescent="0.35">
      <c r="Z76" s="1" t="str">
        <f t="shared" si="2"/>
        <v/>
      </c>
    </row>
    <row r="77" spans="26:26" x14ac:dyDescent="0.35">
      <c r="Z77" s="1" t="str">
        <f t="shared" si="2"/>
        <v/>
      </c>
    </row>
    <row r="78" spans="26:26" x14ac:dyDescent="0.35">
      <c r="Z78" s="1" t="str">
        <f t="shared" si="2"/>
        <v/>
      </c>
    </row>
    <row r="79" spans="26:26" x14ac:dyDescent="0.35">
      <c r="Z79" s="1" t="str">
        <f t="shared" si="2"/>
        <v/>
      </c>
    </row>
    <row r="80" spans="26:26" x14ac:dyDescent="0.35">
      <c r="Z80" s="1" t="str">
        <f t="shared" si="2"/>
        <v/>
      </c>
    </row>
    <row r="81" spans="26:26" x14ac:dyDescent="0.35">
      <c r="Z81" s="1" t="str">
        <f t="shared" si="2"/>
        <v/>
      </c>
    </row>
    <row r="82" spans="26:26" x14ac:dyDescent="0.35">
      <c r="Z82" s="1" t="str">
        <f t="shared" si="2"/>
        <v/>
      </c>
    </row>
    <row r="83" spans="26:26" x14ac:dyDescent="0.35">
      <c r="Z83" s="1" t="str">
        <f t="shared" ref="Z83:Z146" si="3">IF(ROW(AA83)-2&lt;=MAX($C$3:$W$44),ROW(AA83)-2,"")</f>
        <v/>
      </c>
    </row>
    <row r="84" spans="26:26" x14ac:dyDescent="0.35">
      <c r="Z84" s="1" t="str">
        <f t="shared" si="3"/>
        <v/>
      </c>
    </row>
    <row r="85" spans="26:26" x14ac:dyDescent="0.35">
      <c r="Z85" s="1" t="str">
        <f t="shared" si="3"/>
        <v/>
      </c>
    </row>
    <row r="86" spans="26:26" x14ac:dyDescent="0.35">
      <c r="Z86" s="1" t="str">
        <f t="shared" si="3"/>
        <v/>
      </c>
    </row>
    <row r="87" spans="26:26" x14ac:dyDescent="0.35">
      <c r="Z87" s="1" t="str">
        <f t="shared" si="3"/>
        <v/>
      </c>
    </row>
    <row r="88" spans="26:26" x14ac:dyDescent="0.35">
      <c r="Z88" s="1" t="str">
        <f t="shared" si="3"/>
        <v/>
      </c>
    </row>
    <row r="89" spans="26:26" x14ac:dyDescent="0.35">
      <c r="Z89" s="1" t="str">
        <f t="shared" si="3"/>
        <v/>
      </c>
    </row>
    <row r="90" spans="26:26" x14ac:dyDescent="0.35">
      <c r="Z90" s="1" t="str">
        <f t="shared" si="3"/>
        <v/>
      </c>
    </row>
    <row r="91" spans="26:26" x14ac:dyDescent="0.35">
      <c r="Z91" s="1" t="str">
        <f t="shared" si="3"/>
        <v/>
      </c>
    </row>
    <row r="92" spans="26:26" x14ac:dyDescent="0.35">
      <c r="Z92" s="1" t="str">
        <f t="shared" si="3"/>
        <v/>
      </c>
    </row>
    <row r="93" spans="26:26" x14ac:dyDescent="0.35">
      <c r="Z93" s="1" t="str">
        <f t="shared" si="3"/>
        <v/>
      </c>
    </row>
    <row r="94" spans="26:26" x14ac:dyDescent="0.35">
      <c r="Z94" s="1" t="str">
        <f t="shared" si="3"/>
        <v/>
      </c>
    </row>
    <row r="95" spans="26:26" x14ac:dyDescent="0.35">
      <c r="Z95" s="1" t="str">
        <f t="shared" si="3"/>
        <v/>
      </c>
    </row>
    <row r="96" spans="26:26" x14ac:dyDescent="0.35">
      <c r="Z96" s="1" t="str">
        <f t="shared" si="3"/>
        <v/>
      </c>
    </row>
    <row r="97" spans="26:26" x14ac:dyDescent="0.35">
      <c r="Z97" s="1" t="str">
        <f t="shared" si="3"/>
        <v/>
      </c>
    </row>
    <row r="98" spans="26:26" x14ac:dyDescent="0.35">
      <c r="Z98" s="1" t="str">
        <f t="shared" si="3"/>
        <v/>
      </c>
    </row>
    <row r="99" spans="26:26" x14ac:dyDescent="0.35">
      <c r="Z99" s="1" t="str">
        <f t="shared" si="3"/>
        <v/>
      </c>
    </row>
    <row r="100" spans="26:26" x14ac:dyDescent="0.35">
      <c r="Z100" s="1" t="str">
        <f t="shared" si="3"/>
        <v/>
      </c>
    </row>
    <row r="101" spans="26:26" x14ac:dyDescent="0.35">
      <c r="Z101" s="1" t="str">
        <f t="shared" si="3"/>
        <v/>
      </c>
    </row>
    <row r="102" spans="26:26" x14ac:dyDescent="0.35">
      <c r="Z102" s="1" t="str">
        <f t="shared" si="3"/>
        <v/>
      </c>
    </row>
    <row r="103" spans="26:26" x14ac:dyDescent="0.35">
      <c r="Z103" s="1" t="str">
        <f t="shared" si="3"/>
        <v/>
      </c>
    </row>
    <row r="104" spans="26:26" x14ac:dyDescent="0.35">
      <c r="Z104" s="1" t="str">
        <f t="shared" si="3"/>
        <v/>
      </c>
    </row>
    <row r="105" spans="26:26" x14ac:dyDescent="0.35">
      <c r="Z105" s="1" t="str">
        <f t="shared" si="3"/>
        <v/>
      </c>
    </row>
    <row r="106" spans="26:26" x14ac:dyDescent="0.35">
      <c r="Z106" s="1" t="str">
        <f t="shared" si="3"/>
        <v/>
      </c>
    </row>
    <row r="107" spans="26:26" x14ac:dyDescent="0.35">
      <c r="Z107" s="1" t="str">
        <f t="shared" si="3"/>
        <v/>
      </c>
    </row>
    <row r="108" spans="26:26" x14ac:dyDescent="0.35">
      <c r="Z108" s="1" t="str">
        <f t="shared" si="3"/>
        <v/>
      </c>
    </row>
    <row r="109" spans="26:26" x14ac:dyDescent="0.35">
      <c r="Z109" s="1" t="str">
        <f t="shared" si="3"/>
        <v/>
      </c>
    </row>
    <row r="110" spans="26:26" x14ac:dyDescent="0.35">
      <c r="Z110" s="1" t="str">
        <f t="shared" si="3"/>
        <v/>
      </c>
    </row>
    <row r="111" spans="26:26" x14ac:dyDescent="0.35">
      <c r="Z111" s="1" t="str">
        <f t="shared" si="3"/>
        <v/>
      </c>
    </row>
    <row r="112" spans="26:26" x14ac:dyDescent="0.35">
      <c r="Z112" s="1" t="str">
        <f t="shared" si="3"/>
        <v/>
      </c>
    </row>
    <row r="113" spans="26:26" x14ac:dyDescent="0.35">
      <c r="Z113" s="1" t="str">
        <f t="shared" si="3"/>
        <v/>
      </c>
    </row>
    <row r="114" spans="26:26" x14ac:dyDescent="0.35">
      <c r="Z114" s="1" t="str">
        <f t="shared" si="3"/>
        <v/>
      </c>
    </row>
    <row r="115" spans="26:26" x14ac:dyDescent="0.35">
      <c r="Z115" s="1" t="str">
        <f t="shared" si="3"/>
        <v/>
      </c>
    </row>
    <row r="116" spans="26:26" x14ac:dyDescent="0.35">
      <c r="Z116" s="1" t="str">
        <f t="shared" si="3"/>
        <v/>
      </c>
    </row>
    <row r="117" spans="26:26" x14ac:dyDescent="0.35">
      <c r="Z117" s="1" t="str">
        <f t="shared" si="3"/>
        <v/>
      </c>
    </row>
    <row r="118" spans="26:26" x14ac:dyDescent="0.35">
      <c r="Z118" s="1" t="str">
        <f t="shared" si="3"/>
        <v/>
      </c>
    </row>
    <row r="119" spans="26:26" x14ac:dyDescent="0.35">
      <c r="Z119" s="1" t="str">
        <f t="shared" si="3"/>
        <v/>
      </c>
    </row>
    <row r="120" spans="26:26" x14ac:dyDescent="0.35">
      <c r="Z120" s="1" t="str">
        <f t="shared" si="3"/>
        <v/>
      </c>
    </row>
    <row r="121" spans="26:26" x14ac:dyDescent="0.35">
      <c r="Z121" s="1" t="str">
        <f t="shared" si="3"/>
        <v/>
      </c>
    </row>
    <row r="122" spans="26:26" x14ac:dyDescent="0.35">
      <c r="Z122" s="1" t="str">
        <f t="shared" si="3"/>
        <v/>
      </c>
    </row>
    <row r="123" spans="26:26" x14ac:dyDescent="0.35">
      <c r="Z123" s="1" t="str">
        <f t="shared" si="3"/>
        <v/>
      </c>
    </row>
    <row r="124" spans="26:26" x14ac:dyDescent="0.35">
      <c r="Z124" s="1" t="str">
        <f t="shared" si="3"/>
        <v/>
      </c>
    </row>
    <row r="125" spans="26:26" x14ac:dyDescent="0.35">
      <c r="Z125" s="1" t="str">
        <f t="shared" si="3"/>
        <v/>
      </c>
    </row>
    <row r="126" spans="26:26" x14ac:dyDescent="0.35">
      <c r="Z126" s="1" t="str">
        <f t="shared" si="3"/>
        <v/>
      </c>
    </row>
    <row r="127" spans="26:26" x14ac:dyDescent="0.35">
      <c r="Z127" s="1" t="str">
        <f t="shared" si="3"/>
        <v/>
      </c>
    </row>
    <row r="128" spans="26:26" x14ac:dyDescent="0.35">
      <c r="Z128" s="1" t="str">
        <f t="shared" si="3"/>
        <v/>
      </c>
    </row>
    <row r="129" spans="26:26" x14ac:dyDescent="0.35">
      <c r="Z129" s="1" t="str">
        <f t="shared" si="3"/>
        <v/>
      </c>
    </row>
    <row r="130" spans="26:26" x14ac:dyDescent="0.35">
      <c r="Z130" s="1" t="str">
        <f t="shared" si="3"/>
        <v/>
      </c>
    </row>
    <row r="131" spans="26:26" x14ac:dyDescent="0.35">
      <c r="Z131" s="1" t="str">
        <f t="shared" si="3"/>
        <v/>
      </c>
    </row>
    <row r="132" spans="26:26" x14ac:dyDescent="0.35">
      <c r="Z132" s="1" t="str">
        <f t="shared" si="3"/>
        <v/>
      </c>
    </row>
    <row r="133" spans="26:26" x14ac:dyDescent="0.35">
      <c r="Z133" s="1" t="str">
        <f t="shared" si="3"/>
        <v/>
      </c>
    </row>
    <row r="134" spans="26:26" x14ac:dyDescent="0.35">
      <c r="Z134" s="1" t="str">
        <f t="shared" si="3"/>
        <v/>
      </c>
    </row>
    <row r="135" spans="26:26" x14ac:dyDescent="0.35">
      <c r="Z135" s="1" t="str">
        <f t="shared" si="3"/>
        <v/>
      </c>
    </row>
    <row r="136" spans="26:26" x14ac:dyDescent="0.35">
      <c r="Z136" s="1" t="str">
        <f t="shared" si="3"/>
        <v/>
      </c>
    </row>
    <row r="137" spans="26:26" x14ac:dyDescent="0.35">
      <c r="Z137" s="1" t="str">
        <f t="shared" si="3"/>
        <v/>
      </c>
    </row>
    <row r="138" spans="26:26" x14ac:dyDescent="0.35">
      <c r="Z138" s="1" t="str">
        <f t="shared" si="3"/>
        <v/>
      </c>
    </row>
    <row r="139" spans="26:26" x14ac:dyDescent="0.35">
      <c r="Z139" s="1" t="str">
        <f t="shared" si="3"/>
        <v/>
      </c>
    </row>
    <row r="140" spans="26:26" x14ac:dyDescent="0.35">
      <c r="Z140" s="1" t="str">
        <f t="shared" si="3"/>
        <v/>
      </c>
    </row>
    <row r="141" spans="26:26" x14ac:dyDescent="0.35">
      <c r="Z141" s="1" t="str">
        <f t="shared" si="3"/>
        <v/>
      </c>
    </row>
    <row r="142" spans="26:26" x14ac:dyDescent="0.35">
      <c r="Z142" s="1" t="str">
        <f t="shared" si="3"/>
        <v/>
      </c>
    </row>
    <row r="143" spans="26:26" x14ac:dyDescent="0.35">
      <c r="Z143" s="1" t="str">
        <f t="shared" si="3"/>
        <v/>
      </c>
    </row>
    <row r="144" spans="26:26" x14ac:dyDescent="0.35">
      <c r="Z144" s="1" t="str">
        <f t="shared" si="3"/>
        <v/>
      </c>
    </row>
    <row r="145" spans="26:26" x14ac:dyDescent="0.35">
      <c r="Z145" s="1" t="str">
        <f t="shared" si="3"/>
        <v/>
      </c>
    </row>
    <row r="146" spans="26:26" x14ac:dyDescent="0.35">
      <c r="Z146" s="1" t="str">
        <f t="shared" si="3"/>
        <v/>
      </c>
    </row>
    <row r="147" spans="26:26" x14ac:dyDescent="0.35">
      <c r="Z147" s="1" t="str">
        <f t="shared" ref="Z147:Z210" si="4">IF(ROW(AA147)-2&lt;=MAX($C$3:$W$44),ROW(AA147)-2,"")</f>
        <v/>
      </c>
    </row>
    <row r="148" spans="26:26" x14ac:dyDescent="0.35">
      <c r="Z148" s="1" t="str">
        <f t="shared" si="4"/>
        <v/>
      </c>
    </row>
    <row r="149" spans="26:26" x14ac:dyDescent="0.35">
      <c r="Z149" s="1" t="str">
        <f t="shared" si="4"/>
        <v/>
      </c>
    </row>
    <row r="150" spans="26:26" x14ac:dyDescent="0.35">
      <c r="Z150" s="1" t="str">
        <f t="shared" si="4"/>
        <v/>
      </c>
    </row>
    <row r="151" spans="26:26" x14ac:dyDescent="0.35">
      <c r="Z151" s="1" t="str">
        <f t="shared" si="4"/>
        <v/>
      </c>
    </row>
    <row r="152" spans="26:26" x14ac:dyDescent="0.35">
      <c r="Z152" s="1" t="str">
        <f t="shared" si="4"/>
        <v/>
      </c>
    </row>
    <row r="153" spans="26:26" x14ac:dyDescent="0.35">
      <c r="Z153" s="1" t="str">
        <f t="shared" si="4"/>
        <v/>
      </c>
    </row>
    <row r="154" spans="26:26" x14ac:dyDescent="0.35">
      <c r="Z154" s="1" t="str">
        <f t="shared" si="4"/>
        <v/>
      </c>
    </row>
    <row r="155" spans="26:26" x14ac:dyDescent="0.35">
      <c r="Z155" s="1" t="str">
        <f t="shared" si="4"/>
        <v/>
      </c>
    </row>
    <row r="156" spans="26:26" x14ac:dyDescent="0.35">
      <c r="Z156" s="1" t="str">
        <f t="shared" si="4"/>
        <v/>
      </c>
    </row>
    <row r="157" spans="26:26" x14ac:dyDescent="0.35">
      <c r="Z157" s="1" t="str">
        <f t="shared" si="4"/>
        <v/>
      </c>
    </row>
    <row r="158" spans="26:26" x14ac:dyDescent="0.35">
      <c r="Z158" s="1" t="str">
        <f t="shared" si="4"/>
        <v/>
      </c>
    </row>
    <row r="159" spans="26:26" x14ac:dyDescent="0.35">
      <c r="Z159" s="1" t="str">
        <f t="shared" si="4"/>
        <v/>
      </c>
    </row>
    <row r="160" spans="26:26" x14ac:dyDescent="0.35">
      <c r="Z160" s="1" t="str">
        <f t="shared" si="4"/>
        <v/>
      </c>
    </row>
    <row r="161" spans="26:26" x14ac:dyDescent="0.35">
      <c r="Z161" s="1" t="str">
        <f t="shared" si="4"/>
        <v/>
      </c>
    </row>
    <row r="162" spans="26:26" x14ac:dyDescent="0.35">
      <c r="Z162" s="1" t="str">
        <f t="shared" si="4"/>
        <v/>
      </c>
    </row>
    <row r="163" spans="26:26" x14ac:dyDescent="0.35">
      <c r="Z163" s="1" t="str">
        <f t="shared" si="4"/>
        <v/>
      </c>
    </row>
    <row r="164" spans="26:26" x14ac:dyDescent="0.35">
      <c r="Z164" s="1" t="str">
        <f t="shared" si="4"/>
        <v/>
      </c>
    </row>
    <row r="165" spans="26:26" x14ac:dyDescent="0.35">
      <c r="Z165" s="1" t="str">
        <f t="shared" si="4"/>
        <v/>
      </c>
    </row>
    <row r="166" spans="26:26" x14ac:dyDescent="0.35">
      <c r="Z166" s="1" t="str">
        <f t="shared" si="4"/>
        <v/>
      </c>
    </row>
    <row r="167" spans="26:26" x14ac:dyDescent="0.35">
      <c r="Z167" s="1" t="str">
        <f t="shared" si="4"/>
        <v/>
      </c>
    </row>
    <row r="168" spans="26:26" x14ac:dyDescent="0.35">
      <c r="Z168" s="1" t="str">
        <f t="shared" si="4"/>
        <v/>
      </c>
    </row>
    <row r="169" spans="26:26" x14ac:dyDescent="0.35">
      <c r="Z169" s="1" t="str">
        <f t="shared" si="4"/>
        <v/>
      </c>
    </row>
    <row r="170" spans="26:26" x14ac:dyDescent="0.35">
      <c r="Z170" s="1" t="str">
        <f t="shared" si="4"/>
        <v/>
      </c>
    </row>
    <row r="171" spans="26:26" x14ac:dyDescent="0.35">
      <c r="Z171" s="1" t="str">
        <f t="shared" si="4"/>
        <v/>
      </c>
    </row>
    <row r="172" spans="26:26" x14ac:dyDescent="0.35">
      <c r="Z172" s="1" t="str">
        <f t="shared" si="4"/>
        <v/>
      </c>
    </row>
    <row r="173" spans="26:26" x14ac:dyDescent="0.35">
      <c r="Z173" s="1" t="str">
        <f t="shared" si="4"/>
        <v/>
      </c>
    </row>
    <row r="174" spans="26:26" x14ac:dyDescent="0.35">
      <c r="Z174" s="1" t="str">
        <f t="shared" si="4"/>
        <v/>
      </c>
    </row>
    <row r="175" spans="26:26" x14ac:dyDescent="0.35">
      <c r="Z175" s="1" t="str">
        <f t="shared" si="4"/>
        <v/>
      </c>
    </row>
    <row r="176" spans="26:26" x14ac:dyDescent="0.35">
      <c r="Z176" s="1" t="str">
        <f t="shared" si="4"/>
        <v/>
      </c>
    </row>
    <row r="177" spans="26:26" x14ac:dyDescent="0.35">
      <c r="Z177" s="1" t="str">
        <f t="shared" si="4"/>
        <v/>
      </c>
    </row>
    <row r="178" spans="26:26" x14ac:dyDescent="0.35">
      <c r="Z178" s="1" t="str">
        <f t="shared" si="4"/>
        <v/>
      </c>
    </row>
    <row r="179" spans="26:26" x14ac:dyDescent="0.35">
      <c r="Z179" s="1" t="str">
        <f t="shared" si="4"/>
        <v/>
      </c>
    </row>
    <row r="180" spans="26:26" x14ac:dyDescent="0.35">
      <c r="Z180" s="1" t="str">
        <f t="shared" si="4"/>
        <v/>
      </c>
    </row>
    <row r="181" spans="26:26" x14ac:dyDescent="0.35">
      <c r="Z181" s="1" t="str">
        <f t="shared" si="4"/>
        <v/>
      </c>
    </row>
    <row r="182" spans="26:26" x14ac:dyDescent="0.35">
      <c r="Z182" s="1" t="str">
        <f t="shared" si="4"/>
        <v/>
      </c>
    </row>
    <row r="183" spans="26:26" x14ac:dyDescent="0.35">
      <c r="Z183" s="1" t="str">
        <f t="shared" si="4"/>
        <v/>
      </c>
    </row>
    <row r="184" spans="26:26" x14ac:dyDescent="0.35">
      <c r="Z184" s="1" t="str">
        <f t="shared" si="4"/>
        <v/>
      </c>
    </row>
    <row r="185" spans="26:26" x14ac:dyDescent="0.35">
      <c r="Z185" s="1" t="str">
        <f t="shared" si="4"/>
        <v/>
      </c>
    </row>
    <row r="186" spans="26:26" x14ac:dyDescent="0.35">
      <c r="Z186" s="1" t="str">
        <f t="shared" si="4"/>
        <v/>
      </c>
    </row>
    <row r="187" spans="26:26" x14ac:dyDescent="0.35">
      <c r="Z187" s="1" t="str">
        <f t="shared" si="4"/>
        <v/>
      </c>
    </row>
    <row r="188" spans="26:26" x14ac:dyDescent="0.35">
      <c r="Z188" s="1" t="str">
        <f t="shared" si="4"/>
        <v/>
      </c>
    </row>
    <row r="189" spans="26:26" x14ac:dyDescent="0.35">
      <c r="Z189" s="1" t="str">
        <f t="shared" si="4"/>
        <v/>
      </c>
    </row>
    <row r="190" spans="26:26" x14ac:dyDescent="0.35">
      <c r="Z190" s="1" t="str">
        <f t="shared" si="4"/>
        <v/>
      </c>
    </row>
    <row r="191" spans="26:26" x14ac:dyDescent="0.35">
      <c r="Z191" s="1" t="str">
        <f t="shared" si="4"/>
        <v/>
      </c>
    </row>
    <row r="192" spans="26:26" x14ac:dyDescent="0.35">
      <c r="Z192" s="1" t="str">
        <f t="shared" si="4"/>
        <v/>
      </c>
    </row>
    <row r="193" spans="26:26" x14ac:dyDescent="0.35">
      <c r="Z193" s="1" t="str">
        <f t="shared" si="4"/>
        <v/>
      </c>
    </row>
    <row r="194" spans="26:26" x14ac:dyDescent="0.35">
      <c r="Z194" s="1" t="str">
        <f t="shared" si="4"/>
        <v/>
      </c>
    </row>
    <row r="195" spans="26:26" x14ac:dyDescent="0.35">
      <c r="Z195" s="1" t="str">
        <f t="shared" si="4"/>
        <v/>
      </c>
    </row>
    <row r="196" spans="26:26" x14ac:dyDescent="0.35">
      <c r="Z196" s="1" t="str">
        <f t="shared" si="4"/>
        <v/>
      </c>
    </row>
    <row r="197" spans="26:26" x14ac:dyDescent="0.35">
      <c r="Z197" s="1" t="str">
        <f t="shared" si="4"/>
        <v/>
      </c>
    </row>
    <row r="198" spans="26:26" x14ac:dyDescent="0.35">
      <c r="Z198" s="1" t="str">
        <f t="shared" si="4"/>
        <v/>
      </c>
    </row>
    <row r="199" spans="26:26" x14ac:dyDescent="0.35">
      <c r="Z199" s="1" t="str">
        <f t="shared" si="4"/>
        <v/>
      </c>
    </row>
    <row r="200" spans="26:26" x14ac:dyDescent="0.35">
      <c r="Z200" s="1" t="str">
        <f t="shared" si="4"/>
        <v/>
      </c>
    </row>
    <row r="201" spans="26:26" x14ac:dyDescent="0.35">
      <c r="Z201" s="1" t="str">
        <f t="shared" si="4"/>
        <v/>
      </c>
    </row>
    <row r="202" spans="26:26" x14ac:dyDescent="0.35">
      <c r="Z202" s="1" t="str">
        <f t="shared" si="4"/>
        <v/>
      </c>
    </row>
    <row r="203" spans="26:26" x14ac:dyDescent="0.35">
      <c r="Z203" s="1" t="str">
        <f t="shared" si="4"/>
        <v/>
      </c>
    </row>
    <row r="204" spans="26:26" x14ac:dyDescent="0.35">
      <c r="Z204" s="1" t="str">
        <f t="shared" si="4"/>
        <v/>
      </c>
    </row>
    <row r="205" spans="26:26" x14ac:dyDescent="0.35">
      <c r="Z205" s="1" t="str">
        <f t="shared" si="4"/>
        <v/>
      </c>
    </row>
    <row r="206" spans="26:26" x14ac:dyDescent="0.35">
      <c r="Z206" s="1" t="str">
        <f t="shared" si="4"/>
        <v/>
      </c>
    </row>
    <row r="207" spans="26:26" x14ac:dyDescent="0.35">
      <c r="Z207" s="1" t="str">
        <f t="shared" si="4"/>
        <v/>
      </c>
    </row>
    <row r="208" spans="26:26" x14ac:dyDescent="0.35">
      <c r="Z208" s="1" t="str">
        <f t="shared" si="4"/>
        <v/>
      </c>
    </row>
    <row r="209" spans="26:26" x14ac:dyDescent="0.35">
      <c r="Z209" s="1" t="str">
        <f t="shared" si="4"/>
        <v/>
      </c>
    </row>
    <row r="210" spans="26:26" x14ac:dyDescent="0.35">
      <c r="Z210" s="1" t="str">
        <f t="shared" si="4"/>
        <v/>
      </c>
    </row>
    <row r="211" spans="26:26" x14ac:dyDescent="0.35">
      <c r="Z211" s="1" t="str">
        <f t="shared" ref="Z211:Z229" si="5">IF(ROW(AA211)-2&lt;=MAX($C$3:$W$44),ROW(AA211)-2,"")</f>
        <v/>
      </c>
    </row>
    <row r="212" spans="26:26" x14ac:dyDescent="0.35">
      <c r="Z212" s="1" t="str">
        <f t="shared" si="5"/>
        <v/>
      </c>
    </row>
    <row r="213" spans="26:26" x14ac:dyDescent="0.35">
      <c r="Z213" s="1" t="str">
        <f t="shared" si="5"/>
        <v/>
      </c>
    </row>
    <row r="214" spans="26:26" x14ac:dyDescent="0.35">
      <c r="Z214" s="1" t="str">
        <f t="shared" si="5"/>
        <v/>
      </c>
    </row>
    <row r="215" spans="26:26" x14ac:dyDescent="0.35">
      <c r="Z215" s="1" t="str">
        <f t="shared" si="5"/>
        <v/>
      </c>
    </row>
    <row r="216" spans="26:26" x14ac:dyDescent="0.35">
      <c r="Z216" s="1" t="str">
        <f t="shared" si="5"/>
        <v/>
      </c>
    </row>
    <row r="217" spans="26:26" x14ac:dyDescent="0.35">
      <c r="Z217" s="1" t="str">
        <f t="shared" si="5"/>
        <v/>
      </c>
    </row>
    <row r="218" spans="26:26" x14ac:dyDescent="0.35">
      <c r="Z218" s="1" t="str">
        <f t="shared" si="5"/>
        <v/>
      </c>
    </row>
    <row r="219" spans="26:26" x14ac:dyDescent="0.35">
      <c r="Z219" s="1" t="str">
        <f t="shared" si="5"/>
        <v/>
      </c>
    </row>
    <row r="220" spans="26:26" x14ac:dyDescent="0.35">
      <c r="Z220" s="1" t="str">
        <f t="shared" si="5"/>
        <v/>
      </c>
    </row>
    <row r="221" spans="26:26" x14ac:dyDescent="0.35">
      <c r="Z221" s="1" t="str">
        <f t="shared" si="5"/>
        <v/>
      </c>
    </row>
    <row r="222" spans="26:26" x14ac:dyDescent="0.35">
      <c r="Z222" s="1" t="str">
        <f t="shared" si="5"/>
        <v/>
      </c>
    </row>
    <row r="223" spans="26:26" x14ac:dyDescent="0.35">
      <c r="Z223" s="1" t="str">
        <f t="shared" si="5"/>
        <v/>
      </c>
    </row>
    <row r="224" spans="26:26" x14ac:dyDescent="0.35">
      <c r="Z224" s="1" t="str">
        <f t="shared" si="5"/>
        <v/>
      </c>
    </row>
    <row r="225" spans="26:26" x14ac:dyDescent="0.35">
      <c r="Z225" s="1" t="str">
        <f t="shared" si="5"/>
        <v/>
      </c>
    </row>
    <row r="226" spans="26:26" x14ac:dyDescent="0.35">
      <c r="Z226" s="1" t="str">
        <f t="shared" si="5"/>
        <v/>
      </c>
    </row>
    <row r="227" spans="26:26" x14ac:dyDescent="0.35">
      <c r="Z227" s="1" t="str">
        <f t="shared" si="5"/>
        <v/>
      </c>
    </row>
    <row r="228" spans="26:26" x14ac:dyDescent="0.35">
      <c r="Z228" s="1" t="str">
        <f t="shared" si="5"/>
        <v/>
      </c>
    </row>
    <row r="229" spans="26:26" x14ac:dyDescent="0.35">
      <c r="Z229" s="1" t="str">
        <f t="shared" si="5"/>
        <v/>
      </c>
    </row>
  </sheetData>
  <mergeCells count="27">
    <mergeCell ref="B43:B44"/>
    <mergeCell ref="B29:B30"/>
    <mergeCell ref="B31:B32"/>
    <mergeCell ref="B33:B34"/>
    <mergeCell ref="B35:B36"/>
    <mergeCell ref="B37:B38"/>
    <mergeCell ref="B5:B6"/>
    <mergeCell ref="B7:B8"/>
    <mergeCell ref="A1:B2"/>
    <mergeCell ref="A3:A43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39:B40"/>
    <mergeCell ref="B41:B42"/>
    <mergeCell ref="AI1:AJ1"/>
    <mergeCell ref="AE1:AH1"/>
    <mergeCell ref="AA1:AB1"/>
    <mergeCell ref="B3:B4"/>
    <mergeCell ref="C1:W1"/>
  </mergeCells>
  <conditionalFormatting sqref="B3 B5 B7 B9 B11 B13 B15 B17 B19 B21">
    <cfRule type="cellIs" dxfId="5" priority="2" operator="equal">
      <formula>0</formula>
    </cfRule>
  </conditionalFormatting>
  <conditionalFormatting sqref="B23 B25 B27 B29 B31 B33 B35 B37 B39 B41 B43">
    <cfRule type="cellIs" dxfId="4" priority="8" operator="equal">
      <formula>0</formula>
    </cfRule>
  </conditionalFormatting>
  <conditionalFormatting sqref="C2:W2">
    <cfRule type="cellIs" dxfId="3" priority="1" operator="equal">
      <formula>0</formula>
    </cfRule>
  </conditionalFormatting>
  <conditionalFormatting sqref="C3:W44">
    <cfRule type="colorScale" priority="204">
      <colorScale>
        <cfvo type="min"/>
        <cfvo type="num" val="$W$45"/>
        <cfvo type="max"/>
        <color rgb="FFF8696B"/>
        <color rgb="FFFFEB84"/>
        <color rgb="FF63BE7B"/>
      </colorScale>
    </cfRule>
  </conditionalFormatting>
  <conditionalFormatting sqref="Y2:Y1048576 Z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{64DFD268-1CBB-4B0B-B240-A0D1E6033C94}</x14:id>
        </ext>
      </extLst>
    </cfRule>
  </conditionalFormatting>
  <conditionalFormatting sqref="Z2:Z1048576">
    <cfRule type="colorScale" priority="205">
      <colorScale>
        <cfvo type="min"/>
        <cfvo type="num" val="$W$45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DFD268-1CBB-4B0B-B240-A0D1E6033C94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Y2:Y1048576 Z1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W23"/>
  <sheetViews>
    <sheetView topLeftCell="A4" zoomScale="85" zoomScaleNormal="85" workbookViewId="0">
      <selection activeCell="C3" sqref="C3:L12"/>
    </sheetView>
  </sheetViews>
  <sheetFormatPr defaultColWidth="9.1796875" defaultRowHeight="14.5" x14ac:dyDescent="0.35"/>
  <cols>
    <col min="1" max="1" width="4.1796875" style="14" customWidth="1"/>
    <col min="2" max="2" width="9.1796875" style="14" customWidth="1"/>
    <col min="3" max="23" width="6.7265625" style="14" customWidth="1"/>
    <col min="24" max="25" width="5.7265625" style="14" customWidth="1"/>
    <col min="26" max="16384" width="9.1796875" style="14"/>
  </cols>
  <sheetData>
    <row r="1" spans="1:23" ht="15" thickBot="1" x14ac:dyDescent="0.4">
      <c r="A1" s="252"/>
      <c r="B1" s="252"/>
      <c r="C1" s="252" t="s">
        <v>4</v>
      </c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</row>
    <row r="2" spans="1:23" ht="15" thickBot="1" x14ac:dyDescent="0.4">
      <c r="A2" s="252"/>
      <c r="B2" s="252"/>
      <c r="C2" s="126" t="str">
        <f>Neu!$B4</f>
        <v>B63ls</v>
      </c>
      <c r="D2" s="97" t="str">
        <f>Neu!$B5</f>
        <v>B63la</v>
      </c>
      <c r="E2" s="97" t="str">
        <f>Neu!$B6</f>
        <v>B31rs</v>
      </c>
      <c r="F2" s="97" t="str">
        <f>Neu!$B7</f>
        <v>B64ls</v>
      </c>
      <c r="G2" s="97" t="str">
        <f>Neu!$B8</f>
        <v>B64la</v>
      </c>
      <c r="H2" s="97" t="str">
        <f>Neu!$B9</f>
        <v>B63rs</v>
      </c>
      <c r="I2" s="97" t="str">
        <f>Neu!$B10</f>
        <v>B63ra</v>
      </c>
      <c r="J2" s="97" t="str">
        <f>Neu!$B11</f>
        <v>B31ls</v>
      </c>
      <c r="K2" s="97" t="str">
        <f>Neu!$B12</f>
        <v>B64rs</v>
      </c>
      <c r="L2" s="97" t="str">
        <f>Neu!$B13</f>
        <v>B64ra</v>
      </c>
      <c r="M2" s="132">
        <f>Neu!B14</f>
        <v>0</v>
      </c>
      <c r="N2" s="132">
        <f>Neu!B15</f>
        <v>0</v>
      </c>
      <c r="O2" s="132"/>
      <c r="P2" s="132"/>
      <c r="Q2" s="132"/>
      <c r="R2" s="132"/>
      <c r="S2" s="132"/>
      <c r="T2" s="132">
        <f>Neu!$B16</f>
        <v>0</v>
      </c>
      <c r="U2" s="132">
        <f>Neu!$B17</f>
        <v>0</v>
      </c>
      <c r="V2" s="132"/>
      <c r="W2" s="133">
        <f>Neu!$B24</f>
        <v>0</v>
      </c>
    </row>
    <row r="3" spans="1:23" ht="29.15" customHeight="1" x14ac:dyDescent="0.35">
      <c r="A3" s="253" t="s">
        <v>5</v>
      </c>
      <c r="B3" s="180" t="str">
        <f>Neu!B4</f>
        <v>B63ls</v>
      </c>
      <c r="C3" s="75"/>
      <c r="D3" s="76">
        <f>C4</f>
        <v>0.13</v>
      </c>
      <c r="E3" s="76">
        <f>C5</f>
        <v>0</v>
      </c>
      <c r="F3" s="76">
        <f>C6</f>
        <v>0</v>
      </c>
      <c r="G3" s="76">
        <f>C7</f>
        <v>0</v>
      </c>
      <c r="H3" s="76">
        <f>C8</f>
        <v>0</v>
      </c>
      <c r="I3" s="76">
        <f>C9</f>
        <v>0</v>
      </c>
      <c r="J3" s="76">
        <f>C10</f>
        <v>0</v>
      </c>
      <c r="K3" s="76">
        <f>C11</f>
        <v>0</v>
      </c>
      <c r="L3" s="76">
        <f>C12</f>
        <v>0</v>
      </c>
      <c r="M3" s="76">
        <f>C13</f>
        <v>0</v>
      </c>
      <c r="N3" s="76">
        <f>C14</f>
        <v>0</v>
      </c>
      <c r="O3" s="76"/>
      <c r="P3" s="76"/>
      <c r="Q3" s="77"/>
      <c r="R3" s="77"/>
      <c r="S3" s="77">
        <f>C19</f>
        <v>0</v>
      </c>
      <c r="T3" s="77">
        <f>C20</f>
        <v>0</v>
      </c>
      <c r="U3" s="77">
        <f>C21</f>
        <v>0</v>
      </c>
      <c r="V3" s="77">
        <f>C22</f>
        <v>0</v>
      </c>
      <c r="W3" s="78">
        <f>C23</f>
        <v>0</v>
      </c>
    </row>
    <row r="4" spans="1:23" ht="29.15" customHeight="1" x14ac:dyDescent="0.35">
      <c r="A4" s="253"/>
      <c r="B4" s="181" t="str">
        <f>Neu!B5</f>
        <v>B63la</v>
      </c>
      <c r="C4" s="79">
        <v>0.13</v>
      </c>
      <c r="D4" s="71"/>
      <c r="E4" s="7">
        <v>4.4999999999999998E-2</v>
      </c>
      <c r="F4" s="4"/>
      <c r="G4" s="7">
        <f>D7</f>
        <v>0</v>
      </c>
      <c r="H4" s="7">
        <f>D8</f>
        <v>0</v>
      </c>
      <c r="I4" s="7">
        <f>D9</f>
        <v>0</v>
      </c>
      <c r="J4" s="7">
        <f>D10</f>
        <v>0</v>
      </c>
      <c r="K4" s="7">
        <f>D11</f>
        <v>0</v>
      </c>
      <c r="L4" s="7">
        <f>D12</f>
        <v>0</v>
      </c>
      <c r="M4" s="7">
        <f>D13</f>
        <v>0</v>
      </c>
      <c r="N4" s="7">
        <f>D14</f>
        <v>0</v>
      </c>
      <c r="O4" s="7"/>
      <c r="P4" s="7"/>
      <c r="Q4" s="72"/>
      <c r="R4" s="72"/>
      <c r="S4" s="70">
        <f>D19</f>
        <v>0</v>
      </c>
      <c r="T4" s="70">
        <f>D20</f>
        <v>0</v>
      </c>
      <c r="U4" s="70">
        <f>D21</f>
        <v>0</v>
      </c>
      <c r="V4" s="70">
        <f>D22</f>
        <v>0</v>
      </c>
      <c r="W4" s="6">
        <f>D23</f>
        <v>0</v>
      </c>
    </row>
    <row r="5" spans="1:23" ht="29.15" customHeight="1" x14ac:dyDescent="0.35">
      <c r="A5" s="253"/>
      <c r="B5" s="181" t="str">
        <f>Neu!B6</f>
        <v>B31rs</v>
      </c>
      <c r="C5" s="79"/>
      <c r="D5" s="7">
        <v>4.4999999999999998E-2</v>
      </c>
      <c r="E5" s="71"/>
      <c r="F5" s="4"/>
      <c r="G5" s="7">
        <f>E7</f>
        <v>0</v>
      </c>
      <c r="H5" s="7">
        <f>E8</f>
        <v>0</v>
      </c>
      <c r="I5" s="7">
        <f>E9</f>
        <v>0</v>
      </c>
      <c r="J5" s="7">
        <f>E10</f>
        <v>0</v>
      </c>
      <c r="K5" s="7">
        <f>E11</f>
        <v>0</v>
      </c>
      <c r="L5" s="7">
        <f>E12</f>
        <v>0</v>
      </c>
      <c r="M5" s="7">
        <f>E13</f>
        <v>0</v>
      </c>
      <c r="N5" s="7">
        <f>E14</f>
        <v>0</v>
      </c>
      <c r="O5" s="7"/>
      <c r="P5" s="7"/>
      <c r="Q5" s="72"/>
      <c r="R5" s="72"/>
      <c r="S5" s="70">
        <f>E19</f>
        <v>0</v>
      </c>
      <c r="T5" s="70">
        <f>E20</f>
        <v>0</v>
      </c>
      <c r="U5" s="70">
        <f>E21</f>
        <v>0</v>
      </c>
      <c r="V5" s="70">
        <f>E22</f>
        <v>0</v>
      </c>
      <c r="W5" s="6">
        <f>E23</f>
        <v>0</v>
      </c>
    </row>
    <row r="6" spans="1:23" ht="29.15" customHeight="1" x14ac:dyDescent="0.35">
      <c r="A6" s="253"/>
      <c r="B6" s="181" t="str">
        <f>Neu!B7</f>
        <v>B64ls</v>
      </c>
      <c r="C6" s="79"/>
      <c r="D6" s="7"/>
      <c r="E6" s="7"/>
      <c r="F6" s="71"/>
      <c r="G6" s="7">
        <v>2.5000000000000001E-2</v>
      </c>
      <c r="H6" s="7">
        <f>F8</f>
        <v>0</v>
      </c>
      <c r="I6" s="7">
        <f>F9</f>
        <v>0</v>
      </c>
      <c r="J6" s="7">
        <f>F10</f>
        <v>0</v>
      </c>
      <c r="K6" s="7">
        <f>F11</f>
        <v>0</v>
      </c>
      <c r="L6" s="7">
        <f>F12</f>
        <v>0</v>
      </c>
      <c r="M6" s="7">
        <f>F13</f>
        <v>0</v>
      </c>
      <c r="N6" s="7">
        <f>F14</f>
        <v>0</v>
      </c>
      <c r="O6" s="7"/>
      <c r="P6" s="7"/>
      <c r="Q6" s="72"/>
      <c r="R6" s="72"/>
      <c r="S6" s="70">
        <f>F19</f>
        <v>0</v>
      </c>
      <c r="T6" s="70">
        <f>F20</f>
        <v>0</v>
      </c>
      <c r="U6" s="70">
        <f>F21</f>
        <v>0</v>
      </c>
      <c r="V6" s="70">
        <f>F22</f>
        <v>0</v>
      </c>
      <c r="W6" s="6">
        <f>F23</f>
        <v>0</v>
      </c>
    </row>
    <row r="7" spans="1:23" ht="29.15" customHeight="1" x14ac:dyDescent="0.35">
      <c r="A7" s="253"/>
      <c r="B7" s="181" t="str">
        <f>Neu!B8</f>
        <v>B64la</v>
      </c>
      <c r="C7" s="79"/>
      <c r="D7" s="145"/>
      <c r="E7" s="7"/>
      <c r="F7" s="7">
        <v>0.1</v>
      </c>
      <c r="G7" s="71"/>
      <c r="H7" s="7">
        <f>G8</f>
        <v>0</v>
      </c>
      <c r="I7" s="7">
        <f>G9</f>
        <v>0</v>
      </c>
      <c r="J7" s="7">
        <f>G10</f>
        <v>0</v>
      </c>
      <c r="K7" s="7">
        <f>G11</f>
        <v>0</v>
      </c>
      <c r="L7" s="7">
        <f>G12</f>
        <v>0</v>
      </c>
      <c r="M7" s="7">
        <f>G13</f>
        <v>0</v>
      </c>
      <c r="N7" s="7">
        <f>G14</f>
        <v>0</v>
      </c>
      <c r="O7" s="7"/>
      <c r="P7" s="7"/>
      <c r="Q7" s="72"/>
      <c r="R7" s="72"/>
      <c r="S7" s="70">
        <f>G19</f>
        <v>0</v>
      </c>
      <c r="T7" s="70">
        <f>G20</f>
        <v>0</v>
      </c>
      <c r="U7" s="70">
        <f>G21</f>
        <v>0</v>
      </c>
      <c r="V7" s="70">
        <f>G22</f>
        <v>0</v>
      </c>
      <c r="W7" s="6">
        <f>G23</f>
        <v>0</v>
      </c>
    </row>
    <row r="8" spans="1:23" ht="29.15" customHeight="1" x14ac:dyDescent="0.35">
      <c r="A8" s="253"/>
      <c r="B8" s="181" t="str">
        <f>Neu!B9</f>
        <v>B63rs</v>
      </c>
      <c r="C8" s="79"/>
      <c r="D8" s="7"/>
      <c r="E8" s="7"/>
      <c r="F8" s="7"/>
      <c r="G8" s="7"/>
      <c r="H8" s="71"/>
      <c r="I8" s="7">
        <f>H9</f>
        <v>0.13</v>
      </c>
      <c r="J8" s="7">
        <f>H10</f>
        <v>0</v>
      </c>
      <c r="K8" s="7">
        <f>H11</f>
        <v>0</v>
      </c>
      <c r="L8" s="7">
        <f>H12</f>
        <v>0</v>
      </c>
      <c r="M8" s="7">
        <f>H13</f>
        <v>0</v>
      </c>
      <c r="N8" s="7">
        <f>H14</f>
        <v>0</v>
      </c>
      <c r="O8" s="7"/>
      <c r="P8" s="7"/>
      <c r="Q8" s="72"/>
      <c r="R8" s="72"/>
      <c r="S8" s="70">
        <f>H19</f>
        <v>0</v>
      </c>
      <c r="T8" s="70">
        <f>H20</f>
        <v>0</v>
      </c>
      <c r="U8" s="70">
        <f>H21</f>
        <v>0</v>
      </c>
      <c r="V8" s="70">
        <f>H22</f>
        <v>0</v>
      </c>
      <c r="W8" s="6">
        <f>H23</f>
        <v>0</v>
      </c>
    </row>
    <row r="9" spans="1:23" ht="29.15" customHeight="1" x14ac:dyDescent="0.35">
      <c r="A9" s="253"/>
      <c r="B9" s="181" t="str">
        <f>Neu!B10</f>
        <v>B63ra</v>
      </c>
      <c r="C9" s="79"/>
      <c r="D9" s="145"/>
      <c r="E9" s="7"/>
      <c r="F9" s="7"/>
      <c r="G9" s="7"/>
      <c r="H9" s="7">
        <v>0.13</v>
      </c>
      <c r="I9" s="71"/>
      <c r="J9" s="7">
        <f>I10</f>
        <v>0.05</v>
      </c>
      <c r="K9" s="7">
        <f>I11</f>
        <v>0</v>
      </c>
      <c r="L9" s="7">
        <f>I12</f>
        <v>0</v>
      </c>
      <c r="M9" s="7">
        <f>I13</f>
        <v>0</v>
      </c>
      <c r="N9" s="7">
        <f>H15</f>
        <v>0</v>
      </c>
      <c r="O9" s="7"/>
      <c r="P9" s="7"/>
      <c r="Q9" s="72"/>
      <c r="R9" s="72"/>
      <c r="S9" s="70">
        <f>I19</f>
        <v>0</v>
      </c>
      <c r="T9" s="70">
        <f>I20</f>
        <v>0</v>
      </c>
      <c r="U9" s="70">
        <f>I21</f>
        <v>0</v>
      </c>
      <c r="V9" s="70">
        <f>I22</f>
        <v>0</v>
      </c>
      <c r="W9" s="6">
        <f>I23</f>
        <v>0</v>
      </c>
    </row>
    <row r="10" spans="1:23" ht="29.15" customHeight="1" x14ac:dyDescent="0.35">
      <c r="A10" s="253"/>
      <c r="B10" s="181" t="str">
        <f>Neu!B11</f>
        <v>B31ls</v>
      </c>
      <c r="C10" s="79"/>
      <c r="D10" s="7"/>
      <c r="E10" s="7"/>
      <c r="F10" s="7"/>
      <c r="G10" s="7"/>
      <c r="H10" s="7"/>
      <c r="I10" s="14">
        <v>0.05</v>
      </c>
      <c r="J10" s="71"/>
      <c r="K10" s="7">
        <f>J11</f>
        <v>0</v>
      </c>
      <c r="L10" s="7">
        <f>J12</f>
        <v>0</v>
      </c>
      <c r="M10" s="7">
        <f>J13</f>
        <v>0</v>
      </c>
      <c r="N10" s="7">
        <f>J14</f>
        <v>0</v>
      </c>
      <c r="O10" s="7"/>
      <c r="P10" s="7"/>
      <c r="Q10" s="72"/>
      <c r="R10" s="72"/>
      <c r="S10" s="70">
        <f>J19</f>
        <v>0</v>
      </c>
      <c r="T10" s="70">
        <f>J20</f>
        <v>0</v>
      </c>
      <c r="U10" s="70">
        <f>J21</f>
        <v>0</v>
      </c>
      <c r="V10" s="70">
        <f>J22</f>
        <v>0</v>
      </c>
      <c r="W10" s="6">
        <f>J23</f>
        <v>0</v>
      </c>
    </row>
    <row r="11" spans="1:23" ht="29.15" customHeight="1" x14ac:dyDescent="0.35">
      <c r="A11" s="253"/>
      <c r="B11" s="181" t="str">
        <f>Neu!B12</f>
        <v>B64rs</v>
      </c>
      <c r="C11" s="79"/>
      <c r="D11" s="7"/>
      <c r="E11" s="7"/>
      <c r="F11" s="7"/>
      <c r="G11" s="7"/>
      <c r="H11" s="7"/>
      <c r="I11" s="7"/>
      <c r="J11" s="7"/>
      <c r="K11" s="71"/>
      <c r="L11" s="7">
        <v>2.5000000000000001E-2</v>
      </c>
      <c r="M11" s="7">
        <f>K13</f>
        <v>0</v>
      </c>
      <c r="N11" s="7">
        <f>K14</f>
        <v>0</v>
      </c>
      <c r="O11" s="7"/>
      <c r="P11" s="7"/>
      <c r="Q11" s="72"/>
      <c r="R11" s="72"/>
      <c r="S11" s="70">
        <f>K19</f>
        <v>0</v>
      </c>
      <c r="T11" s="70">
        <f>K20</f>
        <v>0</v>
      </c>
      <c r="U11" s="70">
        <f>K21</f>
        <v>0</v>
      </c>
      <c r="V11" s="70">
        <f>K22</f>
        <v>0</v>
      </c>
      <c r="W11" s="6">
        <f>K23</f>
        <v>0</v>
      </c>
    </row>
    <row r="12" spans="1:23" ht="29.15" customHeight="1" x14ac:dyDescent="0.35">
      <c r="A12" s="253"/>
      <c r="B12" s="181" t="str">
        <f>Neu!B13</f>
        <v>B64ra</v>
      </c>
      <c r="C12" s="79"/>
      <c r="D12" s="7"/>
      <c r="E12" s="7"/>
      <c r="F12" s="7"/>
      <c r="G12" s="7"/>
      <c r="H12" s="7"/>
      <c r="I12" s="7"/>
      <c r="J12" s="7"/>
      <c r="K12" s="7">
        <v>0.1</v>
      </c>
      <c r="L12" s="71"/>
      <c r="M12" s="7">
        <f>L13</f>
        <v>0</v>
      </c>
      <c r="N12" s="7">
        <f>L14</f>
        <v>0</v>
      </c>
      <c r="O12" s="7"/>
      <c r="P12" s="7"/>
      <c r="Q12" s="72"/>
      <c r="R12" s="72"/>
      <c r="S12" s="70">
        <f>L19</f>
        <v>0</v>
      </c>
      <c r="T12" s="70">
        <f>L20</f>
        <v>0</v>
      </c>
      <c r="U12" s="70">
        <f>L21</f>
        <v>0</v>
      </c>
      <c r="V12" s="70">
        <f>L22</f>
        <v>0</v>
      </c>
      <c r="W12" s="6">
        <f>L23</f>
        <v>0</v>
      </c>
    </row>
    <row r="13" spans="1:23" ht="29.15" customHeight="1" x14ac:dyDescent="0.35">
      <c r="A13" s="253"/>
      <c r="B13" s="181"/>
      <c r="C13" s="79"/>
      <c r="D13" s="7"/>
      <c r="E13" s="7"/>
      <c r="F13" s="7"/>
      <c r="G13" s="7"/>
      <c r="H13" s="7"/>
      <c r="I13" s="7"/>
      <c r="J13" s="7"/>
      <c r="K13" s="7"/>
      <c r="L13" s="7"/>
      <c r="M13" s="71"/>
      <c r="N13" s="7">
        <f>M14</f>
        <v>0</v>
      </c>
      <c r="O13" s="7"/>
      <c r="P13" s="7"/>
      <c r="Q13" s="72"/>
      <c r="R13" s="72"/>
      <c r="S13" s="70">
        <f>M19</f>
        <v>0</v>
      </c>
      <c r="T13" s="70">
        <f>M20</f>
        <v>0</v>
      </c>
      <c r="U13" s="70">
        <f>M21</f>
        <v>0</v>
      </c>
      <c r="V13" s="70">
        <f>M22</f>
        <v>0</v>
      </c>
      <c r="W13" s="6">
        <f>M23</f>
        <v>0</v>
      </c>
    </row>
    <row r="14" spans="1:23" ht="29.15" customHeight="1" x14ac:dyDescent="0.35">
      <c r="A14" s="253"/>
      <c r="B14" s="181"/>
      <c r="C14" s="79"/>
      <c r="D14" s="7"/>
      <c r="E14" s="7"/>
      <c r="F14" s="7"/>
      <c r="G14" s="7"/>
      <c r="H14" s="7"/>
      <c r="J14" s="7"/>
      <c r="K14" s="7"/>
      <c r="L14" s="7"/>
      <c r="M14" s="7"/>
      <c r="N14" s="71"/>
      <c r="O14" s="7"/>
      <c r="P14" s="7"/>
      <c r="Q14" s="72"/>
      <c r="R14" s="72"/>
      <c r="S14" s="70">
        <f>N19</f>
        <v>0</v>
      </c>
      <c r="T14" s="70">
        <f>N20</f>
        <v>0</v>
      </c>
      <c r="U14" s="70">
        <f>N21</f>
        <v>0</v>
      </c>
      <c r="V14" s="70">
        <f>N22</f>
        <v>0</v>
      </c>
      <c r="W14" s="6">
        <f>N23</f>
        <v>0</v>
      </c>
    </row>
    <row r="15" spans="1:23" ht="29.15" customHeight="1" x14ac:dyDescent="0.35">
      <c r="A15" s="253"/>
      <c r="B15" s="181"/>
      <c r="C15" s="7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1"/>
      <c r="P15" s="7"/>
      <c r="Q15" s="72"/>
      <c r="R15" s="72"/>
      <c r="S15" s="70">
        <f>O19</f>
        <v>0</v>
      </c>
      <c r="T15" s="70">
        <f>O20</f>
        <v>0</v>
      </c>
      <c r="U15" s="70">
        <f>O21</f>
        <v>0</v>
      </c>
      <c r="V15" s="70">
        <f>O22</f>
        <v>0</v>
      </c>
      <c r="W15" s="6">
        <f>O23</f>
        <v>0</v>
      </c>
    </row>
    <row r="16" spans="1:23" ht="29.15" customHeight="1" x14ac:dyDescent="0.35">
      <c r="A16" s="253"/>
      <c r="B16" s="181"/>
      <c r="C16" s="79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1"/>
      <c r="Q16" s="72"/>
      <c r="R16" s="72"/>
      <c r="S16" s="70">
        <f>P19</f>
        <v>0</v>
      </c>
      <c r="T16" s="70">
        <f>P20</f>
        <v>0</v>
      </c>
      <c r="U16" s="70">
        <f>P21</f>
        <v>0</v>
      </c>
      <c r="V16" s="70">
        <f>P22</f>
        <v>0</v>
      </c>
      <c r="W16" s="6">
        <f>P23</f>
        <v>0</v>
      </c>
    </row>
    <row r="17" spans="1:23" ht="29.15" customHeight="1" x14ac:dyDescent="0.35">
      <c r="A17" s="253"/>
      <c r="B17" s="181"/>
      <c r="C17" s="80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4"/>
      <c r="R17" s="72"/>
      <c r="S17" s="70">
        <f>Q19</f>
        <v>0</v>
      </c>
      <c r="T17" s="70">
        <f>Q20</f>
        <v>0</v>
      </c>
      <c r="U17" s="70">
        <f>Q21</f>
        <v>0</v>
      </c>
      <c r="V17" s="70">
        <f>Q22</f>
        <v>0</v>
      </c>
      <c r="W17" s="6">
        <f>Q23</f>
        <v>0</v>
      </c>
    </row>
    <row r="18" spans="1:23" ht="29.15" customHeight="1" x14ac:dyDescent="0.35">
      <c r="B18" s="181"/>
      <c r="C18" s="7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1"/>
      <c r="S18" s="70">
        <f>R19</f>
        <v>0</v>
      </c>
      <c r="T18" s="70">
        <f>R20</f>
        <v>0</v>
      </c>
      <c r="U18" s="70">
        <f>R21</f>
        <v>0</v>
      </c>
      <c r="V18" s="70">
        <f>R22</f>
        <v>0</v>
      </c>
      <c r="W18" s="6">
        <f>R23</f>
        <v>0</v>
      </c>
    </row>
    <row r="19" spans="1:23" ht="29.15" customHeight="1" x14ac:dyDescent="0.35">
      <c r="B19" s="181"/>
      <c r="C19" s="7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1"/>
      <c r="T19" s="70">
        <f>S20</f>
        <v>0</v>
      </c>
      <c r="U19" s="70">
        <f>S21</f>
        <v>0</v>
      </c>
      <c r="V19" s="70">
        <f>S22</f>
        <v>0</v>
      </c>
      <c r="W19" s="6">
        <f>S23</f>
        <v>0</v>
      </c>
    </row>
    <row r="20" spans="1:23" ht="29.15" customHeight="1" x14ac:dyDescent="0.35">
      <c r="B20" s="181"/>
      <c r="C20" s="79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1"/>
      <c r="U20" s="70">
        <f>T21</f>
        <v>0</v>
      </c>
      <c r="V20" s="70">
        <f>T22</f>
        <v>0</v>
      </c>
      <c r="W20" s="6">
        <f>T23</f>
        <v>0</v>
      </c>
    </row>
    <row r="21" spans="1:23" ht="29.15" customHeight="1" x14ac:dyDescent="0.35">
      <c r="B21" s="181"/>
      <c r="C21" s="7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1"/>
      <c r="V21" s="70">
        <f>U22</f>
        <v>0</v>
      </c>
      <c r="W21" s="6">
        <f>U23</f>
        <v>0</v>
      </c>
    </row>
    <row r="22" spans="1:23" ht="29.15" customHeight="1" x14ac:dyDescent="0.35">
      <c r="B22" s="181"/>
      <c r="C22" s="79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1"/>
      <c r="W22" s="6">
        <f>V23</f>
        <v>0</v>
      </c>
    </row>
    <row r="23" spans="1:23" ht="29.15" customHeight="1" thickBot="1" x14ac:dyDescent="0.4">
      <c r="B23" s="5">
        <f>Neu!B24</f>
        <v>0</v>
      </c>
      <c r="C23" s="81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2"/>
    </row>
  </sheetData>
  <mergeCells count="3">
    <mergeCell ref="A1:B2"/>
    <mergeCell ref="C1:Q1"/>
    <mergeCell ref="A3:A17"/>
  </mergeCells>
  <conditionalFormatting sqref="B3:B23">
    <cfRule type="cellIs" dxfId="2" priority="1" operator="equal">
      <formula>0</formula>
    </cfRule>
  </conditionalFormatting>
  <conditionalFormatting sqref="C2:W2">
    <cfRule type="cellIs" dxfId="1" priority="2" operator="equal">
      <formula>0</formula>
    </cfRule>
  </conditionalFormatting>
  <conditionalFormatting sqref="C15:W23 C14:H14 J14:W14 C3:W9 C10:H10 J10:W10 C11:W13">
    <cfRule type="colorScale" priority="12">
      <colorScale>
        <cfvo type="min"/>
        <cfvo type="max"/>
        <color theme="0"/>
        <color rgb="FFFF0000"/>
      </colorScale>
    </cfRule>
  </conditionalFormatting>
  <conditionalFormatting sqref="D3:W3 E4:W4 F5:W5 G6:W6 H7:W7 I8:W8 J9:W9 K10:W10 L11:W11 M12:W12 N13:W13 O14:W14 P15:W15 Q16:W16 R17:W17 S18:W18 T19:W19 U20:W20 V21:W21 W22">
    <cfRule type="cellIs" dxfId="0" priority="11" operator="equal">
      <formula>0</formula>
    </cfRule>
  </conditionalFormatting>
  <conditionalFormatting sqref="D3:W3 F5:W5 G6:W6 H7:W7 I8:W8 K10:W10 L11:W11 M12:W12 N13:W13 O14:W14 P15:W15 Q16:W16 R17:W17 S18:W18 T19:W19 U20:W20 V21:W21 W22 E4:W4 J9:W9">
    <cfRule type="colorScale" priority="10">
      <colorScale>
        <cfvo type="min"/>
        <cfvo type="max"/>
        <color theme="4" tint="0.79998168889431442"/>
        <color rgb="FFFF0000"/>
      </colorScale>
    </cfRule>
  </conditionalFormatting>
  <pageMargins left="0.70866141732283472" right="0.70866141732283472" top="0.74803149606299213" bottom="0.74803149606299213" header="0.31496062992125984" footer="0.31496062992125984"/>
  <pageSetup scale="7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0"/>
  <sheetViews>
    <sheetView workbookViewId="0">
      <selection activeCell="I12" sqref="I12"/>
    </sheetView>
  </sheetViews>
  <sheetFormatPr defaultColWidth="9.1796875" defaultRowHeight="14.5" x14ac:dyDescent="0.35"/>
  <cols>
    <col min="1" max="2" width="8.453125" style="36" customWidth="1"/>
    <col min="3" max="3" width="10.542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3" t="s">
        <v>69</v>
      </c>
      <c r="G1" s="233"/>
      <c r="H1" s="233"/>
      <c r="I1" s="233"/>
      <c r="J1" s="233"/>
      <c r="K1" s="233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216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7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136</v>
      </c>
      <c r="N6" s="34" t="s">
        <v>137</v>
      </c>
    </row>
    <row r="7" spans="1:26" ht="15" thickBot="1" x14ac:dyDescent="0.4">
      <c r="B7" s="237" t="s">
        <v>31</v>
      </c>
      <c r="C7" s="238"/>
      <c r="D7" s="238"/>
      <c r="E7" s="238"/>
      <c r="F7" s="240"/>
      <c r="G7" s="241" t="s">
        <v>35</v>
      </c>
      <c r="H7" s="238"/>
      <c r="I7" s="238"/>
      <c r="J7" s="238"/>
      <c r="K7" s="239"/>
      <c r="L7" s="237" t="s">
        <v>41</v>
      </c>
      <c r="M7" s="238"/>
      <c r="N7" s="238"/>
      <c r="O7" s="238"/>
      <c r="P7" s="239"/>
      <c r="Q7" s="237" t="s">
        <v>42</v>
      </c>
      <c r="R7" s="238"/>
      <c r="S7" s="238"/>
      <c r="T7" s="238"/>
      <c r="U7" s="239"/>
      <c r="V7" s="237" t="s">
        <v>43</v>
      </c>
      <c r="W7" s="238"/>
      <c r="X7" s="238"/>
      <c r="Y7" s="238"/>
      <c r="Z7" s="239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2</v>
      </c>
      <c r="B9" s="60" t="s">
        <v>31</v>
      </c>
      <c r="C9" s="62">
        <v>7</v>
      </c>
      <c r="D9" s="62">
        <v>0</v>
      </c>
      <c r="E9" s="62">
        <v>7</v>
      </c>
      <c r="F9" s="46" t="s">
        <v>180</v>
      </c>
      <c r="G9" s="41" t="s">
        <v>203</v>
      </c>
      <c r="H9" s="62">
        <v>6</v>
      </c>
      <c r="I9" s="62">
        <v>-80</v>
      </c>
      <c r="J9" s="62">
        <v>160</v>
      </c>
      <c r="K9" s="46" t="s">
        <v>188</v>
      </c>
      <c r="L9" s="41" t="s">
        <v>204</v>
      </c>
      <c r="M9" s="62">
        <v>8</v>
      </c>
      <c r="N9" s="62">
        <v>-80</v>
      </c>
      <c r="O9" s="62">
        <v>0</v>
      </c>
      <c r="P9" s="46" t="s">
        <v>185</v>
      </c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7</v>
      </c>
      <c r="D10" s="62">
        <v>0</v>
      </c>
      <c r="E10" s="62">
        <v>7</v>
      </c>
      <c r="F10" s="46" t="s">
        <v>180</v>
      </c>
      <c r="G10" s="41" t="s">
        <v>205</v>
      </c>
      <c r="H10" s="62">
        <v>6</v>
      </c>
      <c r="I10" s="62">
        <v>-5</v>
      </c>
      <c r="J10" s="62">
        <v>1</v>
      </c>
      <c r="K10" s="46" t="s">
        <v>195</v>
      </c>
      <c r="L10" s="41" t="s">
        <v>206</v>
      </c>
      <c r="M10" s="62">
        <v>6</v>
      </c>
      <c r="N10" s="62">
        <v>0</v>
      </c>
      <c r="O10" s="62">
        <v>60</v>
      </c>
      <c r="P10" s="46" t="s">
        <v>197</v>
      </c>
      <c r="Q10" s="41" t="s">
        <v>207</v>
      </c>
      <c r="R10" s="62">
        <v>6</v>
      </c>
      <c r="S10" s="62">
        <v>-1</v>
      </c>
      <c r="T10" s="62">
        <v>5</v>
      </c>
      <c r="U10" s="46" t="s">
        <v>156</v>
      </c>
      <c r="V10" s="41"/>
      <c r="W10" s="62"/>
      <c r="X10" s="62"/>
      <c r="Y10" s="62"/>
      <c r="Z10" s="18"/>
    </row>
    <row r="11" spans="1:26" x14ac:dyDescent="0.35">
      <c r="A11" s="45"/>
      <c r="B11" s="60"/>
      <c r="C11" s="62"/>
      <c r="D11" s="62"/>
      <c r="E11" s="62"/>
      <c r="F11" s="46"/>
      <c r="G11" s="41"/>
      <c r="H11" s="62"/>
      <c r="I11" s="62"/>
      <c r="J11" s="62"/>
      <c r="K11" s="46"/>
      <c r="L11" s="41"/>
      <c r="M11" s="62"/>
      <c r="N11" s="62"/>
      <c r="O11" s="62"/>
      <c r="P11" s="46"/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/>
      <c r="B12" s="60"/>
      <c r="C12" s="62"/>
      <c r="D12" s="62"/>
      <c r="E12" s="62"/>
      <c r="F12" s="46"/>
      <c r="G12" s="41"/>
      <c r="H12" s="62"/>
      <c r="I12" s="62"/>
      <c r="J12" s="62"/>
      <c r="K12" s="46"/>
      <c r="L12" s="41"/>
      <c r="M12" s="62"/>
      <c r="N12" s="62"/>
      <c r="O12" s="62"/>
      <c r="P12" s="46"/>
      <c r="Q12" s="41"/>
      <c r="R12" s="62"/>
      <c r="S12" s="62"/>
      <c r="T12" s="62"/>
      <c r="U12" s="46"/>
      <c r="V12" s="41"/>
      <c r="W12" s="62"/>
      <c r="X12" s="62"/>
      <c r="Y12" s="62"/>
      <c r="Z12" s="18"/>
    </row>
    <row r="13" spans="1:26" x14ac:dyDescent="0.35">
      <c r="A13" s="45"/>
      <c r="B13" s="60"/>
      <c r="C13" s="62"/>
      <c r="D13" s="62"/>
      <c r="E13" s="62"/>
      <c r="F13" s="46"/>
      <c r="G13" s="41"/>
      <c r="H13" s="62"/>
      <c r="I13" s="62"/>
      <c r="J13" s="62"/>
      <c r="K13" s="46"/>
      <c r="L13" s="41"/>
      <c r="M13" s="62"/>
      <c r="N13" s="62"/>
      <c r="O13" s="62"/>
      <c r="P13" s="46"/>
      <c r="Q13" s="41"/>
      <c r="R13" s="62"/>
      <c r="S13" s="62"/>
      <c r="T13" s="62"/>
      <c r="U13" s="46"/>
      <c r="V13" s="41"/>
      <c r="W13" s="62"/>
      <c r="X13" s="62"/>
      <c r="Y13" s="62"/>
      <c r="Z13" s="18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41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5" spans="1:26" x14ac:dyDescent="0.35">
      <c r="A15" s="45"/>
      <c r="B15" s="60"/>
      <c r="C15" s="62"/>
      <c r="D15" s="62"/>
      <c r="E15" s="62"/>
      <c r="F15" s="46"/>
      <c r="G15" s="41"/>
      <c r="H15" s="62"/>
      <c r="I15" s="62"/>
      <c r="J15" s="62"/>
      <c r="K15" s="46"/>
      <c r="L15" s="41"/>
      <c r="M15" s="62"/>
      <c r="N15" s="62"/>
      <c r="O15" s="62"/>
      <c r="P15" s="46"/>
      <c r="Q15" s="41"/>
      <c r="R15" s="62"/>
      <c r="S15" s="62"/>
      <c r="T15" s="62"/>
      <c r="U15" s="46"/>
      <c r="V15" s="41"/>
      <c r="W15" s="62"/>
      <c r="X15" s="62"/>
      <c r="Y15" s="62"/>
      <c r="Z15" s="18"/>
    </row>
    <row r="16" spans="1:26" x14ac:dyDescent="0.35">
      <c r="A16" s="45"/>
      <c r="B16" s="60"/>
      <c r="C16" s="62"/>
      <c r="D16" s="62"/>
      <c r="E16" s="62"/>
      <c r="F16" s="46"/>
      <c r="G16" s="41"/>
      <c r="H16" s="62"/>
      <c r="I16" s="62"/>
      <c r="J16" s="62"/>
      <c r="K16" s="46"/>
      <c r="L16" s="41"/>
      <c r="M16" s="62"/>
      <c r="N16" s="62"/>
      <c r="O16" s="62"/>
      <c r="P16" s="46"/>
      <c r="Q16" s="41"/>
      <c r="R16" s="62"/>
      <c r="S16" s="62"/>
      <c r="T16" s="62"/>
      <c r="U16" s="46"/>
      <c r="V16" s="41"/>
      <c r="W16" s="62"/>
      <c r="X16" s="62"/>
      <c r="Y16" s="62"/>
      <c r="Z16" s="18"/>
    </row>
    <row r="18" spans="1:17" x14ac:dyDescent="0.35">
      <c r="A18" s="233" t="s">
        <v>64</v>
      </c>
      <c r="B18" s="233"/>
      <c r="C18" s="233"/>
      <c r="D18" s="233"/>
      <c r="E18" s="233"/>
      <c r="F18" s="233"/>
      <c r="G18" s="233"/>
      <c r="H18" s="233"/>
      <c r="I18" s="233"/>
      <c r="J18" s="233"/>
      <c r="L18" s="233" t="s">
        <v>65</v>
      </c>
      <c r="M18" s="233"/>
    </row>
    <row r="19" spans="1:17" ht="15" customHeight="1" x14ac:dyDescent="0.35">
      <c r="B19" s="199" t="s">
        <v>37</v>
      </c>
      <c r="C19" s="197"/>
      <c r="D19" s="197"/>
      <c r="E19" s="198"/>
      <c r="G19" s="234" t="s">
        <v>68</v>
      </c>
      <c r="H19" s="234"/>
      <c r="I19" s="234"/>
      <c r="J19" s="234"/>
      <c r="L19" s="41" t="s">
        <v>92</v>
      </c>
      <c r="M19" s="235" t="s">
        <v>66</v>
      </c>
      <c r="N19" s="236"/>
      <c r="O19" s="236"/>
      <c r="P19" s="236"/>
      <c r="Q19" s="236"/>
    </row>
    <row r="20" spans="1:17" x14ac:dyDescent="0.35">
      <c r="B20" s="63" t="s">
        <v>38</v>
      </c>
      <c r="C20" s="63" t="s">
        <v>28</v>
      </c>
      <c r="D20" s="63" t="s">
        <v>29</v>
      </c>
      <c r="E20" s="63" t="s">
        <v>39</v>
      </c>
      <c r="G20" s="63" t="s">
        <v>38</v>
      </c>
      <c r="H20" s="63" t="s">
        <v>28</v>
      </c>
      <c r="I20" s="63" t="s">
        <v>29</v>
      </c>
      <c r="J20" s="63" t="s">
        <v>67</v>
      </c>
      <c r="L20" s="41"/>
      <c r="M20" s="235"/>
      <c r="N20" s="236"/>
      <c r="O20" s="236"/>
      <c r="P20" s="236"/>
      <c r="Q20" s="236"/>
    </row>
    <row r="21" spans="1:17" x14ac:dyDescent="0.35">
      <c r="B21" s="41" t="s">
        <v>201</v>
      </c>
      <c r="C21" s="62">
        <v>1</v>
      </c>
      <c r="D21" s="62">
        <v>1.0249999999999999</v>
      </c>
      <c r="E21" s="62">
        <v>3</v>
      </c>
      <c r="G21" s="62"/>
      <c r="H21" s="62"/>
      <c r="I21" s="62"/>
      <c r="J21" s="62"/>
      <c r="L21" s="41"/>
      <c r="M21" s="14"/>
    </row>
    <row r="22" spans="1:17" x14ac:dyDescent="0.35">
      <c r="B22" s="41"/>
      <c r="C22" s="62"/>
      <c r="D22" s="62"/>
      <c r="E22" s="62"/>
      <c r="G22" s="62"/>
      <c r="H22" s="62"/>
      <c r="I22" s="62"/>
      <c r="J22" s="62"/>
      <c r="L22" s="41"/>
      <c r="M22" s="14"/>
    </row>
    <row r="23" spans="1:17" x14ac:dyDescent="0.35">
      <c r="B23" s="41"/>
      <c r="C23" s="62"/>
      <c r="D23" s="62"/>
      <c r="E23" s="62"/>
      <c r="G23" s="62"/>
      <c r="H23" s="62"/>
      <c r="I23" s="62"/>
      <c r="J23" s="62"/>
      <c r="L23" s="41"/>
      <c r="M23" s="14"/>
    </row>
    <row r="24" spans="1:17" x14ac:dyDescent="0.35">
      <c r="B24" s="41"/>
      <c r="C24" s="62"/>
      <c r="D24" s="62"/>
      <c r="E24" s="62"/>
      <c r="G24" s="62"/>
      <c r="H24" s="62"/>
      <c r="I24" s="62"/>
      <c r="J24" s="62"/>
      <c r="L24" s="41"/>
      <c r="M24" s="14"/>
    </row>
    <row r="25" spans="1:17" x14ac:dyDescent="0.35">
      <c r="B25" s="41"/>
      <c r="C25" s="62"/>
      <c r="D25" s="62"/>
      <c r="E25" s="62"/>
      <c r="G25" s="62"/>
      <c r="H25" s="62"/>
      <c r="I25" s="62"/>
      <c r="J25" s="62"/>
      <c r="L25" s="41"/>
      <c r="M25" s="14"/>
    </row>
    <row r="26" spans="1:17" x14ac:dyDescent="0.35">
      <c r="B26" s="41"/>
      <c r="C26" s="62"/>
      <c r="D26" s="62"/>
      <c r="E26" s="62"/>
      <c r="G26" s="62"/>
      <c r="H26" s="62"/>
      <c r="I26" s="62"/>
      <c r="J26" s="62"/>
      <c r="L26" s="41"/>
      <c r="M26" s="14"/>
    </row>
    <row r="27" spans="1:17" x14ac:dyDescent="0.35">
      <c r="B27" s="41"/>
      <c r="C27" s="62"/>
      <c r="D27" s="62"/>
      <c r="E27" s="62"/>
      <c r="G27" s="62"/>
      <c r="H27" s="62"/>
      <c r="I27" s="62"/>
      <c r="J27" s="62"/>
      <c r="L27" s="41"/>
      <c r="M27" s="14"/>
    </row>
    <row r="28" spans="1:17" x14ac:dyDescent="0.35">
      <c r="B28" s="41"/>
      <c r="C28" s="62"/>
      <c r="D28" s="62"/>
      <c r="E28" s="62"/>
      <c r="G28" s="62"/>
      <c r="H28" s="62"/>
      <c r="I28" s="62"/>
      <c r="J28" s="62"/>
      <c r="L28" s="41"/>
      <c r="M28" s="14"/>
    </row>
    <row r="29" spans="1:17" x14ac:dyDescent="0.35">
      <c r="B29" s="86"/>
      <c r="C29" s="62"/>
      <c r="D29" s="62"/>
      <c r="E29" s="62"/>
      <c r="G29" s="62"/>
      <c r="H29" s="62"/>
      <c r="I29" s="62"/>
      <c r="J29" s="62"/>
      <c r="L29" s="41"/>
      <c r="M29" s="14"/>
    </row>
    <row r="30" spans="1:17" x14ac:dyDescent="0.35">
      <c r="B30" s="86"/>
      <c r="C30" s="62"/>
      <c r="D30" s="62"/>
      <c r="E30" s="62"/>
      <c r="G30" s="62"/>
      <c r="H30" s="62"/>
      <c r="I30" s="62"/>
      <c r="J30" s="62"/>
      <c r="L30" s="22"/>
      <c r="M30" s="14"/>
    </row>
    <row r="31" spans="1:17" x14ac:dyDescent="0.35">
      <c r="B31" s="86"/>
      <c r="C31" s="62"/>
      <c r="D31" s="62"/>
      <c r="E31" s="62"/>
      <c r="G31" s="62"/>
      <c r="H31" s="62"/>
      <c r="I31" s="62"/>
      <c r="J31" s="62"/>
      <c r="L31" s="22"/>
      <c r="M31" s="14"/>
    </row>
    <row r="32" spans="1:17" x14ac:dyDescent="0.35">
      <c r="B32" s="86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  <c r="L36" s="22"/>
      <c r="M36" s="14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  <c r="L37" s="22"/>
      <c r="M37" s="14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  <row r="79" spans="2:10" x14ac:dyDescent="0.35">
      <c r="B79" s="62"/>
      <c r="C79" s="62"/>
      <c r="D79" s="62"/>
      <c r="E79" s="62"/>
      <c r="G79" s="62"/>
      <c r="H79" s="62"/>
      <c r="I79" s="62"/>
      <c r="J79" s="62"/>
    </row>
    <row r="80" spans="2:10" x14ac:dyDescent="0.35">
      <c r="B80" s="62"/>
      <c r="C80" s="62"/>
      <c r="D80" s="62"/>
      <c r="E80" s="62"/>
      <c r="G80" s="62"/>
      <c r="H80" s="62"/>
      <c r="I80" s="62"/>
      <c r="J80" s="62"/>
    </row>
  </sheetData>
  <mergeCells count="11">
    <mergeCell ref="V7:Z7"/>
    <mergeCell ref="F1:K1"/>
    <mergeCell ref="B7:F7"/>
    <mergeCell ref="G7:K7"/>
    <mergeCell ref="L7:P7"/>
    <mergeCell ref="Q7:U7"/>
    <mergeCell ref="A18:J18"/>
    <mergeCell ref="L18:M18"/>
    <mergeCell ref="B19:E19"/>
    <mergeCell ref="G19:J19"/>
    <mergeCell ref="M19:Q20"/>
  </mergeCells>
  <conditionalFormatting sqref="C3">
    <cfRule type="cellIs" dxfId="23" priority="1" operator="notEqual">
      <formula>MAX($E$9:$E$16)</formula>
    </cfRule>
  </conditionalFormatting>
  <dataValidations count="1">
    <dataValidation type="list" allowBlank="1" showInputMessage="1" showErrorMessage="1" sqref="F9:F16 Z9:Z16 P9:P16 U9:U16 K9:K16" xr:uid="{00000000-0002-0000-0100-000000000000}">
      <formula1>"green,red,yellow,blue,orange,cyan,black,white,magenta,pink"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0"/>
  <sheetViews>
    <sheetView workbookViewId="0">
      <selection activeCell="I13" sqref="I13"/>
    </sheetView>
  </sheetViews>
  <sheetFormatPr defaultColWidth="9.1796875" defaultRowHeight="14.5" x14ac:dyDescent="0.35"/>
  <cols>
    <col min="1" max="2" width="8.453125" style="36" customWidth="1"/>
    <col min="3" max="3" width="10.542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3.45312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3" t="s">
        <v>69</v>
      </c>
      <c r="G1" s="233"/>
      <c r="H1" s="233"/>
      <c r="I1" s="233"/>
      <c r="J1" s="233"/>
      <c r="K1" s="233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217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7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136</v>
      </c>
      <c r="N6" s="34" t="s">
        <v>137</v>
      </c>
    </row>
    <row r="7" spans="1:26" ht="15" thickBot="1" x14ac:dyDescent="0.4">
      <c r="B7" s="237" t="s">
        <v>31</v>
      </c>
      <c r="C7" s="238"/>
      <c r="D7" s="238"/>
      <c r="E7" s="238"/>
      <c r="F7" s="240"/>
      <c r="G7" s="241" t="s">
        <v>35</v>
      </c>
      <c r="H7" s="238"/>
      <c r="I7" s="238"/>
      <c r="J7" s="238"/>
      <c r="K7" s="239"/>
      <c r="L7" s="237" t="s">
        <v>41</v>
      </c>
      <c r="M7" s="238"/>
      <c r="N7" s="238"/>
      <c r="O7" s="238"/>
      <c r="P7" s="239"/>
      <c r="Q7" s="237" t="s">
        <v>42</v>
      </c>
      <c r="R7" s="238"/>
      <c r="S7" s="238"/>
      <c r="T7" s="238"/>
      <c r="U7" s="239"/>
      <c r="V7" s="237" t="s">
        <v>43</v>
      </c>
      <c r="W7" s="238"/>
      <c r="X7" s="238"/>
      <c r="Y7" s="238"/>
      <c r="Z7" s="239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7</v>
      </c>
      <c r="D9" s="62">
        <v>0</v>
      </c>
      <c r="E9" s="62">
        <v>7</v>
      </c>
      <c r="F9" s="46" t="s">
        <v>180</v>
      </c>
      <c r="G9" s="41" t="s">
        <v>210</v>
      </c>
      <c r="H9" s="62">
        <v>8</v>
      </c>
      <c r="I9" s="62">
        <v>-80</v>
      </c>
      <c r="J9" s="62">
        <v>0</v>
      </c>
      <c r="K9" s="46" t="s">
        <v>188</v>
      </c>
      <c r="L9" s="41" t="s">
        <v>211</v>
      </c>
      <c r="M9" s="62">
        <v>8</v>
      </c>
      <c r="N9" s="62">
        <v>-80</v>
      </c>
      <c r="O9" s="62">
        <v>0</v>
      </c>
      <c r="P9" s="46" t="s">
        <v>185</v>
      </c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7</v>
      </c>
      <c r="D10" s="62">
        <v>0</v>
      </c>
      <c r="E10" s="62">
        <v>7</v>
      </c>
      <c r="F10" s="46" t="s">
        <v>180</v>
      </c>
      <c r="G10" s="41" t="s">
        <v>212</v>
      </c>
      <c r="H10" s="62">
        <v>6</v>
      </c>
      <c r="I10" s="62">
        <v>-5</v>
      </c>
      <c r="J10" s="62">
        <v>1</v>
      </c>
      <c r="K10" s="46" t="s">
        <v>195</v>
      </c>
      <c r="L10" s="41" t="s">
        <v>213</v>
      </c>
      <c r="M10" s="62">
        <v>6</v>
      </c>
      <c r="N10" s="62">
        <v>-2</v>
      </c>
      <c r="O10" s="62">
        <v>34</v>
      </c>
      <c r="P10" s="46" t="s">
        <v>197</v>
      </c>
      <c r="Q10" s="41" t="s">
        <v>214</v>
      </c>
      <c r="R10" s="62">
        <v>6</v>
      </c>
      <c r="S10" s="62">
        <v>-2</v>
      </c>
      <c r="T10" s="62">
        <v>34</v>
      </c>
      <c r="U10" s="46" t="s">
        <v>156</v>
      </c>
      <c r="V10" s="41"/>
      <c r="W10" s="62"/>
      <c r="X10" s="62"/>
      <c r="Y10" s="62"/>
      <c r="Z10" s="18"/>
    </row>
    <row r="11" spans="1:26" x14ac:dyDescent="0.35">
      <c r="A11" s="45"/>
      <c r="B11" s="60"/>
      <c r="C11" s="62"/>
      <c r="D11" s="62"/>
      <c r="E11" s="62"/>
      <c r="F11" s="46"/>
      <c r="G11" s="41"/>
      <c r="H11" s="62"/>
      <c r="I11" s="62"/>
      <c r="J11" s="62"/>
      <c r="K11" s="46"/>
      <c r="L11" s="41"/>
      <c r="M11" s="62"/>
      <c r="N11" s="62"/>
      <c r="O11" s="62"/>
      <c r="P11" s="46"/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/>
      <c r="B12" s="60"/>
      <c r="C12" s="62"/>
      <c r="D12" s="62"/>
      <c r="E12" s="62"/>
      <c r="F12" s="46"/>
      <c r="G12" s="41"/>
      <c r="H12" s="62"/>
      <c r="I12" s="62"/>
      <c r="J12" s="62"/>
      <c r="K12" s="46"/>
      <c r="L12" s="41"/>
      <c r="M12" s="62"/>
      <c r="N12" s="62"/>
      <c r="O12" s="62"/>
      <c r="P12" s="46"/>
      <c r="Q12" s="41"/>
      <c r="R12" s="62"/>
      <c r="S12" s="62"/>
      <c r="T12" s="62"/>
      <c r="U12" s="46"/>
      <c r="V12" s="41"/>
      <c r="W12" s="62"/>
      <c r="X12" s="62"/>
      <c r="Y12" s="62"/>
      <c r="Z12" s="18"/>
    </row>
    <row r="13" spans="1:26" x14ac:dyDescent="0.35">
      <c r="A13" s="45"/>
      <c r="B13" s="60"/>
      <c r="C13" s="62"/>
      <c r="D13" s="62"/>
      <c r="E13" s="62"/>
      <c r="F13" s="46"/>
      <c r="G13" s="41"/>
      <c r="H13" s="62"/>
      <c r="I13" s="62"/>
      <c r="J13" s="62"/>
      <c r="K13" s="46"/>
      <c r="L13" s="41"/>
      <c r="M13" s="62"/>
      <c r="N13" s="62"/>
      <c r="O13" s="62"/>
      <c r="P13" s="46"/>
      <c r="Q13" s="41"/>
      <c r="R13" s="62"/>
      <c r="S13" s="62"/>
      <c r="T13" s="62"/>
      <c r="U13" s="46"/>
      <c r="V13" s="41"/>
      <c r="W13" s="62"/>
      <c r="X13" s="62"/>
      <c r="Y13" s="62"/>
      <c r="Z13" s="18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41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5" spans="1:26" x14ac:dyDescent="0.35">
      <c r="A15" s="45"/>
      <c r="B15" s="60"/>
      <c r="C15" s="62"/>
      <c r="D15" s="62"/>
      <c r="E15" s="62"/>
      <c r="F15" s="46"/>
      <c r="G15" s="41"/>
      <c r="H15" s="62"/>
      <c r="I15" s="62"/>
      <c r="J15" s="62"/>
      <c r="K15" s="46"/>
      <c r="L15" s="41"/>
      <c r="M15" s="62"/>
      <c r="N15" s="62"/>
      <c r="O15" s="62"/>
      <c r="P15" s="46"/>
      <c r="Q15" s="41"/>
      <c r="R15" s="62"/>
      <c r="S15" s="62"/>
      <c r="T15" s="62"/>
      <c r="U15" s="46"/>
      <c r="V15" s="41"/>
      <c r="W15" s="62"/>
      <c r="X15" s="62"/>
      <c r="Y15" s="62"/>
      <c r="Z15" s="18"/>
    </row>
    <row r="16" spans="1:26" x14ac:dyDescent="0.35">
      <c r="A16" s="45"/>
      <c r="B16" s="60"/>
      <c r="C16" s="62"/>
      <c r="D16" s="62"/>
      <c r="E16" s="62"/>
      <c r="F16" s="46"/>
      <c r="G16" s="41"/>
      <c r="H16" s="62"/>
      <c r="I16" s="62"/>
      <c r="J16" s="62"/>
      <c r="K16" s="46"/>
      <c r="L16" s="41"/>
      <c r="M16" s="62"/>
      <c r="N16" s="62"/>
      <c r="O16" s="62"/>
      <c r="P16" s="46"/>
      <c r="Q16" s="41"/>
      <c r="R16" s="62"/>
      <c r="S16" s="62"/>
      <c r="T16" s="62"/>
      <c r="U16" s="46"/>
      <c r="V16" s="41"/>
      <c r="W16" s="62"/>
      <c r="X16" s="62"/>
      <c r="Y16" s="62"/>
      <c r="Z16" s="18"/>
    </row>
    <row r="18" spans="1:17" x14ac:dyDescent="0.35">
      <c r="A18" s="233" t="s">
        <v>64</v>
      </c>
      <c r="B18" s="233"/>
      <c r="C18" s="233"/>
      <c r="D18" s="233"/>
      <c r="E18" s="233"/>
      <c r="F18" s="233"/>
      <c r="G18" s="233"/>
      <c r="H18" s="233"/>
      <c r="I18" s="233"/>
      <c r="J18" s="233"/>
      <c r="L18" s="233" t="s">
        <v>65</v>
      </c>
      <c r="M18" s="233"/>
    </row>
    <row r="19" spans="1:17" ht="15" customHeight="1" x14ac:dyDescent="0.35">
      <c r="B19" s="199" t="s">
        <v>37</v>
      </c>
      <c r="C19" s="197"/>
      <c r="D19" s="197"/>
      <c r="E19" s="198"/>
      <c r="G19" s="234" t="s">
        <v>68</v>
      </c>
      <c r="H19" s="234"/>
      <c r="I19" s="234"/>
      <c r="J19" s="234"/>
      <c r="L19" s="41" t="s">
        <v>92</v>
      </c>
      <c r="M19" s="235" t="s">
        <v>66</v>
      </c>
      <c r="N19" s="236"/>
      <c r="O19" s="236"/>
      <c r="P19" s="236"/>
      <c r="Q19" s="236"/>
    </row>
    <row r="20" spans="1:17" x14ac:dyDescent="0.35">
      <c r="B20" s="63" t="s">
        <v>38</v>
      </c>
      <c r="C20" s="63" t="s">
        <v>28</v>
      </c>
      <c r="D20" s="63" t="s">
        <v>29</v>
      </c>
      <c r="E20" s="63" t="s">
        <v>39</v>
      </c>
      <c r="G20" s="63" t="s">
        <v>38</v>
      </c>
      <c r="H20" s="63" t="s">
        <v>28</v>
      </c>
      <c r="I20" s="63" t="s">
        <v>29</v>
      </c>
      <c r="J20" s="63" t="s">
        <v>67</v>
      </c>
      <c r="L20" s="41"/>
      <c r="M20" s="235"/>
      <c r="N20" s="236"/>
      <c r="O20" s="236"/>
      <c r="P20" s="236"/>
      <c r="Q20" s="236"/>
    </row>
    <row r="21" spans="1:17" x14ac:dyDescent="0.35">
      <c r="B21" s="41" t="s">
        <v>208</v>
      </c>
      <c r="C21" s="62">
        <v>1</v>
      </c>
      <c r="D21" s="62">
        <v>1.0249999999999999</v>
      </c>
      <c r="E21" s="62">
        <v>1.4</v>
      </c>
      <c r="G21" s="62"/>
      <c r="H21" s="62"/>
      <c r="I21" s="62"/>
      <c r="J21" s="62"/>
      <c r="L21" s="41"/>
      <c r="M21" s="14"/>
    </row>
    <row r="22" spans="1:17" x14ac:dyDescent="0.35">
      <c r="B22" s="41"/>
      <c r="C22" s="62"/>
      <c r="D22" s="62"/>
      <c r="E22" s="62"/>
      <c r="G22" s="62"/>
      <c r="H22" s="62"/>
      <c r="I22" s="62"/>
      <c r="J22" s="62"/>
      <c r="L22" s="41"/>
      <c r="M22" s="14"/>
    </row>
    <row r="23" spans="1:17" x14ac:dyDescent="0.35">
      <c r="B23" s="41"/>
      <c r="C23" s="62"/>
      <c r="D23" s="62"/>
      <c r="E23" s="62"/>
      <c r="G23" s="62"/>
      <c r="H23" s="62"/>
      <c r="I23" s="62"/>
      <c r="J23" s="62"/>
      <c r="L23" s="41"/>
      <c r="M23" s="14"/>
    </row>
    <row r="24" spans="1:17" x14ac:dyDescent="0.35">
      <c r="B24" s="41"/>
      <c r="C24" s="62"/>
      <c r="D24" s="62"/>
      <c r="E24" s="62"/>
      <c r="G24" s="62"/>
      <c r="H24" s="62"/>
      <c r="I24" s="62"/>
      <c r="J24" s="62"/>
      <c r="L24" s="41"/>
      <c r="M24" s="14"/>
    </row>
    <row r="25" spans="1:17" x14ac:dyDescent="0.35">
      <c r="B25" s="41"/>
      <c r="C25" s="62"/>
      <c r="D25" s="62"/>
      <c r="E25" s="62"/>
      <c r="G25" s="62"/>
      <c r="H25" s="62"/>
      <c r="I25" s="62"/>
      <c r="J25" s="62"/>
      <c r="L25" s="41"/>
      <c r="M25" s="14"/>
    </row>
    <row r="26" spans="1:17" x14ac:dyDescent="0.35">
      <c r="B26" s="41"/>
      <c r="C26" s="62"/>
      <c r="D26" s="62"/>
      <c r="E26" s="62"/>
      <c r="G26" s="62"/>
      <c r="H26" s="62"/>
      <c r="I26" s="62"/>
      <c r="J26" s="62"/>
      <c r="L26" s="41"/>
      <c r="M26" s="14"/>
    </row>
    <row r="27" spans="1:17" x14ac:dyDescent="0.35">
      <c r="B27" s="41"/>
      <c r="C27" s="62"/>
      <c r="D27" s="62"/>
      <c r="E27" s="62"/>
      <c r="G27" s="62"/>
      <c r="H27" s="62"/>
      <c r="I27" s="62"/>
      <c r="J27" s="62"/>
      <c r="L27" s="41"/>
      <c r="M27" s="14"/>
    </row>
    <row r="28" spans="1:17" x14ac:dyDescent="0.35">
      <c r="B28" s="41"/>
      <c r="C28" s="62"/>
      <c r="D28" s="62"/>
      <c r="E28" s="62"/>
      <c r="G28" s="62"/>
      <c r="H28" s="62"/>
      <c r="I28" s="62"/>
      <c r="J28" s="62"/>
      <c r="L28" s="41"/>
      <c r="M28" s="14"/>
    </row>
    <row r="29" spans="1:17" x14ac:dyDescent="0.35">
      <c r="B29" s="86"/>
      <c r="C29" s="62"/>
      <c r="D29" s="62"/>
      <c r="E29" s="62"/>
      <c r="G29" s="62"/>
      <c r="H29" s="62"/>
      <c r="I29" s="62"/>
      <c r="J29" s="62"/>
      <c r="L29" s="41"/>
      <c r="M29" s="14"/>
    </row>
    <row r="30" spans="1:17" x14ac:dyDescent="0.35">
      <c r="B30" s="86"/>
      <c r="C30" s="62"/>
      <c r="D30" s="62"/>
      <c r="E30" s="62"/>
      <c r="G30" s="62"/>
      <c r="H30" s="62"/>
      <c r="I30" s="62"/>
      <c r="J30" s="62"/>
      <c r="L30" s="22"/>
      <c r="M30" s="14"/>
    </row>
    <row r="31" spans="1:17" x14ac:dyDescent="0.35">
      <c r="B31" s="86"/>
      <c r="C31" s="62"/>
      <c r="D31" s="62"/>
      <c r="E31" s="62"/>
      <c r="G31" s="62"/>
      <c r="H31" s="62"/>
      <c r="I31" s="62"/>
      <c r="J31" s="62"/>
      <c r="L31" s="22"/>
      <c r="M31" s="14"/>
    </row>
    <row r="32" spans="1:17" x14ac:dyDescent="0.35">
      <c r="B32" s="86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  <c r="L36" s="22"/>
      <c r="M36" s="14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  <c r="L37" s="22"/>
      <c r="M37" s="14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  <row r="79" spans="2:10" x14ac:dyDescent="0.35">
      <c r="B79" s="62"/>
      <c r="C79" s="62"/>
      <c r="D79" s="62"/>
      <c r="E79" s="62"/>
      <c r="G79" s="62"/>
      <c r="H79" s="62"/>
      <c r="I79" s="62"/>
      <c r="J79" s="62"/>
    </row>
    <row r="80" spans="2:10" x14ac:dyDescent="0.35">
      <c r="B80" s="62"/>
      <c r="C80" s="62"/>
      <c r="D80" s="62"/>
      <c r="E80" s="62"/>
      <c r="G80" s="62"/>
      <c r="H80" s="62"/>
      <c r="I80" s="62"/>
      <c r="J80" s="62"/>
    </row>
  </sheetData>
  <mergeCells count="11">
    <mergeCell ref="V7:Z7"/>
    <mergeCell ref="F1:K1"/>
    <mergeCell ref="B7:F7"/>
    <mergeCell ref="G7:K7"/>
    <mergeCell ref="L7:P7"/>
    <mergeCell ref="Q7:U7"/>
    <mergeCell ref="A18:J18"/>
    <mergeCell ref="L18:M18"/>
    <mergeCell ref="B19:E19"/>
    <mergeCell ref="G19:J19"/>
    <mergeCell ref="M19:Q20"/>
  </mergeCells>
  <conditionalFormatting sqref="C3">
    <cfRule type="cellIs" dxfId="22" priority="1" operator="notEqual">
      <formula>MAX($E$9:$E$16)</formula>
    </cfRule>
  </conditionalFormatting>
  <dataValidations count="1">
    <dataValidation type="list" allowBlank="1" showInputMessage="1" showErrorMessage="1" sqref="P9:P16 U9:U16 K9:K16 F9:F16 Z9:Z16" xr:uid="{00000000-0002-0000-0200-000000000000}">
      <formula1>"green,red,yellow,blue,orange,cyan,black,white,magenta,pink"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78"/>
  <sheetViews>
    <sheetView topLeftCell="A4" zoomScaleNormal="100" workbookViewId="0">
      <selection activeCell="G17" sqref="G17:J17"/>
    </sheetView>
  </sheetViews>
  <sheetFormatPr defaultColWidth="9.1796875" defaultRowHeight="14.5" x14ac:dyDescent="0.35"/>
  <cols>
    <col min="1" max="2" width="8.453125" style="36" customWidth="1"/>
    <col min="3" max="3" width="14.17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3" t="s">
        <v>69</v>
      </c>
      <c r="G1" s="233"/>
      <c r="H1" s="233"/>
      <c r="I1" s="233"/>
      <c r="J1" s="233"/>
      <c r="K1" s="233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215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24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194</v>
      </c>
      <c r="N6" s="34" t="s">
        <v>137</v>
      </c>
    </row>
    <row r="7" spans="1:26" ht="15" thickBot="1" x14ac:dyDescent="0.4">
      <c r="B7" s="237" t="s">
        <v>31</v>
      </c>
      <c r="C7" s="238"/>
      <c r="D7" s="238"/>
      <c r="E7" s="238"/>
      <c r="F7" s="240"/>
      <c r="G7" s="241" t="s">
        <v>35</v>
      </c>
      <c r="H7" s="238"/>
      <c r="I7" s="238"/>
      <c r="J7" s="238"/>
      <c r="K7" s="239"/>
      <c r="L7" s="237" t="s">
        <v>41</v>
      </c>
      <c r="M7" s="238"/>
      <c r="N7" s="238"/>
      <c r="O7" s="238"/>
      <c r="P7" s="239"/>
      <c r="Q7" s="237" t="s">
        <v>42</v>
      </c>
      <c r="R7" s="238"/>
      <c r="S7" s="238"/>
      <c r="T7" s="238"/>
      <c r="U7" s="239"/>
      <c r="V7" s="237" t="s">
        <v>43</v>
      </c>
      <c r="W7" s="238"/>
      <c r="X7" s="238"/>
      <c r="Y7" s="238"/>
      <c r="Z7" s="239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6</v>
      </c>
      <c r="D9" s="62">
        <v>0</v>
      </c>
      <c r="E9" s="62">
        <v>24</v>
      </c>
      <c r="F9" s="46" t="s">
        <v>180</v>
      </c>
      <c r="G9" s="41" t="s">
        <v>186</v>
      </c>
      <c r="H9" s="62">
        <v>7</v>
      </c>
      <c r="I9" s="62">
        <v>-70</v>
      </c>
      <c r="J9" s="62">
        <v>0</v>
      </c>
      <c r="K9" s="46" t="s">
        <v>195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6</v>
      </c>
      <c r="D10" s="62">
        <v>0</v>
      </c>
      <c r="E10" s="62">
        <v>24</v>
      </c>
      <c r="F10" s="46" t="s">
        <v>180</v>
      </c>
      <c r="G10" s="41" t="s">
        <v>184</v>
      </c>
      <c r="H10" s="62">
        <v>7</v>
      </c>
      <c r="I10" s="62">
        <v>-70</v>
      </c>
      <c r="J10" s="62">
        <v>0</v>
      </c>
      <c r="K10" s="46" t="s">
        <v>191</v>
      </c>
      <c r="L10" s="41"/>
      <c r="M10" s="62"/>
      <c r="N10" s="62"/>
      <c r="O10" s="62"/>
      <c r="P10" s="46"/>
      <c r="Q10" s="41"/>
      <c r="R10" s="62"/>
      <c r="S10" s="62"/>
      <c r="T10" s="62"/>
      <c r="U10" s="46"/>
      <c r="V10" s="41"/>
      <c r="W10" s="62"/>
      <c r="X10" s="62"/>
      <c r="Y10" s="62"/>
      <c r="Z10" s="18"/>
    </row>
    <row r="11" spans="1:26" x14ac:dyDescent="0.35">
      <c r="A11" s="45">
        <v>1</v>
      </c>
      <c r="B11" s="60" t="s">
        <v>31</v>
      </c>
      <c r="C11" s="62">
        <v>6</v>
      </c>
      <c r="D11" s="62">
        <v>0</v>
      </c>
      <c r="E11" s="62">
        <v>24</v>
      </c>
      <c r="F11" s="46" t="s">
        <v>180</v>
      </c>
      <c r="G11" s="41" t="s">
        <v>204</v>
      </c>
      <c r="H11" s="62">
        <v>7</v>
      </c>
      <c r="I11" s="62">
        <v>-70</v>
      </c>
      <c r="J11" s="62">
        <v>0</v>
      </c>
      <c r="K11" s="46" t="s">
        <v>185</v>
      </c>
      <c r="L11" s="41" t="s">
        <v>203</v>
      </c>
      <c r="M11" s="62">
        <v>7</v>
      </c>
      <c r="N11" s="62">
        <v>-70</v>
      </c>
      <c r="O11" s="62">
        <v>0</v>
      </c>
      <c r="P11" s="46" t="s">
        <v>188</v>
      </c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>
        <v>1</v>
      </c>
      <c r="B12" s="60" t="s">
        <v>31</v>
      </c>
      <c r="C12" s="62">
        <v>6</v>
      </c>
      <c r="D12" s="62">
        <v>0</v>
      </c>
      <c r="E12" s="62">
        <v>24</v>
      </c>
      <c r="F12" s="46" t="s">
        <v>180</v>
      </c>
      <c r="G12" s="41" t="s">
        <v>190</v>
      </c>
      <c r="H12" s="62">
        <v>5</v>
      </c>
      <c r="I12" s="62">
        <v>-60</v>
      </c>
      <c r="J12" s="62">
        <v>0</v>
      </c>
      <c r="K12" s="46" t="s">
        <v>191</v>
      </c>
      <c r="L12" s="41" t="s">
        <v>235</v>
      </c>
      <c r="M12" s="62">
        <v>5</v>
      </c>
      <c r="N12" s="62">
        <v>-2</v>
      </c>
      <c r="O12" s="62">
        <v>0</v>
      </c>
      <c r="P12" s="46" t="s">
        <v>180</v>
      </c>
      <c r="Q12" s="41"/>
      <c r="R12" s="62"/>
      <c r="S12" s="62"/>
      <c r="T12" s="62"/>
      <c r="U12" s="46"/>
      <c r="V12" s="41"/>
      <c r="W12" s="62"/>
      <c r="X12" s="62"/>
      <c r="Y12" s="62"/>
      <c r="Z12" s="18"/>
    </row>
    <row r="13" spans="1:26" x14ac:dyDescent="0.35">
      <c r="A13" s="45">
        <v>1</v>
      </c>
      <c r="B13" s="60" t="s">
        <v>31</v>
      </c>
      <c r="C13" s="62">
        <v>6</v>
      </c>
      <c r="D13" s="62">
        <v>0</v>
      </c>
      <c r="E13" s="62">
        <v>24</v>
      </c>
      <c r="F13" s="46" t="s">
        <v>180</v>
      </c>
      <c r="G13" s="41" t="s">
        <v>205</v>
      </c>
      <c r="H13" s="62">
        <v>6</v>
      </c>
      <c r="I13" s="62">
        <v>-5</v>
      </c>
      <c r="J13" s="62">
        <v>1</v>
      </c>
      <c r="K13" s="46" t="s">
        <v>195</v>
      </c>
      <c r="L13" s="41" t="s">
        <v>206</v>
      </c>
      <c r="M13" s="62">
        <v>6</v>
      </c>
      <c r="N13" s="62">
        <v>-2</v>
      </c>
      <c r="O13" s="62">
        <v>34</v>
      </c>
      <c r="P13" s="46" t="s">
        <v>197</v>
      </c>
      <c r="Q13" s="41" t="s">
        <v>207</v>
      </c>
      <c r="R13" s="62">
        <v>6</v>
      </c>
      <c r="S13" s="62">
        <v>-2</v>
      </c>
      <c r="T13" s="62">
        <v>34</v>
      </c>
      <c r="U13" s="46" t="s">
        <v>156</v>
      </c>
      <c r="V13" s="41"/>
      <c r="W13" s="62"/>
      <c r="X13" s="62"/>
      <c r="Y13" s="62"/>
      <c r="Z13" s="46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41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6" spans="1:26" x14ac:dyDescent="0.35">
      <c r="A16" s="233" t="s">
        <v>64</v>
      </c>
      <c r="B16" s="233"/>
      <c r="C16" s="233"/>
      <c r="D16" s="233"/>
      <c r="E16" s="233"/>
      <c r="F16" s="233"/>
      <c r="G16" s="233"/>
      <c r="H16" s="233"/>
      <c r="I16" s="233"/>
      <c r="J16" s="233"/>
      <c r="L16" s="233" t="s">
        <v>65</v>
      </c>
      <c r="M16" s="233"/>
    </row>
    <row r="17" spans="2:17" ht="15" customHeight="1" x14ac:dyDescent="0.35">
      <c r="B17" s="199" t="s">
        <v>37</v>
      </c>
      <c r="C17" s="197"/>
      <c r="D17" s="197"/>
      <c r="E17" s="198"/>
      <c r="G17" s="234" t="s">
        <v>68</v>
      </c>
      <c r="H17" s="234"/>
      <c r="I17" s="234"/>
      <c r="J17" s="234"/>
      <c r="L17" s="41" t="s">
        <v>92</v>
      </c>
      <c r="M17" s="235" t="s">
        <v>66</v>
      </c>
      <c r="N17" s="236"/>
      <c r="O17" s="236"/>
      <c r="P17" s="236"/>
      <c r="Q17" s="236"/>
    </row>
    <row r="18" spans="2:17" x14ac:dyDescent="0.35">
      <c r="B18" s="63" t="s">
        <v>38</v>
      </c>
      <c r="C18" s="63" t="s">
        <v>28</v>
      </c>
      <c r="D18" s="63" t="s">
        <v>29</v>
      </c>
      <c r="E18" s="63" t="s">
        <v>39</v>
      </c>
      <c r="G18" s="63" t="s">
        <v>38</v>
      </c>
      <c r="H18" s="63" t="s">
        <v>28</v>
      </c>
      <c r="I18" s="63" t="s">
        <v>29</v>
      </c>
      <c r="J18" s="63" t="s">
        <v>67</v>
      </c>
      <c r="L18" s="41"/>
      <c r="M18" s="235"/>
      <c r="N18" s="236"/>
      <c r="O18" s="236"/>
      <c r="P18" s="236"/>
      <c r="Q18" s="236"/>
    </row>
    <row r="19" spans="2:17" x14ac:dyDescent="0.35">
      <c r="B19" s="41" t="s">
        <v>183</v>
      </c>
      <c r="C19" s="62">
        <v>0.5</v>
      </c>
      <c r="D19" s="62">
        <v>1.5</v>
      </c>
      <c r="E19" s="62">
        <v>1.2</v>
      </c>
      <c r="G19" s="62"/>
      <c r="H19" s="62"/>
      <c r="I19" s="62"/>
      <c r="J19" s="62"/>
      <c r="L19" s="41"/>
      <c r="M19" s="14"/>
    </row>
    <row r="20" spans="2:17" x14ac:dyDescent="0.35">
      <c r="B20" s="41" t="s">
        <v>183</v>
      </c>
      <c r="C20" s="62">
        <v>2.5</v>
      </c>
      <c r="D20" s="62">
        <v>3.5</v>
      </c>
      <c r="E20" s="62">
        <v>1.2</v>
      </c>
      <c r="G20" s="62"/>
      <c r="H20" s="62"/>
      <c r="I20" s="62"/>
      <c r="J20" s="62"/>
      <c r="L20" s="41"/>
      <c r="M20" s="14"/>
    </row>
    <row r="21" spans="2:17" x14ac:dyDescent="0.35">
      <c r="B21" s="41" t="s">
        <v>183</v>
      </c>
      <c r="C21" s="62">
        <v>4.5</v>
      </c>
      <c r="D21" s="62">
        <v>5.5</v>
      </c>
      <c r="E21" s="62">
        <v>1.2</v>
      </c>
      <c r="G21" s="62"/>
      <c r="H21" s="62"/>
      <c r="I21" s="62"/>
      <c r="J21" s="62"/>
      <c r="L21" s="41"/>
      <c r="M21" s="14"/>
    </row>
    <row r="22" spans="2:17" x14ac:dyDescent="0.35">
      <c r="B22" s="41" t="s">
        <v>183</v>
      </c>
      <c r="C22" s="62">
        <v>6.5</v>
      </c>
      <c r="D22" s="62">
        <v>7.5</v>
      </c>
      <c r="E22" s="62">
        <v>1.2</v>
      </c>
      <c r="G22" s="62"/>
      <c r="H22" s="62"/>
      <c r="I22" s="62"/>
      <c r="J22" s="62"/>
      <c r="L22" s="41"/>
      <c r="M22" s="14"/>
    </row>
    <row r="23" spans="2:17" x14ac:dyDescent="0.35">
      <c r="B23" s="41"/>
      <c r="C23" s="62"/>
      <c r="D23" s="62"/>
      <c r="E23" s="62"/>
      <c r="G23" s="62"/>
      <c r="H23" s="62"/>
      <c r="I23" s="62"/>
      <c r="J23" s="62"/>
      <c r="L23" s="41"/>
      <c r="M23" s="14"/>
    </row>
    <row r="24" spans="2:17" x14ac:dyDescent="0.35">
      <c r="B24" s="86"/>
      <c r="C24" s="62"/>
      <c r="D24" s="62"/>
      <c r="E24" s="62"/>
      <c r="G24" s="62"/>
      <c r="H24" s="62"/>
      <c r="I24" s="62"/>
      <c r="J24" s="62"/>
      <c r="L24" s="41"/>
      <c r="M24" s="14"/>
    </row>
    <row r="25" spans="2:17" x14ac:dyDescent="0.35">
      <c r="B25" s="86"/>
      <c r="C25" s="62"/>
      <c r="D25" s="62"/>
      <c r="E25" s="62"/>
      <c r="G25" s="62"/>
      <c r="H25" s="62"/>
      <c r="I25" s="62"/>
      <c r="J25" s="62"/>
      <c r="L25" s="41"/>
      <c r="M25" s="14"/>
    </row>
    <row r="26" spans="2:17" x14ac:dyDescent="0.35">
      <c r="B26" s="86"/>
      <c r="C26" s="62"/>
      <c r="D26" s="62"/>
      <c r="E26" s="62"/>
      <c r="G26" s="62"/>
      <c r="H26" s="62"/>
      <c r="I26" s="62"/>
      <c r="J26" s="62"/>
      <c r="L26" s="41"/>
      <c r="M26" s="14"/>
    </row>
    <row r="27" spans="2:17" x14ac:dyDescent="0.35">
      <c r="B27" s="86"/>
      <c r="C27" s="62"/>
      <c r="D27" s="62"/>
      <c r="E27" s="62"/>
      <c r="G27" s="62"/>
      <c r="H27" s="62"/>
      <c r="I27" s="62"/>
      <c r="J27" s="62"/>
      <c r="L27" s="41"/>
      <c r="M27" s="14"/>
    </row>
    <row r="28" spans="2:17" x14ac:dyDescent="0.35">
      <c r="B28" s="86"/>
      <c r="C28" s="62"/>
      <c r="D28" s="62"/>
      <c r="E28" s="62"/>
      <c r="G28" s="62"/>
      <c r="H28" s="62"/>
      <c r="I28" s="62"/>
      <c r="J28" s="62"/>
      <c r="L28" s="22"/>
      <c r="M28" s="14"/>
    </row>
    <row r="29" spans="2:17" x14ac:dyDescent="0.35">
      <c r="B29" s="86"/>
      <c r="C29" s="62"/>
      <c r="D29" s="62"/>
      <c r="E29" s="62"/>
      <c r="G29" s="62"/>
      <c r="H29" s="62"/>
      <c r="I29" s="62"/>
      <c r="J29" s="62"/>
      <c r="L29" s="22"/>
      <c r="M29" s="14"/>
    </row>
    <row r="30" spans="2:17" x14ac:dyDescent="0.35">
      <c r="B30" s="86"/>
      <c r="C30" s="62"/>
      <c r="D30" s="62"/>
      <c r="E30" s="62"/>
      <c r="G30" s="62"/>
      <c r="H30" s="62"/>
      <c r="I30" s="62"/>
      <c r="J30" s="62"/>
      <c r="L30" s="22"/>
      <c r="M30" s="14"/>
    </row>
    <row r="31" spans="2:17" x14ac:dyDescent="0.35">
      <c r="B31" s="62"/>
      <c r="C31" s="62"/>
      <c r="D31" s="62"/>
      <c r="E31" s="62"/>
      <c r="G31" s="62"/>
      <c r="H31" s="62"/>
      <c r="I31" s="62"/>
      <c r="J31" s="62"/>
      <c r="L31" s="22"/>
      <c r="M31" s="14"/>
    </row>
    <row r="32" spans="2:17" x14ac:dyDescent="0.35">
      <c r="B32" s="62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</sheetData>
  <mergeCells count="11">
    <mergeCell ref="V7:Z7"/>
    <mergeCell ref="F1:K1"/>
    <mergeCell ref="B7:F7"/>
    <mergeCell ref="G7:K7"/>
    <mergeCell ref="L7:P7"/>
    <mergeCell ref="Q7:U7"/>
    <mergeCell ref="A16:J16"/>
    <mergeCell ref="L16:M16"/>
    <mergeCell ref="B17:E17"/>
    <mergeCell ref="G17:J17"/>
    <mergeCell ref="M17:Q18"/>
  </mergeCells>
  <conditionalFormatting sqref="C3">
    <cfRule type="cellIs" dxfId="21" priority="1" operator="notEqual">
      <formula>MAX($E$9:$E$14)</formula>
    </cfRule>
  </conditionalFormatting>
  <dataValidations count="1">
    <dataValidation type="list" allowBlank="1" showInputMessage="1" showErrorMessage="1" sqref="K9:K14 U9:U14 Z9:Z14 F9:F14 P9:P14" xr:uid="{00000000-0002-0000-0300-000000000000}">
      <formula1>"green,red,yellow,blue,orange,cyan,black,white,magenta,pink"</formula1>
    </dataValidation>
  </dataValidations>
  <pageMargins left="0.7" right="0.7" top="0.75" bottom="0.75" header="0.3" footer="0.3"/>
  <pageSetup scale="4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78"/>
  <sheetViews>
    <sheetView topLeftCell="E1" workbookViewId="0">
      <selection activeCell="N12" sqref="N12"/>
    </sheetView>
  </sheetViews>
  <sheetFormatPr defaultColWidth="9.1796875" defaultRowHeight="14.5" x14ac:dyDescent="0.35"/>
  <cols>
    <col min="1" max="2" width="8.453125" style="36" customWidth="1"/>
    <col min="3" max="3" width="14.17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3" t="s">
        <v>69</v>
      </c>
      <c r="G1" s="233"/>
      <c r="H1" s="233"/>
      <c r="I1" s="233"/>
      <c r="J1" s="233"/>
      <c r="K1" s="233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218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24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194</v>
      </c>
      <c r="N6" s="34" t="s">
        <v>137</v>
      </c>
    </row>
    <row r="7" spans="1:26" ht="15" thickBot="1" x14ac:dyDescent="0.4">
      <c r="B7" s="237" t="s">
        <v>31</v>
      </c>
      <c r="C7" s="238"/>
      <c r="D7" s="238"/>
      <c r="E7" s="238"/>
      <c r="F7" s="240"/>
      <c r="G7" s="241" t="s">
        <v>35</v>
      </c>
      <c r="H7" s="238"/>
      <c r="I7" s="238"/>
      <c r="J7" s="238"/>
      <c r="K7" s="239"/>
      <c r="L7" s="237" t="s">
        <v>41</v>
      </c>
      <c r="M7" s="238"/>
      <c r="N7" s="238"/>
      <c r="O7" s="238"/>
      <c r="P7" s="239"/>
      <c r="Q7" s="237" t="s">
        <v>42</v>
      </c>
      <c r="R7" s="238"/>
      <c r="S7" s="238"/>
      <c r="T7" s="238"/>
      <c r="U7" s="239"/>
      <c r="V7" s="237" t="s">
        <v>43</v>
      </c>
      <c r="W7" s="238"/>
      <c r="X7" s="238"/>
      <c r="Y7" s="238"/>
      <c r="Z7" s="239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6</v>
      </c>
      <c r="D9" s="62">
        <v>0</v>
      </c>
      <c r="E9" s="62">
        <v>24</v>
      </c>
      <c r="F9" s="46" t="s">
        <v>180</v>
      </c>
      <c r="G9" s="41" t="s">
        <v>219</v>
      </c>
      <c r="H9" s="62">
        <v>7</v>
      </c>
      <c r="I9" s="62">
        <v>-70</v>
      </c>
      <c r="J9" s="62">
        <v>0</v>
      </c>
      <c r="K9" s="46" t="s">
        <v>195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6</v>
      </c>
      <c r="D10" s="62">
        <v>0</v>
      </c>
      <c r="E10" s="62">
        <v>24</v>
      </c>
      <c r="F10" s="46" t="s">
        <v>180</v>
      </c>
      <c r="G10" s="41" t="s">
        <v>220</v>
      </c>
      <c r="H10" s="62">
        <v>7</v>
      </c>
      <c r="I10" s="62">
        <v>-70</v>
      </c>
      <c r="J10" s="62">
        <v>0</v>
      </c>
      <c r="K10" s="46" t="s">
        <v>191</v>
      </c>
      <c r="L10" s="41"/>
      <c r="M10" s="62"/>
      <c r="N10" s="62"/>
      <c r="O10" s="62"/>
      <c r="P10" s="46"/>
      <c r="Q10" s="41"/>
      <c r="R10" s="62"/>
      <c r="S10" s="62"/>
      <c r="T10" s="62"/>
      <c r="U10" s="46"/>
      <c r="V10" s="41"/>
      <c r="W10" s="62"/>
      <c r="X10" s="62"/>
      <c r="Y10" s="62"/>
      <c r="Z10" s="18"/>
    </row>
    <row r="11" spans="1:26" x14ac:dyDescent="0.35">
      <c r="A11" s="45">
        <v>1</v>
      </c>
      <c r="B11" s="60" t="s">
        <v>31</v>
      </c>
      <c r="C11" s="62">
        <v>6</v>
      </c>
      <c r="D11" s="62">
        <v>0</v>
      </c>
      <c r="E11" s="62">
        <v>24</v>
      </c>
      <c r="F11" s="46" t="s">
        <v>180</v>
      </c>
      <c r="G11" s="41" t="s">
        <v>211</v>
      </c>
      <c r="H11" s="62">
        <v>7</v>
      </c>
      <c r="I11" s="62">
        <v>-70</v>
      </c>
      <c r="J11" s="62">
        <v>0</v>
      </c>
      <c r="K11" s="46" t="s">
        <v>185</v>
      </c>
      <c r="L11" s="41" t="s">
        <v>210</v>
      </c>
      <c r="M11" s="62">
        <v>7</v>
      </c>
      <c r="N11" s="62">
        <v>-70</v>
      </c>
      <c r="O11" s="62">
        <v>0</v>
      </c>
      <c r="P11" s="46" t="s">
        <v>188</v>
      </c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>
        <v>1</v>
      </c>
      <c r="B12" s="60" t="s">
        <v>31</v>
      </c>
      <c r="C12" s="62">
        <v>6</v>
      </c>
      <c r="D12" s="62">
        <v>0</v>
      </c>
      <c r="E12" s="62">
        <v>24</v>
      </c>
      <c r="F12" s="46" t="s">
        <v>180</v>
      </c>
      <c r="G12" s="41" t="s">
        <v>221</v>
      </c>
      <c r="H12" s="62">
        <v>5</v>
      </c>
      <c r="I12" s="62">
        <v>-60</v>
      </c>
      <c r="J12" s="62">
        <v>0</v>
      </c>
      <c r="K12" s="46" t="s">
        <v>191</v>
      </c>
      <c r="L12" s="41" t="s">
        <v>236</v>
      </c>
      <c r="M12" s="62">
        <v>5</v>
      </c>
      <c r="N12" s="62">
        <v>-2</v>
      </c>
      <c r="O12" s="62">
        <v>0</v>
      </c>
      <c r="P12" s="46" t="s">
        <v>180</v>
      </c>
      <c r="Q12" s="41"/>
      <c r="R12" s="62"/>
      <c r="S12" s="62"/>
      <c r="T12" s="62"/>
      <c r="U12" s="46"/>
      <c r="V12" s="41"/>
      <c r="W12" s="62"/>
      <c r="X12" s="62"/>
      <c r="Y12" s="62"/>
      <c r="Z12" s="18"/>
    </row>
    <row r="13" spans="1:26" x14ac:dyDescent="0.35">
      <c r="A13" s="45">
        <v>1</v>
      </c>
      <c r="B13" s="60" t="s">
        <v>31</v>
      </c>
      <c r="C13" s="62">
        <v>6</v>
      </c>
      <c r="D13" s="62">
        <v>0</v>
      </c>
      <c r="E13" s="62">
        <v>24</v>
      </c>
      <c r="F13" s="46" t="s">
        <v>180</v>
      </c>
      <c r="G13" s="41" t="s">
        <v>222</v>
      </c>
      <c r="H13" s="62">
        <v>3</v>
      </c>
      <c r="I13" s="62">
        <v>0</v>
      </c>
      <c r="J13" s="62">
        <v>30</v>
      </c>
      <c r="K13" s="46" t="s">
        <v>197</v>
      </c>
      <c r="L13" s="41" t="s">
        <v>223</v>
      </c>
      <c r="M13" s="62">
        <v>3</v>
      </c>
      <c r="N13" s="62">
        <v>0</v>
      </c>
      <c r="O13" s="62">
        <v>30</v>
      </c>
      <c r="P13" s="46" t="s">
        <v>185</v>
      </c>
      <c r="Q13" s="41" t="s">
        <v>224</v>
      </c>
      <c r="R13" s="62">
        <v>3</v>
      </c>
      <c r="S13" s="62">
        <v>0</v>
      </c>
      <c r="T13" s="62">
        <v>30</v>
      </c>
      <c r="U13" s="46" t="s">
        <v>188</v>
      </c>
      <c r="V13" s="41" t="s">
        <v>231</v>
      </c>
      <c r="W13" s="62">
        <v>3</v>
      </c>
      <c r="X13" s="62">
        <v>-10</v>
      </c>
      <c r="Y13" s="62">
        <v>0</v>
      </c>
      <c r="Z13" s="46" t="s">
        <v>188</v>
      </c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86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6" spans="1:26" x14ac:dyDescent="0.35">
      <c r="A16" s="233" t="s">
        <v>64</v>
      </c>
      <c r="B16" s="233"/>
      <c r="C16" s="233"/>
      <c r="D16" s="233"/>
      <c r="E16" s="233"/>
      <c r="F16" s="233"/>
      <c r="G16" s="233"/>
      <c r="H16" s="233"/>
      <c r="I16" s="233"/>
      <c r="J16" s="233"/>
      <c r="L16" s="233" t="s">
        <v>65</v>
      </c>
      <c r="M16" s="233"/>
    </row>
    <row r="17" spans="2:17" ht="15" customHeight="1" x14ac:dyDescent="0.35">
      <c r="B17" s="199" t="s">
        <v>37</v>
      </c>
      <c r="C17" s="197"/>
      <c r="D17" s="197"/>
      <c r="E17" s="198"/>
      <c r="G17" s="234" t="s">
        <v>68</v>
      </c>
      <c r="H17" s="234"/>
      <c r="I17" s="234"/>
      <c r="J17" s="234"/>
      <c r="L17" s="41" t="s">
        <v>92</v>
      </c>
      <c r="M17" s="235" t="s">
        <v>66</v>
      </c>
      <c r="N17" s="236"/>
      <c r="O17" s="236"/>
      <c r="P17" s="236"/>
      <c r="Q17" s="236"/>
    </row>
    <row r="18" spans="2:17" x14ac:dyDescent="0.35">
      <c r="B18" s="63" t="s">
        <v>38</v>
      </c>
      <c r="C18" s="63" t="s">
        <v>28</v>
      </c>
      <c r="D18" s="63" t="s">
        <v>29</v>
      </c>
      <c r="E18" s="63" t="s">
        <v>39</v>
      </c>
      <c r="G18" s="63" t="s">
        <v>38</v>
      </c>
      <c r="H18" s="63" t="s">
        <v>28</v>
      </c>
      <c r="I18" s="63" t="s">
        <v>29</v>
      </c>
      <c r="J18" s="63" t="s">
        <v>67</v>
      </c>
      <c r="L18" s="41"/>
      <c r="M18" s="235"/>
      <c r="N18" s="236"/>
      <c r="O18" s="236"/>
      <c r="P18" s="236"/>
      <c r="Q18" s="236"/>
    </row>
    <row r="19" spans="2:17" x14ac:dyDescent="0.35">
      <c r="B19" s="41" t="s">
        <v>168</v>
      </c>
      <c r="C19" s="62">
        <v>0.5</v>
      </c>
      <c r="D19" s="62">
        <v>1.5</v>
      </c>
      <c r="E19" s="62">
        <v>1.2</v>
      </c>
      <c r="G19" s="62"/>
      <c r="H19" s="62"/>
      <c r="I19" s="62"/>
      <c r="J19" s="62"/>
      <c r="L19" s="41"/>
      <c r="M19" s="14"/>
    </row>
    <row r="20" spans="2:17" x14ac:dyDescent="0.35">
      <c r="B20" s="41" t="s">
        <v>168</v>
      </c>
      <c r="C20" s="62">
        <v>2.5</v>
      </c>
      <c r="D20" s="62">
        <v>3.5</v>
      </c>
      <c r="E20" s="62">
        <v>1.2</v>
      </c>
      <c r="G20" s="62"/>
      <c r="H20" s="62"/>
      <c r="I20" s="62"/>
      <c r="J20" s="62"/>
      <c r="L20" s="41"/>
      <c r="M20" s="14"/>
    </row>
    <row r="21" spans="2:17" x14ac:dyDescent="0.35">
      <c r="B21" s="41" t="s">
        <v>168</v>
      </c>
      <c r="C21" s="62">
        <v>4.5</v>
      </c>
      <c r="D21" s="62">
        <v>5.5</v>
      </c>
      <c r="E21" s="62">
        <v>1.2</v>
      </c>
      <c r="G21" s="62"/>
      <c r="H21" s="62"/>
      <c r="I21" s="62"/>
      <c r="J21" s="62"/>
      <c r="L21" s="41"/>
      <c r="M21" s="14"/>
    </row>
    <row r="22" spans="2:17" x14ac:dyDescent="0.35">
      <c r="B22" s="41" t="s">
        <v>168</v>
      </c>
      <c r="C22" s="62">
        <v>6.5</v>
      </c>
      <c r="D22" s="62">
        <v>7.5</v>
      </c>
      <c r="E22" s="62">
        <v>1.2</v>
      </c>
      <c r="G22" s="62"/>
      <c r="H22" s="62"/>
      <c r="I22" s="62"/>
      <c r="J22" s="62"/>
      <c r="L22" s="41"/>
      <c r="M22" s="14"/>
    </row>
    <row r="23" spans="2:17" x14ac:dyDescent="0.35">
      <c r="B23" s="41"/>
      <c r="C23" s="62"/>
      <c r="D23" s="62"/>
      <c r="E23" s="62"/>
      <c r="G23" s="62"/>
      <c r="H23" s="62"/>
      <c r="I23" s="62"/>
      <c r="J23" s="62"/>
      <c r="L23" s="41"/>
      <c r="M23" s="14"/>
    </row>
    <row r="24" spans="2:17" x14ac:dyDescent="0.35">
      <c r="B24" s="86"/>
      <c r="C24" s="62"/>
      <c r="D24" s="62"/>
      <c r="E24" s="62"/>
      <c r="G24" s="62"/>
      <c r="H24" s="62"/>
      <c r="I24" s="62"/>
      <c r="J24" s="62"/>
      <c r="L24" s="41"/>
      <c r="M24" s="14"/>
    </row>
    <row r="25" spans="2:17" x14ac:dyDescent="0.35">
      <c r="B25" s="86"/>
      <c r="C25" s="62"/>
      <c r="D25" s="62"/>
      <c r="E25" s="62"/>
      <c r="G25" s="62"/>
      <c r="H25" s="62"/>
      <c r="I25" s="62"/>
      <c r="J25" s="62"/>
      <c r="L25" s="41"/>
      <c r="M25" s="14"/>
    </row>
    <row r="26" spans="2:17" x14ac:dyDescent="0.35">
      <c r="B26" s="86"/>
      <c r="C26" s="62"/>
      <c r="D26" s="62"/>
      <c r="E26" s="62"/>
      <c r="G26" s="62"/>
      <c r="H26" s="62"/>
      <c r="I26" s="62"/>
      <c r="J26" s="62"/>
      <c r="L26" s="41"/>
      <c r="M26" s="14"/>
    </row>
    <row r="27" spans="2:17" x14ac:dyDescent="0.35">
      <c r="B27" s="86"/>
      <c r="C27" s="62"/>
      <c r="D27" s="62"/>
      <c r="E27" s="62"/>
      <c r="G27" s="62"/>
      <c r="H27" s="62"/>
      <c r="I27" s="62"/>
      <c r="J27" s="62"/>
      <c r="L27" s="41"/>
      <c r="M27" s="14"/>
    </row>
    <row r="28" spans="2:17" x14ac:dyDescent="0.35">
      <c r="B28" s="86"/>
      <c r="C28" s="62"/>
      <c r="D28" s="62"/>
      <c r="E28" s="62"/>
      <c r="G28" s="62"/>
      <c r="H28" s="62"/>
      <c r="I28" s="62"/>
      <c r="J28" s="62"/>
      <c r="L28" s="22"/>
      <c r="M28" s="14"/>
    </row>
    <row r="29" spans="2:17" x14ac:dyDescent="0.35">
      <c r="B29" s="86"/>
      <c r="C29" s="62"/>
      <c r="D29" s="62"/>
      <c r="E29" s="62"/>
      <c r="G29" s="62"/>
      <c r="H29" s="62"/>
      <c r="I29" s="62"/>
      <c r="J29" s="62"/>
      <c r="L29" s="22"/>
      <c r="M29" s="14"/>
    </row>
    <row r="30" spans="2:17" x14ac:dyDescent="0.35">
      <c r="B30" s="86"/>
      <c r="C30" s="62"/>
      <c r="D30" s="62"/>
      <c r="E30" s="62"/>
      <c r="G30" s="62"/>
      <c r="H30" s="62"/>
      <c r="I30" s="62"/>
      <c r="J30" s="62"/>
      <c r="L30" s="22"/>
      <c r="M30" s="14"/>
    </row>
    <row r="31" spans="2:17" x14ac:dyDescent="0.35">
      <c r="B31" s="62"/>
      <c r="C31" s="62"/>
      <c r="D31" s="62"/>
      <c r="E31" s="62"/>
      <c r="G31" s="62"/>
      <c r="H31" s="62"/>
      <c r="I31" s="62"/>
      <c r="J31" s="62"/>
      <c r="L31" s="22"/>
      <c r="M31" s="14"/>
    </row>
    <row r="32" spans="2:17" x14ac:dyDescent="0.35">
      <c r="B32" s="62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</sheetData>
  <mergeCells count="11">
    <mergeCell ref="V7:Z7"/>
    <mergeCell ref="F1:K1"/>
    <mergeCell ref="B7:F7"/>
    <mergeCell ref="G7:K7"/>
    <mergeCell ref="L7:P7"/>
    <mergeCell ref="Q7:U7"/>
    <mergeCell ref="A16:J16"/>
    <mergeCell ref="L16:M16"/>
    <mergeCell ref="B17:E17"/>
    <mergeCell ref="G17:J17"/>
    <mergeCell ref="M17:Q18"/>
  </mergeCells>
  <conditionalFormatting sqref="C3">
    <cfRule type="cellIs" dxfId="20" priority="1" operator="notEqual">
      <formula>MAX($E$9:$E$14)</formula>
    </cfRule>
  </conditionalFormatting>
  <dataValidations count="1">
    <dataValidation type="list" allowBlank="1" showInputMessage="1" showErrorMessage="1" sqref="Z9:Z14 K9:K14 U9:U14 F9:F14 P9:P14" xr:uid="{00000000-0002-0000-0400-000000000000}">
      <formula1>"green,red,yellow,blue,orange,cyan,black,white,magenta,pink"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78"/>
  <sheetViews>
    <sheetView topLeftCell="A8" workbookViewId="0">
      <selection activeCell="B19" sqref="B19:E19"/>
    </sheetView>
  </sheetViews>
  <sheetFormatPr defaultColWidth="9.1796875" defaultRowHeight="14.5" x14ac:dyDescent="0.35"/>
  <cols>
    <col min="1" max="2" width="8.453125" style="36" customWidth="1"/>
    <col min="3" max="3" width="14.17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9.26953125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22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3" t="s">
        <v>69</v>
      </c>
      <c r="G1" s="233"/>
      <c r="H1" s="233"/>
      <c r="I1" s="233"/>
      <c r="J1" s="233"/>
      <c r="K1" s="233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234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60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194</v>
      </c>
      <c r="N6" s="34" t="s">
        <v>137</v>
      </c>
    </row>
    <row r="7" spans="1:26" ht="15" thickBot="1" x14ac:dyDescent="0.4">
      <c r="B7" s="237" t="s">
        <v>31</v>
      </c>
      <c r="C7" s="238"/>
      <c r="D7" s="238"/>
      <c r="E7" s="238"/>
      <c r="F7" s="240"/>
      <c r="G7" s="241" t="s">
        <v>35</v>
      </c>
      <c r="H7" s="238"/>
      <c r="I7" s="238"/>
      <c r="J7" s="238"/>
      <c r="K7" s="239"/>
      <c r="L7" s="237" t="s">
        <v>41</v>
      </c>
      <c r="M7" s="238"/>
      <c r="N7" s="238"/>
      <c r="O7" s="238"/>
      <c r="P7" s="239"/>
      <c r="Q7" s="237" t="s">
        <v>42</v>
      </c>
      <c r="R7" s="238"/>
      <c r="S7" s="238"/>
      <c r="T7" s="238"/>
      <c r="U7" s="239"/>
      <c r="V7" s="237" t="s">
        <v>43</v>
      </c>
      <c r="W7" s="238"/>
      <c r="X7" s="238"/>
      <c r="Y7" s="238"/>
      <c r="Z7" s="239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6</v>
      </c>
      <c r="D9" s="62">
        <v>0</v>
      </c>
      <c r="E9" s="62">
        <v>60</v>
      </c>
      <c r="F9" s="46" t="s">
        <v>180</v>
      </c>
      <c r="G9" s="41" t="s">
        <v>186</v>
      </c>
      <c r="H9" s="62">
        <v>5</v>
      </c>
      <c r="I9" s="62">
        <v>-70</v>
      </c>
      <c r="J9" s="62">
        <v>-20</v>
      </c>
      <c r="K9" s="46" t="s">
        <v>195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6</v>
      </c>
      <c r="D10" s="62">
        <v>0</v>
      </c>
      <c r="E10" s="62">
        <v>60</v>
      </c>
      <c r="F10" s="46" t="s">
        <v>180</v>
      </c>
      <c r="G10" s="41" t="s">
        <v>184</v>
      </c>
      <c r="H10" s="62">
        <v>7</v>
      </c>
      <c r="I10" s="62">
        <v>-70</v>
      </c>
      <c r="J10" s="62">
        <v>0</v>
      </c>
      <c r="K10" s="46" t="s">
        <v>191</v>
      </c>
      <c r="L10" s="41" t="s">
        <v>203</v>
      </c>
      <c r="M10" s="62">
        <v>7</v>
      </c>
      <c r="N10" s="62">
        <v>-70</v>
      </c>
      <c r="O10" s="62">
        <v>0</v>
      </c>
      <c r="P10" s="46" t="s">
        <v>188</v>
      </c>
      <c r="Q10" s="41"/>
      <c r="R10" s="62"/>
      <c r="S10" s="62"/>
      <c r="T10" s="62"/>
      <c r="U10" s="46"/>
      <c r="V10" s="41"/>
      <c r="W10" s="62"/>
      <c r="X10" s="62"/>
      <c r="Y10" s="62"/>
      <c r="Z10" s="18"/>
    </row>
    <row r="11" spans="1:26" x14ac:dyDescent="0.35">
      <c r="A11" s="45">
        <v>1</v>
      </c>
      <c r="B11" s="60" t="s">
        <v>31</v>
      </c>
      <c r="C11" s="62">
        <v>6</v>
      </c>
      <c r="D11" s="62">
        <v>0</v>
      </c>
      <c r="E11" s="62">
        <v>60</v>
      </c>
      <c r="F11" s="46" t="s">
        <v>180</v>
      </c>
      <c r="G11" s="41" t="s">
        <v>204</v>
      </c>
      <c r="H11" s="62">
        <v>5</v>
      </c>
      <c r="I11" s="62">
        <v>-70</v>
      </c>
      <c r="J11" s="62">
        <v>-20</v>
      </c>
      <c r="K11" s="46" t="s">
        <v>185</v>
      </c>
      <c r="L11" s="41"/>
      <c r="M11" s="62"/>
      <c r="N11" s="62"/>
      <c r="O11" s="62"/>
      <c r="P11" s="46"/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>
        <v>1</v>
      </c>
      <c r="B12" s="60" t="s">
        <v>31</v>
      </c>
      <c r="C12" s="62">
        <v>6</v>
      </c>
      <c r="D12" s="62">
        <v>0</v>
      </c>
      <c r="E12" s="62">
        <v>60</v>
      </c>
      <c r="F12" s="46" t="s">
        <v>180</v>
      </c>
      <c r="G12" s="41" t="s">
        <v>190</v>
      </c>
      <c r="H12" s="62">
        <v>5</v>
      </c>
      <c r="I12" s="62">
        <v>-200</v>
      </c>
      <c r="J12" s="62">
        <v>0</v>
      </c>
      <c r="K12" s="46" t="s">
        <v>191</v>
      </c>
      <c r="L12" s="41" t="s">
        <v>235</v>
      </c>
      <c r="M12" s="62">
        <v>5</v>
      </c>
      <c r="N12" s="62">
        <v>-2</v>
      </c>
      <c r="O12" s="62">
        <v>0</v>
      </c>
      <c r="P12" s="46" t="s">
        <v>180</v>
      </c>
      <c r="Q12" s="41"/>
      <c r="R12" s="62"/>
      <c r="S12" s="62"/>
      <c r="T12" s="62"/>
      <c r="U12" s="46"/>
      <c r="V12" s="41"/>
      <c r="W12" s="62"/>
      <c r="X12" s="62"/>
      <c r="Y12" s="62"/>
      <c r="Z12" s="18"/>
    </row>
    <row r="13" spans="1:26" x14ac:dyDescent="0.35">
      <c r="A13" s="45">
        <v>1</v>
      </c>
      <c r="B13" s="60" t="s">
        <v>31</v>
      </c>
      <c r="C13" s="62">
        <v>6</v>
      </c>
      <c r="D13" s="62">
        <v>0</v>
      </c>
      <c r="E13" s="62">
        <v>60</v>
      </c>
      <c r="F13" s="46" t="s">
        <v>180</v>
      </c>
      <c r="G13" s="41" t="s">
        <v>205</v>
      </c>
      <c r="H13" s="62">
        <v>4</v>
      </c>
      <c r="I13" s="62">
        <v>-20</v>
      </c>
      <c r="J13" s="62">
        <v>0</v>
      </c>
      <c r="K13" s="46" t="s">
        <v>195</v>
      </c>
      <c r="L13" s="41" t="s">
        <v>206</v>
      </c>
      <c r="M13" s="62">
        <v>4</v>
      </c>
      <c r="N13" s="62">
        <v>0</v>
      </c>
      <c r="O13" s="62">
        <v>40</v>
      </c>
      <c r="P13" s="46" t="s">
        <v>197</v>
      </c>
      <c r="Q13" s="41" t="s">
        <v>207</v>
      </c>
      <c r="R13" s="62">
        <v>4</v>
      </c>
      <c r="S13" s="62">
        <v>0</v>
      </c>
      <c r="T13" s="62">
        <v>12</v>
      </c>
      <c r="U13" s="46" t="s">
        <v>156</v>
      </c>
      <c r="V13" s="41"/>
      <c r="W13" s="62"/>
      <c r="X13" s="62"/>
      <c r="Y13" s="62"/>
      <c r="Z13" s="46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86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6" spans="1:26" x14ac:dyDescent="0.35">
      <c r="A16" s="233" t="s">
        <v>64</v>
      </c>
      <c r="B16" s="233"/>
      <c r="C16" s="233"/>
      <c r="D16" s="233"/>
      <c r="E16" s="233"/>
      <c r="F16" s="233"/>
      <c r="G16" s="233"/>
      <c r="H16" s="233"/>
      <c r="I16" s="233"/>
      <c r="J16" s="233"/>
      <c r="L16" s="233" t="s">
        <v>65</v>
      </c>
      <c r="M16" s="233"/>
    </row>
    <row r="17" spans="2:17" ht="15" customHeight="1" x14ac:dyDescent="0.35">
      <c r="B17" s="199" t="s">
        <v>37</v>
      </c>
      <c r="C17" s="197"/>
      <c r="D17" s="197"/>
      <c r="E17" s="198"/>
      <c r="G17" s="234" t="s">
        <v>68</v>
      </c>
      <c r="H17" s="234"/>
      <c r="I17" s="234"/>
      <c r="J17" s="234"/>
      <c r="L17" s="41" t="s">
        <v>92</v>
      </c>
      <c r="M17" s="235" t="s">
        <v>66</v>
      </c>
      <c r="N17" s="236"/>
      <c r="O17" s="236"/>
      <c r="P17" s="236"/>
      <c r="Q17" s="236"/>
    </row>
    <row r="18" spans="2:17" x14ac:dyDescent="0.35">
      <c r="B18" s="63" t="s">
        <v>38</v>
      </c>
      <c r="C18" s="63" t="s">
        <v>28</v>
      </c>
      <c r="D18" s="63" t="s">
        <v>29</v>
      </c>
      <c r="E18" s="63" t="s">
        <v>39</v>
      </c>
      <c r="G18" s="63" t="s">
        <v>38</v>
      </c>
      <c r="H18" s="63" t="s">
        <v>28</v>
      </c>
      <c r="I18" s="63" t="s">
        <v>29</v>
      </c>
      <c r="J18" s="63" t="s">
        <v>67</v>
      </c>
      <c r="L18" s="41"/>
      <c r="M18" s="235"/>
      <c r="N18" s="236"/>
      <c r="O18" s="236"/>
      <c r="P18" s="236"/>
      <c r="Q18" s="236"/>
    </row>
    <row r="19" spans="2:17" x14ac:dyDescent="0.35">
      <c r="B19" s="41" t="s">
        <v>183</v>
      </c>
      <c r="C19" s="62">
        <v>1</v>
      </c>
      <c r="D19" s="62">
        <v>60</v>
      </c>
      <c r="E19" s="62">
        <v>1.2</v>
      </c>
      <c r="G19" s="62"/>
      <c r="H19" s="62"/>
      <c r="I19" s="62"/>
      <c r="J19" s="62"/>
      <c r="L19" s="41"/>
      <c r="M19" s="14"/>
    </row>
    <row r="20" spans="2:17" x14ac:dyDescent="0.35">
      <c r="B20" s="41"/>
      <c r="C20" s="62"/>
      <c r="D20" s="62"/>
      <c r="E20" s="62"/>
      <c r="G20" s="62"/>
      <c r="H20" s="62"/>
      <c r="I20" s="62"/>
      <c r="J20" s="62"/>
      <c r="L20" s="41"/>
      <c r="M20" s="14"/>
    </row>
    <row r="21" spans="2:17" x14ac:dyDescent="0.35">
      <c r="B21" s="41"/>
      <c r="C21" s="62"/>
      <c r="D21" s="62"/>
      <c r="E21" s="62"/>
      <c r="G21" s="62"/>
      <c r="H21" s="62"/>
      <c r="I21" s="62"/>
      <c r="J21" s="62"/>
      <c r="L21" s="41"/>
      <c r="M21" s="14"/>
    </row>
    <row r="22" spans="2:17" x14ac:dyDescent="0.35">
      <c r="B22" s="41"/>
      <c r="C22" s="62"/>
      <c r="D22" s="62"/>
      <c r="E22" s="62"/>
      <c r="G22" s="62"/>
      <c r="H22" s="62"/>
      <c r="I22" s="62"/>
      <c r="J22" s="62"/>
      <c r="L22" s="41"/>
      <c r="M22" s="14"/>
    </row>
    <row r="23" spans="2:17" x14ac:dyDescent="0.35">
      <c r="B23" s="41"/>
      <c r="C23" s="62"/>
      <c r="D23" s="62"/>
      <c r="E23" s="62"/>
      <c r="G23" s="62"/>
      <c r="H23" s="62"/>
      <c r="I23" s="62"/>
      <c r="J23" s="62"/>
      <c r="L23" s="41"/>
      <c r="M23" s="14"/>
    </row>
    <row r="24" spans="2:17" x14ac:dyDescent="0.35">
      <c r="B24" s="86"/>
      <c r="C24" s="62"/>
      <c r="D24" s="62"/>
      <c r="E24" s="62"/>
      <c r="G24" s="62"/>
      <c r="H24" s="62"/>
      <c r="I24" s="62"/>
      <c r="J24" s="62"/>
      <c r="L24" s="41"/>
      <c r="M24" s="14"/>
    </row>
    <row r="25" spans="2:17" x14ac:dyDescent="0.35">
      <c r="B25" s="86"/>
      <c r="C25" s="62"/>
      <c r="D25" s="62"/>
      <c r="E25" s="62"/>
      <c r="G25" s="62"/>
      <c r="H25" s="62"/>
      <c r="I25" s="62"/>
      <c r="J25" s="62"/>
      <c r="L25" s="41"/>
      <c r="M25" s="14"/>
    </row>
    <row r="26" spans="2:17" x14ac:dyDescent="0.35">
      <c r="B26" s="86"/>
      <c r="C26" s="62"/>
      <c r="D26" s="62"/>
      <c r="E26" s="62"/>
      <c r="G26" s="62"/>
      <c r="H26" s="62"/>
      <c r="I26" s="62"/>
      <c r="J26" s="62"/>
      <c r="L26" s="41"/>
      <c r="M26" s="14"/>
    </row>
    <row r="27" spans="2:17" x14ac:dyDescent="0.35">
      <c r="B27" s="86"/>
      <c r="C27" s="62"/>
      <c r="D27" s="62"/>
      <c r="E27" s="62"/>
      <c r="G27" s="62"/>
      <c r="H27" s="62"/>
      <c r="I27" s="62"/>
      <c r="J27" s="62"/>
      <c r="L27" s="41"/>
      <c r="M27" s="14"/>
    </row>
    <row r="28" spans="2:17" x14ac:dyDescent="0.35">
      <c r="B28" s="86"/>
      <c r="C28" s="62"/>
      <c r="D28" s="62"/>
      <c r="E28" s="62"/>
      <c r="G28" s="62"/>
      <c r="H28" s="62"/>
      <c r="I28" s="62"/>
      <c r="J28" s="62"/>
      <c r="L28" s="22"/>
      <c r="M28" s="14"/>
    </row>
    <row r="29" spans="2:17" x14ac:dyDescent="0.35">
      <c r="B29" s="86"/>
      <c r="C29" s="62"/>
      <c r="D29" s="62"/>
      <c r="E29" s="62"/>
      <c r="G29" s="62"/>
      <c r="H29" s="62"/>
      <c r="I29" s="62"/>
      <c r="J29" s="62"/>
      <c r="L29" s="22"/>
      <c r="M29" s="14"/>
    </row>
    <row r="30" spans="2:17" x14ac:dyDescent="0.35">
      <c r="B30" s="86"/>
      <c r="C30" s="62"/>
      <c r="D30" s="62"/>
      <c r="E30" s="62"/>
      <c r="G30" s="62"/>
      <c r="H30" s="62"/>
      <c r="I30" s="62"/>
      <c r="J30" s="62"/>
      <c r="L30" s="22"/>
      <c r="M30" s="14"/>
    </row>
    <row r="31" spans="2:17" x14ac:dyDescent="0.35">
      <c r="B31" s="62"/>
      <c r="C31" s="62"/>
      <c r="D31" s="62"/>
      <c r="E31" s="62"/>
      <c r="G31" s="62"/>
      <c r="H31" s="62"/>
      <c r="I31" s="62"/>
      <c r="J31" s="62"/>
      <c r="L31" s="22"/>
      <c r="M31" s="14"/>
    </row>
    <row r="32" spans="2:17" x14ac:dyDescent="0.35">
      <c r="B32" s="62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</sheetData>
  <mergeCells count="11">
    <mergeCell ref="V7:Z7"/>
    <mergeCell ref="F1:K1"/>
    <mergeCell ref="B7:F7"/>
    <mergeCell ref="G7:K7"/>
    <mergeCell ref="L7:P7"/>
    <mergeCell ref="Q7:U7"/>
    <mergeCell ref="A16:J16"/>
    <mergeCell ref="L16:M16"/>
    <mergeCell ref="B17:E17"/>
    <mergeCell ref="G17:J17"/>
    <mergeCell ref="M17:Q18"/>
  </mergeCells>
  <conditionalFormatting sqref="C3">
    <cfRule type="cellIs" dxfId="19" priority="1" operator="notEqual">
      <formula>MAX($E$9:$E$14)</formula>
    </cfRule>
  </conditionalFormatting>
  <dataValidations count="1">
    <dataValidation type="list" allowBlank="1" showInputMessage="1" showErrorMessage="1" sqref="U9:U14 K9:K14 Z9:Z14 F9:F14 P9:P14" xr:uid="{00000000-0002-0000-0500-000000000000}">
      <formula1>"green,red,yellow,blue,orange,cyan,black,white,magenta,pink"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8"/>
  <sheetViews>
    <sheetView workbookViewId="0">
      <selection activeCell="B20" sqref="B20"/>
    </sheetView>
  </sheetViews>
  <sheetFormatPr defaultColWidth="9.1796875" defaultRowHeight="14.5" x14ac:dyDescent="0.35"/>
  <cols>
    <col min="1" max="2" width="8.453125" style="36" customWidth="1"/>
    <col min="3" max="3" width="14.17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3" t="s">
        <v>69</v>
      </c>
      <c r="G1" s="233"/>
      <c r="H1" s="233"/>
      <c r="I1" s="233"/>
      <c r="J1" s="233"/>
      <c r="K1" s="233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233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100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194</v>
      </c>
      <c r="N6" s="34" t="s">
        <v>137</v>
      </c>
    </row>
    <row r="7" spans="1:26" ht="15" thickBot="1" x14ac:dyDescent="0.4">
      <c r="B7" s="237" t="s">
        <v>31</v>
      </c>
      <c r="C7" s="238"/>
      <c r="D7" s="238"/>
      <c r="E7" s="238"/>
      <c r="F7" s="240"/>
      <c r="G7" s="241" t="s">
        <v>35</v>
      </c>
      <c r="H7" s="238"/>
      <c r="I7" s="238"/>
      <c r="J7" s="238"/>
      <c r="K7" s="239"/>
      <c r="L7" s="237" t="s">
        <v>41</v>
      </c>
      <c r="M7" s="238"/>
      <c r="N7" s="238"/>
      <c r="O7" s="238"/>
      <c r="P7" s="239"/>
      <c r="Q7" s="237" t="s">
        <v>42</v>
      </c>
      <c r="R7" s="238"/>
      <c r="S7" s="238"/>
      <c r="T7" s="238"/>
      <c r="U7" s="239"/>
      <c r="V7" s="237" t="s">
        <v>43</v>
      </c>
      <c r="W7" s="238"/>
      <c r="X7" s="238"/>
      <c r="Y7" s="238"/>
      <c r="Z7" s="239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20</v>
      </c>
      <c r="D9" s="62">
        <v>0</v>
      </c>
      <c r="E9" s="62">
        <v>100</v>
      </c>
      <c r="F9" s="46" t="s">
        <v>180</v>
      </c>
      <c r="G9" s="41" t="s">
        <v>219</v>
      </c>
      <c r="H9" s="62">
        <v>7</v>
      </c>
      <c r="I9" s="62">
        <v>-70</v>
      </c>
      <c r="J9" s="62">
        <v>0</v>
      </c>
      <c r="K9" s="46" t="s">
        <v>195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20</v>
      </c>
      <c r="D10" s="62">
        <v>0</v>
      </c>
      <c r="E10" s="62">
        <v>100</v>
      </c>
      <c r="F10" s="46" t="s">
        <v>180</v>
      </c>
      <c r="G10" s="41" t="s">
        <v>220</v>
      </c>
      <c r="H10" s="62">
        <v>7</v>
      </c>
      <c r="I10" s="62">
        <v>-70</v>
      </c>
      <c r="J10" s="62">
        <v>0</v>
      </c>
      <c r="K10" s="46" t="s">
        <v>191</v>
      </c>
      <c r="L10" s="41"/>
      <c r="M10" s="62"/>
      <c r="N10" s="62"/>
      <c r="O10" s="62"/>
      <c r="P10" s="46"/>
      <c r="Q10" s="41"/>
      <c r="R10" s="62"/>
      <c r="S10" s="62"/>
      <c r="T10" s="62"/>
      <c r="U10" s="46"/>
      <c r="V10" s="41"/>
      <c r="W10" s="62"/>
      <c r="X10" s="62"/>
      <c r="Y10" s="62"/>
      <c r="Z10" s="18"/>
    </row>
    <row r="11" spans="1:26" x14ac:dyDescent="0.35">
      <c r="A11" s="45"/>
      <c r="B11" s="60"/>
      <c r="C11" s="62"/>
      <c r="D11" s="62"/>
      <c r="E11" s="62"/>
      <c r="F11" s="46"/>
      <c r="G11" s="41"/>
      <c r="H11" s="62"/>
      <c r="I11" s="62"/>
      <c r="J11" s="62"/>
      <c r="K11" s="46"/>
      <c r="L11" s="41"/>
      <c r="M11" s="62"/>
      <c r="N11" s="62"/>
      <c r="O11" s="62"/>
      <c r="P11" s="46"/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/>
      <c r="B12" s="60"/>
      <c r="C12" s="62"/>
      <c r="D12" s="62"/>
      <c r="E12" s="62"/>
      <c r="F12" s="46"/>
      <c r="G12" s="41"/>
      <c r="H12" s="62"/>
      <c r="I12" s="62"/>
      <c r="J12" s="62"/>
      <c r="K12" s="46"/>
      <c r="L12" s="41"/>
      <c r="M12" s="62"/>
      <c r="N12" s="62"/>
      <c r="O12" s="62"/>
      <c r="P12" s="46"/>
      <c r="Q12" s="41"/>
      <c r="R12" s="62"/>
      <c r="S12" s="62"/>
      <c r="T12" s="62"/>
      <c r="U12" s="46"/>
      <c r="V12" s="41"/>
      <c r="W12" s="62"/>
      <c r="X12" s="62"/>
      <c r="Y12" s="62"/>
      <c r="Z12" s="18"/>
    </row>
    <row r="13" spans="1:26" x14ac:dyDescent="0.35">
      <c r="A13" s="45"/>
      <c r="B13" s="60"/>
      <c r="C13" s="62"/>
      <c r="D13" s="62"/>
      <c r="E13" s="62"/>
      <c r="F13" s="46"/>
      <c r="G13" s="41"/>
      <c r="H13" s="62"/>
      <c r="I13" s="62"/>
      <c r="J13" s="62"/>
      <c r="K13" s="46"/>
      <c r="L13" s="41"/>
      <c r="M13" s="62"/>
      <c r="N13" s="62"/>
      <c r="O13" s="62"/>
      <c r="P13" s="46"/>
      <c r="Q13" s="41"/>
      <c r="R13" s="62"/>
      <c r="S13" s="62"/>
      <c r="T13" s="62"/>
      <c r="U13" s="46"/>
      <c r="V13" s="41"/>
      <c r="W13" s="62"/>
      <c r="X13" s="62"/>
      <c r="Y13" s="62"/>
      <c r="Z13" s="46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86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6" spans="1:26" x14ac:dyDescent="0.35">
      <c r="A16" s="233" t="s">
        <v>64</v>
      </c>
      <c r="B16" s="233"/>
      <c r="C16" s="233"/>
      <c r="D16" s="233"/>
      <c r="E16" s="233"/>
      <c r="F16" s="233"/>
      <c r="G16" s="233"/>
      <c r="H16" s="233"/>
      <c r="I16" s="233"/>
      <c r="J16" s="233"/>
      <c r="L16" s="233" t="s">
        <v>65</v>
      </c>
      <c r="M16" s="233"/>
    </row>
    <row r="17" spans="2:17" ht="15" customHeight="1" x14ac:dyDescent="0.35">
      <c r="B17" s="199" t="s">
        <v>37</v>
      </c>
      <c r="C17" s="197"/>
      <c r="D17" s="197"/>
      <c r="E17" s="198"/>
      <c r="G17" s="234" t="s">
        <v>68</v>
      </c>
      <c r="H17" s="234"/>
      <c r="I17" s="234"/>
      <c r="J17" s="234"/>
      <c r="L17" s="41" t="s">
        <v>92</v>
      </c>
      <c r="M17" s="235" t="s">
        <v>66</v>
      </c>
      <c r="N17" s="236"/>
      <c r="O17" s="236"/>
      <c r="P17" s="236"/>
      <c r="Q17" s="236"/>
    </row>
    <row r="18" spans="2:17" x14ac:dyDescent="0.35">
      <c r="B18" s="63" t="s">
        <v>38</v>
      </c>
      <c r="C18" s="63" t="s">
        <v>28</v>
      </c>
      <c r="D18" s="63" t="s">
        <v>29</v>
      </c>
      <c r="E18" s="63" t="s">
        <v>39</v>
      </c>
      <c r="G18" s="63" t="s">
        <v>38</v>
      </c>
      <c r="H18" s="63" t="s">
        <v>28</v>
      </c>
      <c r="I18" s="63" t="s">
        <v>29</v>
      </c>
      <c r="J18" s="63" t="s">
        <v>67</v>
      </c>
      <c r="L18" s="41"/>
      <c r="M18" s="235"/>
      <c r="N18" s="236"/>
      <c r="O18" s="236"/>
      <c r="P18" s="236"/>
      <c r="Q18" s="236"/>
    </row>
    <row r="19" spans="2:17" x14ac:dyDescent="0.35">
      <c r="B19" s="41" t="s">
        <v>168</v>
      </c>
      <c r="C19" s="62">
        <v>1</v>
      </c>
      <c r="D19" s="62">
        <v>99</v>
      </c>
      <c r="E19" s="62">
        <v>1</v>
      </c>
      <c r="G19" s="62"/>
      <c r="H19" s="62"/>
      <c r="I19" s="62"/>
      <c r="J19" s="62"/>
      <c r="L19" s="41"/>
      <c r="M19" s="14"/>
    </row>
    <row r="20" spans="2:17" x14ac:dyDescent="0.35">
      <c r="B20" s="41" t="s">
        <v>171</v>
      </c>
      <c r="C20" s="62">
        <v>1</v>
      </c>
      <c r="D20" s="62">
        <v>99</v>
      </c>
      <c r="E20" s="62">
        <v>1</v>
      </c>
      <c r="G20" s="62"/>
      <c r="H20" s="62"/>
      <c r="I20" s="62"/>
      <c r="J20" s="62"/>
      <c r="L20" s="41"/>
      <c r="M20" s="14"/>
    </row>
    <row r="21" spans="2:17" x14ac:dyDescent="0.35">
      <c r="B21" s="41"/>
      <c r="C21" s="62"/>
      <c r="D21" s="62"/>
      <c r="E21" s="62"/>
      <c r="G21" s="62"/>
      <c r="H21" s="62"/>
      <c r="I21" s="62"/>
      <c r="J21" s="62"/>
      <c r="L21" s="41"/>
      <c r="M21" s="14"/>
    </row>
    <row r="22" spans="2:17" x14ac:dyDescent="0.35">
      <c r="B22" s="41"/>
      <c r="C22" s="62"/>
      <c r="D22" s="62"/>
      <c r="E22" s="62"/>
      <c r="G22" s="62"/>
      <c r="H22" s="62"/>
      <c r="I22" s="62"/>
      <c r="J22" s="62"/>
      <c r="L22" s="41"/>
      <c r="M22" s="14"/>
    </row>
    <row r="23" spans="2:17" x14ac:dyDescent="0.35">
      <c r="B23" s="41"/>
      <c r="C23" s="62"/>
      <c r="D23" s="62"/>
      <c r="E23" s="62"/>
      <c r="G23" s="62"/>
      <c r="H23" s="62"/>
      <c r="I23" s="62"/>
      <c r="J23" s="62"/>
      <c r="L23" s="41"/>
      <c r="M23" s="14"/>
    </row>
    <row r="24" spans="2:17" x14ac:dyDescent="0.35">
      <c r="B24" s="86"/>
      <c r="C24" s="62"/>
      <c r="D24" s="62"/>
      <c r="E24" s="62"/>
      <c r="G24" s="62"/>
      <c r="H24" s="62"/>
      <c r="I24" s="62"/>
      <c r="J24" s="62"/>
      <c r="L24" s="41"/>
      <c r="M24" s="14"/>
    </row>
    <row r="25" spans="2:17" x14ac:dyDescent="0.35">
      <c r="B25" s="86"/>
      <c r="C25" s="62"/>
      <c r="D25" s="62"/>
      <c r="E25" s="62"/>
      <c r="G25" s="62"/>
      <c r="H25" s="62"/>
      <c r="I25" s="62"/>
      <c r="J25" s="62"/>
      <c r="L25" s="41"/>
      <c r="M25" s="14"/>
    </row>
    <row r="26" spans="2:17" x14ac:dyDescent="0.35">
      <c r="B26" s="86"/>
      <c r="C26" s="62"/>
      <c r="D26" s="62"/>
      <c r="E26" s="62"/>
      <c r="G26" s="62"/>
      <c r="H26" s="62"/>
      <c r="I26" s="62"/>
      <c r="J26" s="62"/>
      <c r="L26" s="41"/>
      <c r="M26" s="14"/>
    </row>
    <row r="27" spans="2:17" x14ac:dyDescent="0.35">
      <c r="B27" s="86"/>
      <c r="C27" s="62"/>
      <c r="D27" s="62"/>
      <c r="E27" s="62"/>
      <c r="G27" s="62"/>
      <c r="H27" s="62"/>
      <c r="I27" s="62"/>
      <c r="J27" s="62"/>
      <c r="L27" s="41"/>
      <c r="M27" s="14"/>
    </row>
    <row r="28" spans="2:17" x14ac:dyDescent="0.35">
      <c r="B28" s="86"/>
      <c r="C28" s="62"/>
      <c r="D28" s="62"/>
      <c r="E28" s="62"/>
      <c r="G28" s="62"/>
      <c r="H28" s="62"/>
      <c r="I28" s="62"/>
      <c r="J28" s="62"/>
      <c r="L28" s="22"/>
      <c r="M28" s="14"/>
    </row>
    <row r="29" spans="2:17" x14ac:dyDescent="0.35">
      <c r="B29" s="86"/>
      <c r="C29" s="62"/>
      <c r="D29" s="62"/>
      <c r="E29" s="62"/>
      <c r="G29" s="62"/>
      <c r="H29" s="62"/>
      <c r="I29" s="62"/>
      <c r="J29" s="62"/>
      <c r="L29" s="22"/>
      <c r="M29" s="14"/>
    </row>
    <row r="30" spans="2:17" x14ac:dyDescent="0.35">
      <c r="B30" s="86"/>
      <c r="C30" s="62"/>
      <c r="D30" s="62"/>
      <c r="E30" s="62"/>
      <c r="G30" s="62"/>
      <c r="H30" s="62"/>
      <c r="I30" s="62"/>
      <c r="J30" s="62"/>
      <c r="L30" s="22"/>
      <c r="M30" s="14"/>
    </row>
    <row r="31" spans="2:17" x14ac:dyDescent="0.35">
      <c r="B31" s="62"/>
      <c r="C31" s="62"/>
      <c r="D31" s="62"/>
      <c r="E31" s="62"/>
      <c r="G31" s="62"/>
      <c r="H31" s="62"/>
      <c r="I31" s="62"/>
      <c r="J31" s="62"/>
      <c r="L31" s="22"/>
      <c r="M31" s="14"/>
    </row>
    <row r="32" spans="2:17" x14ac:dyDescent="0.35">
      <c r="B32" s="62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</sheetData>
  <mergeCells count="11">
    <mergeCell ref="V7:Z7"/>
    <mergeCell ref="F1:K1"/>
    <mergeCell ref="B7:F7"/>
    <mergeCell ref="G7:K7"/>
    <mergeCell ref="L7:P7"/>
    <mergeCell ref="Q7:U7"/>
    <mergeCell ref="A16:J16"/>
    <mergeCell ref="L16:M16"/>
    <mergeCell ref="B17:E17"/>
    <mergeCell ref="G17:J17"/>
    <mergeCell ref="M17:Q18"/>
  </mergeCells>
  <conditionalFormatting sqref="C3">
    <cfRule type="cellIs" dxfId="18" priority="1" operator="notEqual">
      <formula>MAX($E$9:$E$14)</formula>
    </cfRule>
  </conditionalFormatting>
  <dataValidations count="1">
    <dataValidation type="list" allowBlank="1" showInputMessage="1" showErrorMessage="1" sqref="P9:P14 K9:K14 U9:U14 F9:F14 Z9:Z14" xr:uid="{00000000-0002-0000-0600-000000000000}">
      <formula1>"green,red,yellow,blue,orange,cyan,black,white,magenta,pink"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80"/>
  <sheetViews>
    <sheetView zoomScale="70" zoomScaleNormal="70" workbookViewId="0">
      <selection activeCell="C2" sqref="C2"/>
    </sheetView>
  </sheetViews>
  <sheetFormatPr defaultColWidth="9.1796875" defaultRowHeight="14.5" x14ac:dyDescent="0.35"/>
  <cols>
    <col min="1" max="2" width="8.453125" style="36" customWidth="1"/>
    <col min="3" max="3" width="10.542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3" t="s">
        <v>69</v>
      </c>
      <c r="G1" s="233"/>
      <c r="H1" s="233"/>
      <c r="I1" s="233"/>
      <c r="J1" s="233"/>
      <c r="K1" s="233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225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14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136</v>
      </c>
      <c r="N6" s="34" t="s">
        <v>137</v>
      </c>
    </row>
    <row r="7" spans="1:26" ht="15" thickBot="1" x14ac:dyDescent="0.4">
      <c r="B7" s="237" t="s">
        <v>31</v>
      </c>
      <c r="C7" s="238"/>
      <c r="D7" s="238"/>
      <c r="E7" s="238"/>
      <c r="F7" s="240"/>
      <c r="G7" s="241" t="s">
        <v>35</v>
      </c>
      <c r="H7" s="238"/>
      <c r="I7" s="238"/>
      <c r="J7" s="238"/>
      <c r="K7" s="239"/>
      <c r="L7" s="237" t="s">
        <v>41</v>
      </c>
      <c r="M7" s="238"/>
      <c r="N7" s="238"/>
      <c r="O7" s="238"/>
      <c r="P7" s="239"/>
      <c r="Q7" s="237" t="s">
        <v>42</v>
      </c>
      <c r="R7" s="238"/>
      <c r="S7" s="238"/>
      <c r="T7" s="238"/>
      <c r="U7" s="239"/>
      <c r="V7" s="237" t="s">
        <v>43</v>
      </c>
      <c r="W7" s="238"/>
      <c r="X7" s="238"/>
      <c r="Y7" s="238"/>
      <c r="Z7" s="239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7</v>
      </c>
      <c r="D9" s="62">
        <v>0</v>
      </c>
      <c r="E9" s="62">
        <v>14</v>
      </c>
      <c r="F9" s="46" t="s">
        <v>195</v>
      </c>
      <c r="G9" s="41" t="s">
        <v>186</v>
      </c>
      <c r="H9" s="62">
        <v>6</v>
      </c>
      <c r="I9" s="62">
        <v>-70</v>
      </c>
      <c r="J9" s="62">
        <v>-10</v>
      </c>
      <c r="K9" s="46" t="s">
        <v>195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7</v>
      </c>
      <c r="D10" s="62">
        <v>0</v>
      </c>
      <c r="E10" s="62">
        <v>14</v>
      </c>
      <c r="F10" s="46" t="s">
        <v>180</v>
      </c>
      <c r="G10" s="41" t="s">
        <v>184</v>
      </c>
      <c r="H10" s="62">
        <v>7</v>
      </c>
      <c r="I10" s="62">
        <v>-70</v>
      </c>
      <c r="J10" s="62">
        <v>0</v>
      </c>
      <c r="K10" s="46" t="s">
        <v>156</v>
      </c>
      <c r="L10" s="41" t="s">
        <v>187</v>
      </c>
      <c r="M10" s="62">
        <v>7</v>
      </c>
      <c r="N10" s="62">
        <v>-70</v>
      </c>
      <c r="O10" s="62">
        <v>0</v>
      </c>
      <c r="P10" s="46" t="s">
        <v>188</v>
      </c>
      <c r="Q10" s="41"/>
      <c r="R10" s="62"/>
      <c r="S10" s="62"/>
      <c r="T10" s="62"/>
      <c r="U10" s="46"/>
      <c r="V10" s="41"/>
      <c r="W10" s="62"/>
      <c r="X10" s="62"/>
      <c r="Y10" s="62"/>
      <c r="Z10" s="18"/>
    </row>
    <row r="11" spans="1:26" x14ac:dyDescent="0.35">
      <c r="A11" s="45">
        <v>1</v>
      </c>
      <c r="B11" s="60" t="s">
        <v>31</v>
      </c>
      <c r="C11" s="62">
        <v>7</v>
      </c>
      <c r="D11" s="62">
        <v>0</v>
      </c>
      <c r="E11" s="62">
        <v>14</v>
      </c>
      <c r="F11" s="46" t="s">
        <v>189</v>
      </c>
      <c r="G11" s="41" t="s">
        <v>190</v>
      </c>
      <c r="H11" s="62">
        <v>5</v>
      </c>
      <c r="I11" s="62">
        <v>-2.0009999999999999</v>
      </c>
      <c r="J11" s="62">
        <v>1E-3</v>
      </c>
      <c r="K11" s="46" t="s">
        <v>191</v>
      </c>
      <c r="L11" s="41" t="s">
        <v>192</v>
      </c>
      <c r="M11" s="62">
        <v>5</v>
      </c>
      <c r="N11" s="62">
        <v>-2.0009999999999999</v>
      </c>
      <c r="O11" s="62">
        <v>1E-3</v>
      </c>
      <c r="P11" s="46" t="s">
        <v>180</v>
      </c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>
        <v>1</v>
      </c>
      <c r="B12" s="60" t="s">
        <v>31</v>
      </c>
      <c r="C12" s="62">
        <v>7</v>
      </c>
      <c r="D12" s="62">
        <v>0</v>
      </c>
      <c r="E12" s="62">
        <v>2.1</v>
      </c>
      <c r="F12" s="46" t="s">
        <v>189</v>
      </c>
      <c r="G12" s="41" t="s">
        <v>187</v>
      </c>
      <c r="H12" s="62">
        <v>5</v>
      </c>
      <c r="I12" s="62">
        <v>-70</v>
      </c>
      <c r="J12" s="62">
        <v>30</v>
      </c>
      <c r="K12" s="46" t="s">
        <v>188</v>
      </c>
      <c r="L12" s="41"/>
      <c r="M12" s="62"/>
      <c r="N12" s="62"/>
      <c r="O12" s="62"/>
      <c r="P12" s="46"/>
      <c r="Q12" s="41"/>
      <c r="R12" s="62"/>
      <c r="S12" s="62"/>
      <c r="T12" s="62"/>
      <c r="U12" s="46"/>
      <c r="V12" s="41"/>
      <c r="W12" s="62"/>
      <c r="X12" s="62"/>
      <c r="Y12" s="62"/>
      <c r="Z12" s="18"/>
    </row>
    <row r="13" spans="1:26" x14ac:dyDescent="0.35">
      <c r="A13" s="45"/>
      <c r="B13" s="60"/>
      <c r="C13" s="62"/>
      <c r="D13" s="62"/>
      <c r="E13" s="62"/>
      <c r="F13" s="46"/>
      <c r="G13" s="41"/>
      <c r="H13" s="62"/>
      <c r="I13" s="62"/>
      <c r="J13" s="62"/>
      <c r="K13" s="46"/>
      <c r="L13" s="41"/>
      <c r="M13" s="62"/>
      <c r="N13" s="62"/>
      <c r="O13" s="62"/>
      <c r="P13" s="46"/>
      <c r="Q13" s="41"/>
      <c r="R13" s="62"/>
      <c r="S13" s="62"/>
      <c r="T13" s="62"/>
      <c r="U13" s="46"/>
      <c r="V13" s="41"/>
      <c r="W13" s="62"/>
      <c r="X13" s="62"/>
      <c r="Y13" s="62"/>
      <c r="Z13" s="18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41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5" spans="1:26" x14ac:dyDescent="0.35">
      <c r="A15" s="45"/>
      <c r="B15" s="60"/>
      <c r="C15" s="62"/>
      <c r="D15" s="62"/>
      <c r="E15" s="62"/>
      <c r="F15" s="46"/>
      <c r="G15" s="41"/>
      <c r="H15" s="62"/>
      <c r="I15" s="62"/>
      <c r="J15" s="62"/>
      <c r="K15" s="46"/>
      <c r="L15" s="41"/>
      <c r="M15" s="62"/>
      <c r="N15" s="62"/>
      <c r="O15" s="62"/>
      <c r="P15" s="46"/>
      <c r="Q15" s="41"/>
      <c r="R15" s="62"/>
      <c r="S15" s="62"/>
      <c r="T15" s="62"/>
      <c r="U15" s="46"/>
      <c r="V15" s="41"/>
      <c r="W15" s="62"/>
      <c r="X15" s="62"/>
      <c r="Y15" s="62"/>
      <c r="Z15" s="18"/>
    </row>
    <row r="16" spans="1:26" x14ac:dyDescent="0.35">
      <c r="A16" s="45"/>
      <c r="B16" s="60"/>
      <c r="C16" s="62"/>
      <c r="D16" s="62"/>
      <c r="E16" s="62"/>
      <c r="F16" s="46"/>
      <c r="G16" s="41"/>
      <c r="H16" s="62"/>
      <c r="I16" s="62"/>
      <c r="J16" s="62"/>
      <c r="K16" s="46"/>
      <c r="L16" s="86"/>
      <c r="M16" s="62"/>
      <c r="N16" s="62"/>
      <c r="O16" s="62"/>
      <c r="P16" s="46"/>
      <c r="Q16" s="41"/>
      <c r="R16" s="62"/>
      <c r="S16" s="62"/>
      <c r="T16" s="62"/>
      <c r="U16" s="46"/>
      <c r="V16" s="41"/>
      <c r="W16" s="62"/>
      <c r="X16" s="62"/>
      <c r="Y16" s="62"/>
      <c r="Z16" s="18"/>
    </row>
    <row r="18" spans="1:17" x14ac:dyDescent="0.35">
      <c r="A18" s="233" t="s">
        <v>64</v>
      </c>
      <c r="B18" s="233"/>
      <c r="C18" s="233"/>
      <c r="D18" s="233"/>
      <c r="E18" s="233"/>
      <c r="F18" s="233"/>
      <c r="G18" s="233"/>
      <c r="H18" s="233"/>
      <c r="I18" s="233"/>
      <c r="J18" s="233"/>
      <c r="L18" s="233" t="s">
        <v>65</v>
      </c>
      <c r="M18" s="233"/>
    </row>
    <row r="19" spans="1:17" ht="15" customHeight="1" x14ac:dyDescent="0.35">
      <c r="B19" s="199" t="s">
        <v>37</v>
      </c>
      <c r="C19" s="197"/>
      <c r="D19" s="197"/>
      <c r="E19" s="198"/>
      <c r="G19" s="234" t="s">
        <v>68</v>
      </c>
      <c r="H19" s="234"/>
      <c r="I19" s="234"/>
      <c r="J19" s="234"/>
      <c r="L19" s="41" t="s">
        <v>92</v>
      </c>
      <c r="M19" s="235" t="s">
        <v>66</v>
      </c>
      <c r="N19" s="236"/>
      <c r="O19" s="236"/>
      <c r="P19" s="236"/>
      <c r="Q19" s="236"/>
    </row>
    <row r="20" spans="1:17" x14ac:dyDescent="0.35">
      <c r="B20" s="63" t="s">
        <v>38</v>
      </c>
      <c r="C20" s="63" t="s">
        <v>28</v>
      </c>
      <c r="D20" s="63" t="s">
        <v>29</v>
      </c>
      <c r="E20" s="63" t="s">
        <v>39</v>
      </c>
      <c r="G20" s="63" t="s">
        <v>38</v>
      </c>
      <c r="H20" s="63" t="s">
        <v>28</v>
      </c>
      <c r="I20" s="63" t="s">
        <v>29</v>
      </c>
      <c r="J20" s="63" t="s">
        <v>67</v>
      </c>
      <c r="L20" s="41"/>
      <c r="M20" s="235"/>
      <c r="N20" s="236"/>
      <c r="O20" s="236"/>
      <c r="P20" s="236"/>
      <c r="Q20" s="236"/>
    </row>
    <row r="21" spans="1:17" x14ac:dyDescent="0.35">
      <c r="B21" s="41" t="s">
        <v>169</v>
      </c>
      <c r="C21" s="62">
        <v>0.5</v>
      </c>
      <c r="D21" s="62">
        <v>1.5</v>
      </c>
      <c r="E21" s="62">
        <v>40</v>
      </c>
      <c r="G21" s="62"/>
      <c r="H21" s="62"/>
      <c r="I21" s="62"/>
      <c r="J21" s="62"/>
      <c r="L21" s="41"/>
      <c r="M21" s="14"/>
    </row>
    <row r="22" spans="1:17" x14ac:dyDescent="0.35">
      <c r="B22" s="41" t="s">
        <v>169</v>
      </c>
      <c r="C22" s="62">
        <v>2.5</v>
      </c>
      <c r="D22" s="62">
        <v>3.5</v>
      </c>
      <c r="E22" s="62">
        <v>40</v>
      </c>
      <c r="G22" s="62"/>
      <c r="H22" s="62"/>
      <c r="I22" s="62"/>
      <c r="J22" s="62"/>
      <c r="L22" s="41"/>
      <c r="M22" s="14"/>
    </row>
    <row r="23" spans="1:17" x14ac:dyDescent="0.35">
      <c r="B23" s="41" t="s">
        <v>169</v>
      </c>
      <c r="C23" s="62">
        <v>4.5</v>
      </c>
      <c r="D23" s="62">
        <v>5.5</v>
      </c>
      <c r="E23" s="62">
        <v>40</v>
      </c>
      <c r="G23" s="62"/>
      <c r="H23" s="62"/>
      <c r="I23" s="62"/>
      <c r="J23" s="62"/>
      <c r="L23" s="41"/>
      <c r="M23" s="14"/>
    </row>
    <row r="24" spans="1:17" x14ac:dyDescent="0.35">
      <c r="B24" s="41" t="s">
        <v>169</v>
      </c>
      <c r="C24" s="62">
        <v>6.5</v>
      </c>
      <c r="D24" s="62">
        <v>7.5</v>
      </c>
      <c r="E24" s="62">
        <v>40</v>
      </c>
      <c r="G24" s="62"/>
      <c r="H24" s="62"/>
      <c r="I24" s="62"/>
      <c r="J24" s="62"/>
      <c r="L24" s="41"/>
      <c r="M24" s="14"/>
    </row>
    <row r="25" spans="1:17" x14ac:dyDescent="0.35">
      <c r="B25" s="41"/>
      <c r="C25" s="62"/>
      <c r="D25" s="62"/>
      <c r="E25" s="62"/>
      <c r="G25" s="62"/>
      <c r="H25" s="62"/>
      <c r="I25" s="62"/>
      <c r="J25" s="62"/>
      <c r="L25" s="41"/>
      <c r="M25" s="14"/>
    </row>
    <row r="26" spans="1:17" x14ac:dyDescent="0.35">
      <c r="B26" s="41"/>
      <c r="C26" s="62"/>
      <c r="D26" s="62"/>
      <c r="E26" s="62"/>
      <c r="G26" s="62"/>
      <c r="H26" s="62"/>
      <c r="I26" s="62"/>
      <c r="J26" s="62"/>
      <c r="L26" s="41"/>
      <c r="M26" s="14"/>
    </row>
    <row r="27" spans="1:17" x14ac:dyDescent="0.35">
      <c r="B27" s="41"/>
      <c r="C27" s="62"/>
      <c r="D27" s="62"/>
      <c r="E27" s="62"/>
      <c r="G27" s="62"/>
      <c r="H27" s="62"/>
      <c r="I27" s="62"/>
      <c r="J27" s="62"/>
      <c r="L27" s="41"/>
      <c r="M27" s="14"/>
    </row>
    <row r="28" spans="1:17" x14ac:dyDescent="0.35">
      <c r="B28" s="41"/>
      <c r="C28" s="62"/>
      <c r="D28" s="62"/>
      <c r="E28" s="62"/>
      <c r="G28" s="62"/>
      <c r="H28" s="62"/>
      <c r="I28" s="62"/>
      <c r="J28" s="62"/>
      <c r="L28" s="41"/>
      <c r="M28" s="14"/>
    </row>
    <row r="29" spans="1:17" x14ac:dyDescent="0.35">
      <c r="B29" s="41"/>
      <c r="C29" s="62"/>
      <c r="D29" s="62"/>
      <c r="E29" s="62"/>
      <c r="G29" s="62"/>
      <c r="H29" s="62"/>
      <c r="I29" s="62"/>
      <c r="J29" s="62"/>
      <c r="L29" s="41"/>
      <c r="M29" s="14"/>
    </row>
    <row r="30" spans="1:17" x14ac:dyDescent="0.35">
      <c r="B30" s="41"/>
      <c r="C30" s="62"/>
      <c r="D30" s="62"/>
      <c r="E30" s="62"/>
      <c r="G30" s="62"/>
      <c r="H30" s="62"/>
      <c r="I30" s="62"/>
      <c r="J30" s="62"/>
      <c r="L30" s="22"/>
      <c r="M30" s="14"/>
    </row>
    <row r="31" spans="1:17" x14ac:dyDescent="0.35">
      <c r="B31" s="86"/>
      <c r="C31" s="62"/>
      <c r="D31" s="62"/>
      <c r="E31" s="62"/>
      <c r="G31" s="62"/>
      <c r="H31" s="62"/>
      <c r="I31" s="62"/>
      <c r="J31" s="62"/>
      <c r="L31" s="22"/>
      <c r="M31" s="14"/>
    </row>
    <row r="32" spans="1:17" x14ac:dyDescent="0.35">
      <c r="B32" s="86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  <c r="L36" s="22"/>
      <c r="M36" s="14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  <c r="L37" s="22"/>
      <c r="M37" s="14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  <row r="79" spans="2:10" x14ac:dyDescent="0.35">
      <c r="B79" s="62"/>
      <c r="C79" s="62"/>
      <c r="D79" s="62"/>
      <c r="E79" s="62"/>
      <c r="G79" s="62"/>
      <c r="H79" s="62"/>
      <c r="I79" s="62"/>
      <c r="J79" s="62"/>
    </row>
    <row r="80" spans="2:10" x14ac:dyDescent="0.35">
      <c r="B80" s="62"/>
      <c r="C80" s="62"/>
      <c r="D80" s="62"/>
      <c r="E80" s="62"/>
      <c r="G80" s="62"/>
      <c r="H80" s="62"/>
      <c r="I80" s="62"/>
      <c r="J80" s="62"/>
    </row>
  </sheetData>
  <mergeCells count="11">
    <mergeCell ref="A18:J18"/>
    <mergeCell ref="L18:M18"/>
    <mergeCell ref="B19:E19"/>
    <mergeCell ref="G19:J19"/>
    <mergeCell ref="M19:Q20"/>
    <mergeCell ref="V7:Z7"/>
    <mergeCell ref="F1:K1"/>
    <mergeCell ref="B7:F7"/>
    <mergeCell ref="G7:K7"/>
    <mergeCell ref="L7:P7"/>
    <mergeCell ref="Q7:U7"/>
  </mergeCells>
  <conditionalFormatting sqref="C3">
    <cfRule type="cellIs" dxfId="17" priority="1" operator="notEqual">
      <formula>MAX($E$9:$E$16)</formula>
    </cfRule>
  </conditionalFormatting>
  <dataValidations count="1">
    <dataValidation type="list" allowBlank="1" showInputMessage="1" showErrorMessage="1" sqref="Z9:Z16 U9:U16 F9:F16 K9:K16 P9:P16" xr:uid="{00000000-0002-0000-0700-000000000000}">
      <formula1>"green,red,yellow,blue,orange,cyan,black,white,magenta,pink"</formula1>
    </dataValidation>
  </dataValidations>
  <pageMargins left="0.7" right="0.7" top="0.75" bottom="0.75" header="0.3" footer="0.3"/>
  <pageSetup scale="43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80"/>
  <sheetViews>
    <sheetView workbookViewId="0">
      <selection activeCell="C28" sqref="C28"/>
    </sheetView>
  </sheetViews>
  <sheetFormatPr defaultColWidth="9.1796875" defaultRowHeight="14.5" x14ac:dyDescent="0.35"/>
  <cols>
    <col min="1" max="2" width="8.453125" style="36" customWidth="1"/>
    <col min="3" max="3" width="10.542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3" t="s">
        <v>69</v>
      </c>
      <c r="G1" s="233"/>
      <c r="H1" s="233"/>
      <c r="I1" s="233"/>
      <c r="J1" s="233"/>
      <c r="K1" s="233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226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14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136</v>
      </c>
      <c r="N6" s="34" t="s">
        <v>137</v>
      </c>
    </row>
    <row r="7" spans="1:26" ht="15" thickBot="1" x14ac:dyDescent="0.4">
      <c r="B7" s="237" t="s">
        <v>31</v>
      </c>
      <c r="C7" s="238"/>
      <c r="D7" s="238"/>
      <c r="E7" s="238"/>
      <c r="F7" s="240"/>
      <c r="G7" s="241" t="s">
        <v>35</v>
      </c>
      <c r="H7" s="238"/>
      <c r="I7" s="238"/>
      <c r="J7" s="238"/>
      <c r="K7" s="239"/>
      <c r="L7" s="237" t="s">
        <v>41</v>
      </c>
      <c r="M7" s="238"/>
      <c r="N7" s="238"/>
      <c r="O7" s="238"/>
      <c r="P7" s="239"/>
      <c r="Q7" s="237" t="s">
        <v>42</v>
      </c>
      <c r="R7" s="238"/>
      <c r="S7" s="238"/>
      <c r="T7" s="238"/>
      <c r="U7" s="239"/>
      <c r="V7" s="237" t="s">
        <v>43</v>
      </c>
      <c r="W7" s="238"/>
      <c r="X7" s="238"/>
      <c r="Y7" s="238"/>
      <c r="Z7" s="239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7</v>
      </c>
      <c r="D9" s="62">
        <v>0</v>
      </c>
      <c r="E9" s="62">
        <v>14</v>
      </c>
      <c r="F9" s="46" t="s">
        <v>195</v>
      </c>
      <c r="G9" s="41" t="s">
        <v>219</v>
      </c>
      <c r="H9" s="62">
        <v>6</v>
      </c>
      <c r="I9" s="62">
        <v>-70</v>
      </c>
      <c r="J9" s="62">
        <v>-10</v>
      </c>
      <c r="K9" s="46" t="s">
        <v>195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7</v>
      </c>
      <c r="D10" s="62">
        <v>0</v>
      </c>
      <c r="E10" s="62">
        <v>14</v>
      </c>
      <c r="F10" s="46" t="s">
        <v>180</v>
      </c>
      <c r="G10" s="41" t="s">
        <v>220</v>
      </c>
      <c r="H10" s="62">
        <v>7</v>
      </c>
      <c r="I10" s="62">
        <v>-70</v>
      </c>
      <c r="J10" s="62">
        <v>0</v>
      </c>
      <c r="K10" s="46" t="s">
        <v>156</v>
      </c>
      <c r="L10" s="41" t="s">
        <v>227</v>
      </c>
      <c r="M10" s="62">
        <v>7</v>
      </c>
      <c r="N10" s="62">
        <v>-70</v>
      </c>
      <c r="O10" s="62">
        <v>0</v>
      </c>
      <c r="P10" s="46" t="s">
        <v>188</v>
      </c>
      <c r="Q10" s="41"/>
      <c r="R10" s="62"/>
      <c r="S10" s="62"/>
      <c r="T10" s="62"/>
      <c r="U10" s="46"/>
      <c r="V10" s="41"/>
      <c r="W10" s="62"/>
      <c r="X10" s="62"/>
      <c r="Y10" s="62"/>
      <c r="Z10" s="18"/>
    </row>
    <row r="11" spans="1:26" x14ac:dyDescent="0.35">
      <c r="A11" s="45">
        <v>1</v>
      </c>
      <c r="B11" s="60" t="s">
        <v>31</v>
      </c>
      <c r="C11" s="62">
        <v>7</v>
      </c>
      <c r="D11" s="62">
        <v>0</v>
      </c>
      <c r="E11" s="62">
        <v>14</v>
      </c>
      <c r="F11" s="46" t="s">
        <v>189</v>
      </c>
      <c r="G11" s="41" t="s">
        <v>221</v>
      </c>
      <c r="H11" s="62">
        <v>5</v>
      </c>
      <c r="I11" s="62">
        <v>-2.0009999999999999</v>
      </c>
      <c r="J11" s="62">
        <v>1E-3</v>
      </c>
      <c r="K11" s="46" t="s">
        <v>191</v>
      </c>
      <c r="L11" s="41" t="s">
        <v>228</v>
      </c>
      <c r="M11" s="62">
        <v>5</v>
      </c>
      <c r="N11" s="62">
        <v>-2.0009999999999999</v>
      </c>
      <c r="O11" s="62">
        <v>1E-3</v>
      </c>
      <c r="P11" s="46" t="s">
        <v>180</v>
      </c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>
        <v>1</v>
      </c>
      <c r="B12" s="60" t="s">
        <v>31</v>
      </c>
      <c r="C12" s="62">
        <v>7</v>
      </c>
      <c r="D12" s="62">
        <v>0</v>
      </c>
      <c r="E12" s="62">
        <v>2.1</v>
      </c>
      <c r="F12" s="46" t="s">
        <v>189</v>
      </c>
      <c r="G12" s="41" t="s">
        <v>227</v>
      </c>
      <c r="H12" s="62">
        <v>5</v>
      </c>
      <c r="I12" s="62">
        <v>-70</v>
      </c>
      <c r="J12" s="62">
        <v>30</v>
      </c>
      <c r="K12" s="46" t="s">
        <v>188</v>
      </c>
      <c r="L12" s="41"/>
      <c r="M12" s="62"/>
      <c r="N12" s="62"/>
      <c r="O12" s="62"/>
      <c r="P12" s="46"/>
      <c r="Q12" s="41"/>
      <c r="R12" s="62"/>
      <c r="S12" s="62"/>
      <c r="T12" s="62"/>
      <c r="U12" s="46"/>
      <c r="V12" s="41"/>
      <c r="W12" s="62"/>
      <c r="X12" s="62"/>
      <c r="Y12" s="62"/>
      <c r="Z12" s="18"/>
    </row>
    <row r="13" spans="1:26" x14ac:dyDescent="0.35">
      <c r="A13" s="45"/>
      <c r="B13" s="60"/>
      <c r="C13" s="62"/>
      <c r="D13" s="62"/>
      <c r="E13" s="62"/>
      <c r="F13" s="46"/>
      <c r="G13" s="41"/>
      <c r="H13" s="62"/>
      <c r="I13" s="62"/>
      <c r="J13" s="62"/>
      <c r="K13" s="46"/>
      <c r="L13" s="41"/>
      <c r="M13" s="62"/>
      <c r="N13" s="62"/>
      <c r="O13" s="62"/>
      <c r="P13" s="46"/>
      <c r="Q13" s="41"/>
      <c r="R13" s="62"/>
      <c r="S13" s="62"/>
      <c r="T13" s="62"/>
      <c r="U13" s="46"/>
      <c r="V13" s="41"/>
      <c r="W13" s="62"/>
      <c r="X13" s="62"/>
      <c r="Y13" s="62"/>
      <c r="Z13" s="18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41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5" spans="1:26" x14ac:dyDescent="0.35">
      <c r="A15" s="45"/>
      <c r="B15" s="60"/>
      <c r="C15" s="62"/>
      <c r="D15" s="62"/>
      <c r="E15" s="62"/>
      <c r="F15" s="46"/>
      <c r="G15" s="41"/>
      <c r="H15" s="62"/>
      <c r="I15" s="62"/>
      <c r="J15" s="62"/>
      <c r="K15" s="46"/>
      <c r="L15" s="41"/>
      <c r="M15" s="62"/>
      <c r="N15" s="62"/>
      <c r="O15" s="62"/>
      <c r="P15" s="46"/>
      <c r="Q15" s="41"/>
      <c r="R15" s="62"/>
      <c r="S15" s="62"/>
      <c r="T15" s="62"/>
      <c r="U15" s="46"/>
      <c r="V15" s="41"/>
      <c r="W15" s="62"/>
      <c r="X15" s="62"/>
      <c r="Y15" s="62"/>
      <c r="Z15" s="18"/>
    </row>
    <row r="16" spans="1:26" x14ac:dyDescent="0.35">
      <c r="A16" s="45"/>
      <c r="B16" s="60"/>
      <c r="C16" s="62"/>
      <c r="D16" s="62"/>
      <c r="E16" s="62"/>
      <c r="F16" s="46"/>
      <c r="G16" s="41"/>
      <c r="H16" s="62"/>
      <c r="I16" s="62"/>
      <c r="J16" s="62"/>
      <c r="K16" s="46"/>
      <c r="L16" s="86"/>
      <c r="M16" s="62"/>
      <c r="N16" s="62"/>
      <c r="O16" s="62"/>
      <c r="P16" s="46"/>
      <c r="Q16" s="41"/>
      <c r="R16" s="62"/>
      <c r="S16" s="62"/>
      <c r="T16" s="62"/>
      <c r="U16" s="46"/>
      <c r="V16" s="41"/>
      <c r="W16" s="62"/>
      <c r="X16" s="62"/>
      <c r="Y16" s="62"/>
      <c r="Z16" s="18"/>
    </row>
    <row r="18" spans="1:17" x14ac:dyDescent="0.35">
      <c r="A18" s="233" t="s">
        <v>64</v>
      </c>
      <c r="B18" s="233"/>
      <c r="C18" s="233"/>
      <c r="D18" s="233"/>
      <c r="E18" s="233"/>
      <c r="F18" s="233"/>
      <c r="G18" s="233"/>
      <c r="H18" s="233"/>
      <c r="I18" s="233"/>
      <c r="J18" s="233"/>
      <c r="L18" s="233" t="s">
        <v>65</v>
      </c>
      <c r="M18" s="233"/>
    </row>
    <row r="19" spans="1:17" ht="15" customHeight="1" x14ac:dyDescent="0.35">
      <c r="B19" s="199" t="s">
        <v>37</v>
      </c>
      <c r="C19" s="197"/>
      <c r="D19" s="197"/>
      <c r="E19" s="198"/>
      <c r="G19" s="234" t="s">
        <v>68</v>
      </c>
      <c r="H19" s="234"/>
      <c r="I19" s="234"/>
      <c r="J19" s="234"/>
      <c r="L19" s="41" t="s">
        <v>92</v>
      </c>
      <c r="M19" s="235" t="s">
        <v>66</v>
      </c>
      <c r="N19" s="236"/>
      <c r="O19" s="236"/>
      <c r="P19" s="236"/>
      <c r="Q19" s="236"/>
    </row>
    <row r="20" spans="1:17" x14ac:dyDescent="0.35">
      <c r="B20" s="63" t="s">
        <v>38</v>
      </c>
      <c r="C20" s="63" t="s">
        <v>28</v>
      </c>
      <c r="D20" s="63" t="s">
        <v>29</v>
      </c>
      <c r="E20" s="63" t="s">
        <v>39</v>
      </c>
      <c r="G20" s="63" t="s">
        <v>38</v>
      </c>
      <c r="H20" s="63" t="s">
        <v>28</v>
      </c>
      <c r="I20" s="63" t="s">
        <v>29</v>
      </c>
      <c r="J20" s="63" t="s">
        <v>67</v>
      </c>
      <c r="L20" s="41"/>
      <c r="M20" s="235"/>
      <c r="N20" s="236"/>
      <c r="O20" s="236"/>
      <c r="P20" s="236"/>
      <c r="Q20" s="236"/>
    </row>
    <row r="21" spans="1:17" x14ac:dyDescent="0.35">
      <c r="B21" s="41" t="s">
        <v>171</v>
      </c>
      <c r="C21" s="62">
        <v>0.5</v>
      </c>
      <c r="D21" s="62">
        <v>1.5</v>
      </c>
      <c r="E21" s="62">
        <v>40</v>
      </c>
      <c r="G21" s="62"/>
      <c r="H21" s="62"/>
      <c r="I21" s="62"/>
      <c r="J21" s="62"/>
      <c r="L21" s="41"/>
      <c r="M21" s="14"/>
    </row>
    <row r="22" spans="1:17" x14ac:dyDescent="0.35">
      <c r="B22" s="41" t="s">
        <v>171</v>
      </c>
      <c r="C22" s="62">
        <v>2.5</v>
      </c>
      <c r="D22" s="62">
        <v>3.5</v>
      </c>
      <c r="E22" s="62">
        <v>40</v>
      </c>
      <c r="G22" s="62"/>
      <c r="H22" s="62"/>
      <c r="I22" s="62"/>
      <c r="J22" s="62"/>
      <c r="L22" s="41"/>
      <c r="M22" s="14"/>
    </row>
    <row r="23" spans="1:17" x14ac:dyDescent="0.35">
      <c r="B23" s="41" t="s">
        <v>171</v>
      </c>
      <c r="C23" s="62">
        <v>4.5</v>
      </c>
      <c r="D23" s="62">
        <v>5.5</v>
      </c>
      <c r="E23" s="62">
        <v>40</v>
      </c>
      <c r="G23" s="62"/>
      <c r="H23" s="62"/>
      <c r="I23" s="62"/>
      <c r="J23" s="62"/>
      <c r="L23" s="41"/>
      <c r="M23" s="14"/>
    </row>
    <row r="24" spans="1:17" x14ac:dyDescent="0.35">
      <c r="B24" s="41" t="s">
        <v>171</v>
      </c>
      <c r="C24" s="62">
        <v>6.5</v>
      </c>
      <c r="D24" s="62">
        <v>7.5</v>
      </c>
      <c r="E24" s="62">
        <v>40</v>
      </c>
      <c r="G24" s="62"/>
      <c r="H24" s="62"/>
      <c r="I24" s="62"/>
      <c r="J24" s="62"/>
      <c r="L24" s="41"/>
      <c r="M24" s="14"/>
    </row>
    <row r="25" spans="1:17" x14ac:dyDescent="0.35">
      <c r="B25" s="41"/>
      <c r="C25" s="62"/>
      <c r="D25" s="62"/>
      <c r="E25" s="62"/>
      <c r="G25" s="62"/>
      <c r="H25" s="62"/>
      <c r="I25" s="62"/>
      <c r="J25" s="62"/>
      <c r="L25" s="41"/>
      <c r="M25" s="14"/>
    </row>
    <row r="26" spans="1:17" x14ac:dyDescent="0.35">
      <c r="B26" s="41"/>
      <c r="C26" s="62"/>
      <c r="D26" s="62"/>
      <c r="E26" s="62"/>
      <c r="G26" s="62"/>
      <c r="H26" s="62"/>
      <c r="I26" s="62"/>
      <c r="J26" s="62"/>
      <c r="L26" s="41"/>
      <c r="M26" s="14"/>
    </row>
    <row r="27" spans="1:17" x14ac:dyDescent="0.35">
      <c r="B27" s="41"/>
      <c r="C27" s="62"/>
      <c r="D27" s="62"/>
      <c r="E27" s="62"/>
      <c r="G27" s="62"/>
      <c r="H27" s="62"/>
      <c r="I27" s="62"/>
      <c r="J27" s="62"/>
      <c r="L27" s="41"/>
      <c r="M27" s="14"/>
    </row>
    <row r="28" spans="1:17" x14ac:dyDescent="0.35">
      <c r="B28" s="41"/>
      <c r="C28" s="62"/>
      <c r="D28" s="62"/>
      <c r="E28" s="62"/>
      <c r="G28" s="62"/>
      <c r="H28" s="62"/>
      <c r="I28" s="62"/>
      <c r="J28" s="62"/>
      <c r="L28" s="41"/>
      <c r="M28" s="14"/>
    </row>
    <row r="29" spans="1:17" x14ac:dyDescent="0.35">
      <c r="B29" s="41"/>
      <c r="C29" s="62"/>
      <c r="D29" s="62"/>
      <c r="E29" s="62"/>
      <c r="G29" s="62"/>
      <c r="H29" s="62"/>
      <c r="I29" s="62"/>
      <c r="J29" s="62"/>
      <c r="L29" s="41"/>
      <c r="M29" s="14"/>
    </row>
    <row r="30" spans="1:17" x14ac:dyDescent="0.35">
      <c r="B30" s="41"/>
      <c r="C30" s="62"/>
      <c r="D30" s="62"/>
      <c r="E30" s="62"/>
      <c r="G30" s="62"/>
      <c r="H30" s="62"/>
      <c r="I30" s="62"/>
      <c r="J30" s="62"/>
      <c r="L30" s="22"/>
      <c r="M30" s="14"/>
    </row>
    <row r="31" spans="1:17" x14ac:dyDescent="0.35">
      <c r="B31" s="86"/>
      <c r="C31" s="62"/>
      <c r="D31" s="62"/>
      <c r="E31" s="62"/>
      <c r="G31" s="62"/>
      <c r="H31" s="62"/>
      <c r="I31" s="62"/>
      <c r="J31" s="62"/>
      <c r="L31" s="22"/>
      <c r="M31" s="14"/>
    </row>
    <row r="32" spans="1:17" x14ac:dyDescent="0.35">
      <c r="B32" s="86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  <c r="L36" s="22"/>
      <c r="M36" s="14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  <c r="L37" s="22"/>
      <c r="M37" s="14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  <row r="79" spans="2:10" x14ac:dyDescent="0.35">
      <c r="B79" s="62"/>
      <c r="C79" s="62"/>
      <c r="D79" s="62"/>
      <c r="E79" s="62"/>
      <c r="G79" s="62"/>
      <c r="H79" s="62"/>
      <c r="I79" s="62"/>
      <c r="J79" s="62"/>
    </row>
    <row r="80" spans="2:10" x14ac:dyDescent="0.35">
      <c r="B80" s="62"/>
      <c r="C80" s="62"/>
      <c r="D80" s="62"/>
      <c r="E80" s="62"/>
      <c r="G80" s="62"/>
      <c r="H80" s="62"/>
      <c r="I80" s="62"/>
      <c r="J80" s="62"/>
    </row>
  </sheetData>
  <mergeCells count="11">
    <mergeCell ref="V7:Z7"/>
    <mergeCell ref="F1:K1"/>
    <mergeCell ref="B7:F7"/>
    <mergeCell ref="G7:K7"/>
    <mergeCell ref="L7:P7"/>
    <mergeCell ref="Q7:U7"/>
    <mergeCell ref="A18:J18"/>
    <mergeCell ref="L18:M18"/>
    <mergeCell ref="B19:E19"/>
    <mergeCell ref="G19:J19"/>
    <mergeCell ref="M19:Q20"/>
  </mergeCells>
  <conditionalFormatting sqref="C3">
    <cfRule type="cellIs" dxfId="16" priority="1" operator="notEqual">
      <formula>MAX($E$9:$E$16)</formula>
    </cfRule>
  </conditionalFormatting>
  <dataValidations disablePrompts="1" count="1">
    <dataValidation type="list" allowBlank="1" showInputMessage="1" showErrorMessage="1" sqref="Z9:Z16 U9:U16 F9:F16 K9:K16 P9:P16" xr:uid="{00000000-0002-0000-0800-000000000000}">
      <formula1>"green,red,yellow,blue,orange,cyan,black,white,magenta,pink"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80"/>
  <sheetViews>
    <sheetView zoomScale="70" zoomScaleNormal="70" workbookViewId="0">
      <selection activeCell="C2" sqref="C2"/>
    </sheetView>
  </sheetViews>
  <sheetFormatPr defaultColWidth="9.1796875" defaultRowHeight="14.5" x14ac:dyDescent="0.35"/>
  <cols>
    <col min="1" max="2" width="8.453125" style="36" customWidth="1"/>
    <col min="3" max="3" width="10.542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3" t="s">
        <v>69</v>
      </c>
      <c r="G1" s="233"/>
      <c r="H1" s="233"/>
      <c r="I1" s="233"/>
      <c r="J1" s="233"/>
      <c r="K1" s="233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229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1.1599999999999999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136</v>
      </c>
      <c r="N6" s="34" t="s">
        <v>137</v>
      </c>
    </row>
    <row r="7" spans="1:26" ht="15" thickBot="1" x14ac:dyDescent="0.4">
      <c r="B7" s="237" t="s">
        <v>31</v>
      </c>
      <c r="C7" s="238"/>
      <c r="D7" s="238"/>
      <c r="E7" s="238"/>
      <c r="F7" s="240"/>
      <c r="G7" s="241" t="s">
        <v>35</v>
      </c>
      <c r="H7" s="238"/>
      <c r="I7" s="238"/>
      <c r="J7" s="238"/>
      <c r="K7" s="239"/>
      <c r="L7" s="237" t="s">
        <v>41</v>
      </c>
      <c r="M7" s="238"/>
      <c r="N7" s="238"/>
      <c r="O7" s="238"/>
      <c r="P7" s="239"/>
      <c r="Q7" s="237" t="s">
        <v>42</v>
      </c>
      <c r="R7" s="238"/>
      <c r="S7" s="238"/>
      <c r="T7" s="238"/>
      <c r="U7" s="239"/>
      <c r="V7" s="237" t="s">
        <v>43</v>
      </c>
      <c r="W7" s="238"/>
      <c r="X7" s="238"/>
      <c r="Y7" s="238"/>
      <c r="Z7" s="239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5</v>
      </c>
      <c r="D9" s="62">
        <v>0.96</v>
      </c>
      <c r="E9" s="62">
        <v>1.1599999999999999</v>
      </c>
      <c r="F9" s="46" t="s">
        <v>180</v>
      </c>
      <c r="G9" s="41" t="s">
        <v>186</v>
      </c>
      <c r="H9" s="62">
        <v>8</v>
      </c>
      <c r="I9" s="62">
        <v>-70</v>
      </c>
      <c r="J9" s="62">
        <v>10</v>
      </c>
      <c r="K9" s="46" t="s">
        <v>156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5</v>
      </c>
      <c r="D10" s="62">
        <v>0.96</v>
      </c>
      <c r="E10" s="62">
        <v>1.1599999999999999</v>
      </c>
      <c r="F10" s="46" t="s">
        <v>180</v>
      </c>
      <c r="G10" s="41" t="s">
        <v>196</v>
      </c>
      <c r="H10" s="62">
        <v>5</v>
      </c>
      <c r="I10" s="62">
        <v>0</v>
      </c>
      <c r="J10" s="62">
        <v>500</v>
      </c>
      <c r="K10" s="46" t="s">
        <v>197</v>
      </c>
      <c r="L10" s="41" t="s">
        <v>198</v>
      </c>
      <c r="M10" s="62">
        <v>5</v>
      </c>
      <c r="N10" s="62">
        <v>0</v>
      </c>
      <c r="O10" s="62">
        <v>50</v>
      </c>
      <c r="P10" s="46" t="s">
        <v>185</v>
      </c>
      <c r="Q10" s="41" t="s">
        <v>199</v>
      </c>
      <c r="R10" s="62">
        <v>5</v>
      </c>
      <c r="S10" s="62">
        <v>0</v>
      </c>
      <c r="T10" s="62">
        <v>500</v>
      </c>
      <c r="U10" s="46" t="s">
        <v>188</v>
      </c>
      <c r="V10" s="41"/>
      <c r="W10" s="62"/>
      <c r="X10" s="62"/>
      <c r="Y10" s="62"/>
      <c r="Z10" s="46"/>
    </row>
    <row r="11" spans="1:26" x14ac:dyDescent="0.35">
      <c r="A11" s="45"/>
      <c r="B11" s="60"/>
      <c r="C11" s="62"/>
      <c r="D11" s="62"/>
      <c r="E11" s="62"/>
      <c r="F11" s="46"/>
      <c r="G11" s="41"/>
      <c r="H11" s="62"/>
      <c r="I11" s="62"/>
      <c r="J11" s="62"/>
      <c r="K11" s="46"/>
      <c r="L11" s="41"/>
      <c r="M11" s="62"/>
      <c r="N11" s="62"/>
      <c r="O11" s="62"/>
      <c r="P11" s="46"/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/>
      <c r="B12" s="60"/>
      <c r="C12" s="62"/>
      <c r="D12" s="62"/>
      <c r="E12" s="62"/>
      <c r="F12" s="46"/>
      <c r="G12" s="41"/>
      <c r="H12" s="62"/>
      <c r="I12" s="62"/>
      <c r="J12" s="62"/>
      <c r="K12" s="46"/>
      <c r="L12" s="41"/>
      <c r="M12" s="62"/>
      <c r="N12" s="62"/>
      <c r="O12" s="62"/>
      <c r="P12" s="46"/>
      <c r="Q12" s="41"/>
      <c r="R12" s="62"/>
      <c r="S12" s="62"/>
      <c r="T12" s="62"/>
      <c r="U12" s="46"/>
      <c r="V12" s="41"/>
      <c r="W12" s="62"/>
      <c r="X12" s="62"/>
      <c r="Y12" s="62"/>
      <c r="Z12" s="18"/>
    </row>
    <row r="13" spans="1:26" x14ac:dyDescent="0.35">
      <c r="A13" s="45"/>
      <c r="B13" s="60"/>
      <c r="C13" s="62"/>
      <c r="D13" s="62"/>
      <c r="E13" s="62"/>
      <c r="F13" s="46"/>
      <c r="G13" s="41"/>
      <c r="H13" s="62"/>
      <c r="I13" s="62"/>
      <c r="J13" s="62"/>
      <c r="K13" s="46"/>
      <c r="L13" s="41"/>
      <c r="M13" s="62"/>
      <c r="N13" s="62"/>
      <c r="O13" s="62"/>
      <c r="P13" s="46"/>
      <c r="Q13" s="41"/>
      <c r="R13" s="62"/>
      <c r="S13" s="62"/>
      <c r="T13" s="62"/>
      <c r="U13" s="46"/>
      <c r="V13" s="41"/>
      <c r="W13" s="62"/>
      <c r="X13" s="62"/>
      <c r="Y13" s="62"/>
      <c r="Z13" s="18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41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5" spans="1:26" x14ac:dyDescent="0.35">
      <c r="A15" s="45"/>
      <c r="B15" s="60"/>
      <c r="C15" s="62"/>
      <c r="D15" s="62"/>
      <c r="E15" s="62"/>
      <c r="F15" s="46"/>
      <c r="G15" s="41"/>
      <c r="H15" s="62"/>
      <c r="I15" s="62"/>
      <c r="J15" s="62"/>
      <c r="K15" s="46"/>
      <c r="L15" s="41"/>
      <c r="M15" s="62"/>
      <c r="N15" s="62"/>
      <c r="O15" s="62"/>
      <c r="P15" s="46"/>
      <c r="Q15" s="41"/>
      <c r="R15" s="62"/>
      <c r="S15" s="62"/>
      <c r="T15" s="62"/>
      <c r="U15" s="46"/>
      <c r="V15" s="41"/>
      <c r="W15" s="62"/>
      <c r="X15" s="62"/>
      <c r="Y15" s="62"/>
      <c r="Z15" s="18"/>
    </row>
    <row r="16" spans="1:26" x14ac:dyDescent="0.35">
      <c r="A16" s="45"/>
      <c r="B16" s="60"/>
      <c r="C16" s="62"/>
      <c r="D16" s="62"/>
      <c r="E16" s="62"/>
      <c r="F16" s="46"/>
      <c r="G16" s="41"/>
      <c r="H16" s="62"/>
      <c r="I16" s="62"/>
      <c r="J16" s="62"/>
      <c r="K16" s="46"/>
      <c r="L16" s="86"/>
      <c r="M16" s="62"/>
      <c r="N16" s="62"/>
      <c r="O16" s="62"/>
      <c r="P16" s="46"/>
      <c r="Q16" s="41"/>
      <c r="R16" s="62"/>
      <c r="S16" s="62"/>
      <c r="T16" s="62"/>
      <c r="U16" s="46"/>
      <c r="V16" s="41"/>
      <c r="W16" s="62"/>
      <c r="X16" s="62"/>
      <c r="Y16" s="62"/>
      <c r="Z16" s="18"/>
    </row>
    <row r="18" spans="1:17" x14ac:dyDescent="0.35">
      <c r="A18" s="233" t="s">
        <v>64</v>
      </c>
      <c r="B18" s="233"/>
      <c r="C18" s="233"/>
      <c r="D18" s="233"/>
      <c r="E18" s="233"/>
      <c r="F18" s="233"/>
      <c r="G18" s="233"/>
      <c r="H18" s="233"/>
      <c r="I18" s="233"/>
      <c r="J18" s="233"/>
      <c r="L18" s="233" t="s">
        <v>65</v>
      </c>
      <c r="M18" s="233"/>
    </row>
    <row r="19" spans="1:17" ht="15" customHeight="1" x14ac:dyDescent="0.35">
      <c r="B19" s="199" t="s">
        <v>37</v>
      </c>
      <c r="C19" s="197"/>
      <c r="D19" s="197"/>
      <c r="E19" s="198"/>
      <c r="G19" s="234" t="s">
        <v>68</v>
      </c>
      <c r="H19" s="234"/>
      <c r="I19" s="234"/>
      <c r="J19" s="234"/>
      <c r="L19" s="41" t="s">
        <v>92</v>
      </c>
      <c r="M19" s="235" t="s">
        <v>66</v>
      </c>
      <c r="N19" s="236"/>
      <c r="O19" s="236"/>
      <c r="P19" s="236"/>
      <c r="Q19" s="236"/>
    </row>
    <row r="20" spans="1:17" x14ac:dyDescent="0.35">
      <c r="B20" s="63" t="s">
        <v>38</v>
      </c>
      <c r="C20" s="63" t="s">
        <v>28</v>
      </c>
      <c r="D20" s="63" t="s">
        <v>29</v>
      </c>
      <c r="E20" s="63" t="s">
        <v>39</v>
      </c>
      <c r="G20" s="63" t="s">
        <v>38</v>
      </c>
      <c r="H20" s="63" t="s">
        <v>28</v>
      </c>
      <c r="I20" s="63" t="s">
        <v>29</v>
      </c>
      <c r="J20" s="63" t="s">
        <v>67</v>
      </c>
      <c r="L20" s="41"/>
      <c r="M20" s="235"/>
      <c r="N20" s="236"/>
      <c r="O20" s="236"/>
      <c r="P20" s="236"/>
      <c r="Q20" s="236"/>
    </row>
    <row r="21" spans="1:17" x14ac:dyDescent="0.35">
      <c r="B21" s="41"/>
      <c r="C21" s="62"/>
      <c r="D21" s="62"/>
      <c r="E21" s="62"/>
      <c r="G21" s="62" t="s">
        <v>169</v>
      </c>
      <c r="H21" s="62">
        <v>0</v>
      </c>
      <c r="I21" s="62">
        <v>1</v>
      </c>
      <c r="J21" s="62">
        <v>-80</v>
      </c>
      <c r="L21" s="41"/>
      <c r="M21" s="14"/>
    </row>
    <row r="22" spans="1:17" x14ac:dyDescent="0.35">
      <c r="B22" s="41"/>
      <c r="C22" s="62"/>
      <c r="D22" s="62"/>
      <c r="E22" s="62"/>
      <c r="G22" s="62" t="s">
        <v>169</v>
      </c>
      <c r="H22" s="62">
        <v>1</v>
      </c>
      <c r="I22" s="62">
        <v>4</v>
      </c>
      <c r="J22" s="62">
        <v>0</v>
      </c>
      <c r="L22" s="41"/>
      <c r="M22" s="14"/>
    </row>
    <row r="23" spans="1:17" x14ac:dyDescent="0.35">
      <c r="B23" s="41"/>
      <c r="C23" s="62"/>
      <c r="D23" s="62"/>
      <c r="E23" s="62"/>
      <c r="G23" s="62" t="s">
        <v>169</v>
      </c>
      <c r="H23" s="62">
        <v>4</v>
      </c>
      <c r="I23" s="62">
        <v>5</v>
      </c>
      <c r="J23" s="62">
        <v>-80</v>
      </c>
      <c r="L23" s="41"/>
      <c r="M23" s="14"/>
    </row>
    <row r="24" spans="1:17" x14ac:dyDescent="0.35">
      <c r="B24" s="41"/>
      <c r="C24" s="62"/>
      <c r="D24" s="62"/>
      <c r="E24" s="62"/>
      <c r="G24" s="62"/>
      <c r="H24" s="62"/>
      <c r="I24" s="62"/>
      <c r="J24" s="62"/>
      <c r="L24" s="41"/>
      <c r="M24" s="14"/>
    </row>
    <row r="25" spans="1:17" x14ac:dyDescent="0.35">
      <c r="B25" s="41"/>
      <c r="C25" s="62"/>
      <c r="D25" s="62"/>
      <c r="E25" s="62"/>
      <c r="G25" s="62"/>
      <c r="H25" s="62"/>
      <c r="I25" s="62"/>
      <c r="J25" s="62"/>
      <c r="L25" s="41"/>
      <c r="M25" s="14"/>
    </row>
    <row r="26" spans="1:17" x14ac:dyDescent="0.35">
      <c r="B26" s="41"/>
      <c r="C26" s="62"/>
      <c r="D26" s="62"/>
      <c r="E26" s="62"/>
      <c r="G26" s="62"/>
      <c r="H26" s="62"/>
      <c r="I26" s="62"/>
      <c r="J26" s="62"/>
      <c r="L26" s="41"/>
      <c r="M26" s="14"/>
    </row>
    <row r="27" spans="1:17" x14ac:dyDescent="0.35">
      <c r="B27" s="41"/>
      <c r="C27" s="62"/>
      <c r="D27" s="62"/>
      <c r="E27" s="62"/>
      <c r="G27" s="62"/>
      <c r="H27" s="62"/>
      <c r="I27" s="62"/>
      <c r="J27" s="62"/>
      <c r="L27" s="41"/>
      <c r="M27" s="14"/>
    </row>
    <row r="28" spans="1:17" x14ac:dyDescent="0.35">
      <c r="B28" s="41"/>
      <c r="C28" s="62"/>
      <c r="D28" s="62"/>
      <c r="E28" s="62"/>
      <c r="G28" s="62"/>
      <c r="H28" s="62"/>
      <c r="I28" s="62"/>
      <c r="J28" s="62"/>
      <c r="L28" s="41"/>
      <c r="M28" s="14"/>
    </row>
    <row r="29" spans="1:17" x14ac:dyDescent="0.35">
      <c r="B29" s="41"/>
      <c r="C29" s="62"/>
      <c r="D29" s="62"/>
      <c r="E29" s="62"/>
      <c r="G29" s="62"/>
      <c r="H29" s="62"/>
      <c r="I29" s="62"/>
      <c r="J29" s="62"/>
      <c r="L29" s="41"/>
      <c r="M29" s="14"/>
    </row>
    <row r="30" spans="1:17" x14ac:dyDescent="0.35">
      <c r="B30" s="41"/>
      <c r="C30" s="62"/>
      <c r="D30" s="62"/>
      <c r="E30" s="62"/>
      <c r="G30" s="62"/>
      <c r="H30" s="62"/>
      <c r="I30" s="62"/>
      <c r="J30" s="62"/>
      <c r="L30" s="22"/>
      <c r="M30" s="14"/>
    </row>
    <row r="31" spans="1:17" x14ac:dyDescent="0.35">
      <c r="B31" s="41"/>
      <c r="C31" s="62"/>
      <c r="D31" s="62"/>
      <c r="E31" s="62"/>
      <c r="G31" s="62"/>
      <c r="H31" s="62"/>
      <c r="I31" s="62"/>
      <c r="J31" s="62"/>
      <c r="L31" s="22"/>
      <c r="M31" s="14"/>
    </row>
    <row r="32" spans="1:17" x14ac:dyDescent="0.35">
      <c r="B32" s="41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41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41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  <c r="L36" s="22"/>
      <c r="M36" s="14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  <c r="L37" s="22"/>
      <c r="M37" s="14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  <row r="79" spans="2:10" x14ac:dyDescent="0.35">
      <c r="B79" s="62"/>
      <c r="C79" s="62"/>
      <c r="D79" s="62"/>
      <c r="E79" s="62"/>
      <c r="G79" s="62"/>
      <c r="H79" s="62"/>
      <c r="I79" s="62"/>
      <c r="J79" s="62"/>
    </row>
    <row r="80" spans="2:10" x14ac:dyDescent="0.35">
      <c r="B80" s="62"/>
      <c r="C80" s="62"/>
      <c r="D80" s="62"/>
      <c r="E80" s="62"/>
      <c r="G80" s="62"/>
      <c r="H80" s="62"/>
      <c r="I80" s="62"/>
      <c r="J80" s="62"/>
    </row>
  </sheetData>
  <mergeCells count="11">
    <mergeCell ref="A18:J18"/>
    <mergeCell ref="L18:M18"/>
    <mergeCell ref="B19:E19"/>
    <mergeCell ref="G19:J19"/>
    <mergeCell ref="M19:Q20"/>
    <mergeCell ref="V7:Z7"/>
    <mergeCell ref="F1:K1"/>
    <mergeCell ref="B7:F7"/>
    <mergeCell ref="G7:K7"/>
    <mergeCell ref="L7:P7"/>
    <mergeCell ref="Q7:U7"/>
  </mergeCells>
  <conditionalFormatting sqref="C3">
    <cfRule type="cellIs" dxfId="15" priority="1" operator="notEqual">
      <formula>MAX($E$9:$E$16)</formula>
    </cfRule>
  </conditionalFormatting>
  <dataValidations count="1">
    <dataValidation type="list" allowBlank="1" showInputMessage="1" showErrorMessage="1" sqref="U9:U16 F9:F16 K9:K16 P9:P16 Z9:Z16" xr:uid="{00000000-0002-0000-0900-000000000000}">
      <formula1>"green,red,yellow,blue,orange,cyan,black,white,magenta,pink"</formula1>
    </dataValidation>
  </dataValidations>
  <pageMargins left="0.7" right="0.7" top="0.75" bottom="0.75" header="0.3" footer="0.3"/>
  <pageSetup scale="43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80"/>
  <sheetViews>
    <sheetView zoomScale="70" zoomScaleNormal="70" workbookViewId="0">
      <selection activeCell="L46" sqref="L46"/>
    </sheetView>
  </sheetViews>
  <sheetFormatPr defaultColWidth="9.1796875" defaultRowHeight="14.5" x14ac:dyDescent="0.35"/>
  <cols>
    <col min="1" max="2" width="8.453125" style="36" customWidth="1"/>
    <col min="3" max="3" width="10.542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3" t="s">
        <v>69</v>
      </c>
      <c r="G1" s="233"/>
      <c r="H1" s="233"/>
      <c r="I1" s="233"/>
      <c r="J1" s="233"/>
      <c r="K1" s="233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230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5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136</v>
      </c>
      <c r="N6" s="34" t="s">
        <v>137</v>
      </c>
    </row>
    <row r="7" spans="1:26" ht="15" thickBot="1" x14ac:dyDescent="0.4">
      <c r="B7" s="237" t="s">
        <v>31</v>
      </c>
      <c r="C7" s="238"/>
      <c r="D7" s="238"/>
      <c r="E7" s="238"/>
      <c r="F7" s="240"/>
      <c r="G7" s="241" t="s">
        <v>35</v>
      </c>
      <c r="H7" s="238"/>
      <c r="I7" s="238"/>
      <c r="J7" s="238"/>
      <c r="K7" s="239"/>
      <c r="L7" s="237" t="s">
        <v>41</v>
      </c>
      <c r="M7" s="238"/>
      <c r="N7" s="238"/>
      <c r="O7" s="238"/>
      <c r="P7" s="239"/>
      <c r="Q7" s="237" t="s">
        <v>42</v>
      </c>
      <c r="R7" s="238"/>
      <c r="S7" s="238"/>
      <c r="T7" s="238"/>
      <c r="U7" s="239"/>
      <c r="V7" s="237" t="s">
        <v>43</v>
      </c>
      <c r="W7" s="238"/>
      <c r="X7" s="238"/>
      <c r="Y7" s="238"/>
      <c r="Z7" s="239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5</v>
      </c>
      <c r="D9" s="62">
        <v>0</v>
      </c>
      <c r="E9" s="62">
        <v>5</v>
      </c>
      <c r="F9" s="46" t="s">
        <v>180</v>
      </c>
      <c r="G9" s="41" t="s">
        <v>219</v>
      </c>
      <c r="H9" s="62">
        <v>8</v>
      </c>
      <c r="I9" s="62">
        <v>-70</v>
      </c>
      <c r="J9" s="62">
        <v>10</v>
      </c>
      <c r="K9" s="46" t="s">
        <v>156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5</v>
      </c>
      <c r="D10" s="62">
        <v>0</v>
      </c>
      <c r="E10" s="62">
        <v>5</v>
      </c>
      <c r="F10" s="46" t="s">
        <v>180</v>
      </c>
      <c r="G10" s="41" t="s">
        <v>222</v>
      </c>
      <c r="H10" s="62">
        <v>5</v>
      </c>
      <c r="I10" s="62">
        <v>0</v>
      </c>
      <c r="J10" s="62">
        <v>500</v>
      </c>
      <c r="K10" s="46" t="s">
        <v>197</v>
      </c>
      <c r="L10" s="41" t="s">
        <v>223</v>
      </c>
      <c r="M10" s="62">
        <v>5</v>
      </c>
      <c r="N10" s="62">
        <v>0</v>
      </c>
      <c r="O10" s="62">
        <v>50</v>
      </c>
      <c r="P10" s="46" t="s">
        <v>185</v>
      </c>
      <c r="Q10" s="41" t="s">
        <v>224</v>
      </c>
      <c r="R10" s="62">
        <v>5</v>
      </c>
      <c r="S10" s="62">
        <v>0</v>
      </c>
      <c r="T10" s="62">
        <v>500</v>
      </c>
      <c r="U10" s="46" t="s">
        <v>188</v>
      </c>
      <c r="V10" s="41"/>
      <c r="W10" s="62"/>
      <c r="X10" s="62"/>
      <c r="Y10" s="62"/>
      <c r="Z10" s="46"/>
    </row>
    <row r="11" spans="1:26" x14ac:dyDescent="0.35">
      <c r="A11" s="45">
        <v>1</v>
      </c>
      <c r="B11" s="60" t="s">
        <v>31</v>
      </c>
      <c r="C11" s="62">
        <v>5</v>
      </c>
      <c r="D11" s="62">
        <v>0</v>
      </c>
      <c r="E11" s="62">
        <v>5</v>
      </c>
      <c r="F11" s="46" t="s">
        <v>180</v>
      </c>
      <c r="G11" s="41" t="s">
        <v>231</v>
      </c>
      <c r="H11" s="62">
        <v>5</v>
      </c>
      <c r="I11" s="62">
        <v>-500</v>
      </c>
      <c r="J11" s="62">
        <v>0</v>
      </c>
      <c r="K11" s="46" t="s">
        <v>189</v>
      </c>
      <c r="L11" s="41"/>
      <c r="M11" s="62"/>
      <c r="N11" s="62"/>
      <c r="O11" s="62"/>
      <c r="P11" s="46"/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/>
      <c r="B12" s="60"/>
      <c r="C12" s="62"/>
      <c r="D12" s="62"/>
      <c r="E12" s="62"/>
      <c r="F12" s="46"/>
      <c r="G12" s="41"/>
      <c r="H12" s="62"/>
      <c r="I12" s="62"/>
      <c r="J12" s="62"/>
      <c r="K12" s="46"/>
      <c r="L12" s="41"/>
      <c r="M12" s="62"/>
      <c r="N12" s="62"/>
      <c r="O12" s="62"/>
      <c r="P12" s="46"/>
      <c r="Q12" s="41"/>
      <c r="R12" s="62"/>
      <c r="S12" s="62"/>
      <c r="T12" s="62"/>
      <c r="U12" s="46"/>
      <c r="V12" s="41"/>
      <c r="W12" s="62"/>
      <c r="X12" s="62"/>
      <c r="Y12" s="62"/>
      <c r="Z12" s="18"/>
    </row>
    <row r="13" spans="1:26" x14ac:dyDescent="0.35">
      <c r="A13" s="45"/>
      <c r="B13" s="60"/>
      <c r="C13" s="62"/>
      <c r="D13" s="62"/>
      <c r="E13" s="62"/>
      <c r="F13" s="46"/>
      <c r="G13" s="41"/>
      <c r="H13" s="62"/>
      <c r="I13" s="62"/>
      <c r="J13" s="62"/>
      <c r="K13" s="46"/>
      <c r="L13" s="41"/>
      <c r="M13" s="62"/>
      <c r="N13" s="62"/>
      <c r="O13" s="62"/>
      <c r="P13" s="46"/>
      <c r="Q13" s="41"/>
      <c r="R13" s="62"/>
      <c r="S13" s="62"/>
      <c r="T13" s="62"/>
      <c r="U13" s="46"/>
      <c r="V13" s="41"/>
      <c r="W13" s="62"/>
      <c r="X13" s="62"/>
      <c r="Y13" s="62"/>
      <c r="Z13" s="18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41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5" spans="1:26" x14ac:dyDescent="0.35">
      <c r="A15" s="45"/>
      <c r="B15" s="60"/>
      <c r="C15" s="62"/>
      <c r="D15" s="62"/>
      <c r="E15" s="62"/>
      <c r="F15" s="46"/>
      <c r="G15" s="41"/>
      <c r="H15" s="62"/>
      <c r="I15" s="62"/>
      <c r="J15" s="62"/>
      <c r="K15" s="46"/>
      <c r="L15" s="41"/>
      <c r="M15" s="62"/>
      <c r="N15" s="62"/>
      <c r="O15" s="62"/>
      <c r="P15" s="46"/>
      <c r="Q15" s="41"/>
      <c r="R15" s="62"/>
      <c r="S15" s="62"/>
      <c r="T15" s="62"/>
      <c r="U15" s="46"/>
      <c r="V15" s="41"/>
      <c r="W15" s="62"/>
      <c r="X15" s="62"/>
      <c r="Y15" s="62"/>
      <c r="Z15" s="18"/>
    </row>
    <row r="16" spans="1:26" x14ac:dyDescent="0.35">
      <c r="A16" s="45"/>
      <c r="B16" s="60"/>
      <c r="C16" s="62"/>
      <c r="D16" s="62"/>
      <c r="E16" s="62"/>
      <c r="F16" s="46"/>
      <c r="G16" s="41"/>
      <c r="H16" s="62"/>
      <c r="I16" s="62"/>
      <c r="J16" s="62"/>
      <c r="K16" s="46"/>
      <c r="L16" s="86"/>
      <c r="M16" s="62"/>
      <c r="N16" s="62"/>
      <c r="O16" s="62"/>
      <c r="P16" s="46"/>
      <c r="Q16" s="41"/>
      <c r="R16" s="62"/>
      <c r="S16" s="62"/>
      <c r="T16" s="62"/>
      <c r="U16" s="46"/>
      <c r="V16" s="41"/>
      <c r="W16" s="62"/>
      <c r="X16" s="62"/>
      <c r="Y16" s="62"/>
      <c r="Z16" s="18"/>
    </row>
    <row r="18" spans="1:17" x14ac:dyDescent="0.35">
      <c r="A18" s="233" t="s">
        <v>64</v>
      </c>
      <c r="B18" s="233"/>
      <c r="C18" s="233"/>
      <c r="D18" s="233"/>
      <c r="E18" s="233"/>
      <c r="F18" s="233"/>
      <c r="G18" s="233"/>
      <c r="H18" s="233"/>
      <c r="I18" s="233"/>
      <c r="J18" s="233"/>
      <c r="L18" s="233" t="s">
        <v>65</v>
      </c>
      <c r="M18" s="233"/>
    </row>
    <row r="19" spans="1:17" ht="15" customHeight="1" x14ac:dyDescent="0.35">
      <c r="B19" s="199" t="s">
        <v>37</v>
      </c>
      <c r="C19" s="197"/>
      <c r="D19" s="197"/>
      <c r="E19" s="198"/>
      <c r="G19" s="234" t="s">
        <v>68</v>
      </c>
      <c r="H19" s="234"/>
      <c r="I19" s="234"/>
      <c r="J19" s="234"/>
      <c r="L19" s="41" t="s">
        <v>92</v>
      </c>
      <c r="M19" s="235" t="s">
        <v>66</v>
      </c>
      <c r="N19" s="236"/>
      <c r="O19" s="236"/>
      <c r="P19" s="236"/>
      <c r="Q19" s="236"/>
    </row>
    <row r="20" spans="1:17" x14ac:dyDescent="0.35">
      <c r="B20" s="63" t="s">
        <v>38</v>
      </c>
      <c r="C20" s="63" t="s">
        <v>28</v>
      </c>
      <c r="D20" s="63" t="s">
        <v>29</v>
      </c>
      <c r="E20" s="63" t="s">
        <v>39</v>
      </c>
      <c r="G20" s="63" t="s">
        <v>38</v>
      </c>
      <c r="H20" s="63" t="s">
        <v>28</v>
      </c>
      <c r="I20" s="63" t="s">
        <v>29</v>
      </c>
      <c r="J20" s="63" t="s">
        <v>67</v>
      </c>
      <c r="L20" s="41"/>
      <c r="M20" s="235"/>
      <c r="N20" s="236"/>
      <c r="O20" s="236"/>
      <c r="P20" s="236"/>
      <c r="Q20" s="236"/>
    </row>
    <row r="21" spans="1:17" x14ac:dyDescent="0.35">
      <c r="B21" s="41"/>
      <c r="C21" s="62"/>
      <c r="D21" s="62"/>
      <c r="E21" s="62"/>
      <c r="G21" s="62" t="s">
        <v>171</v>
      </c>
      <c r="H21" s="62">
        <v>0</v>
      </c>
      <c r="I21" s="62">
        <v>1</v>
      </c>
      <c r="J21" s="62">
        <v>-80</v>
      </c>
      <c r="L21" s="41"/>
      <c r="M21" s="14"/>
    </row>
    <row r="22" spans="1:17" x14ac:dyDescent="0.35">
      <c r="B22" s="41"/>
      <c r="C22" s="62"/>
      <c r="D22" s="62"/>
      <c r="E22" s="62"/>
      <c r="G22" s="62" t="s">
        <v>171</v>
      </c>
      <c r="H22" s="62">
        <v>1</v>
      </c>
      <c r="I22" s="62">
        <v>4</v>
      </c>
      <c r="J22" s="62">
        <v>0</v>
      </c>
      <c r="L22" s="41"/>
      <c r="M22" s="14"/>
    </row>
    <row r="23" spans="1:17" x14ac:dyDescent="0.35">
      <c r="B23" s="41"/>
      <c r="C23" s="62"/>
      <c r="D23" s="62"/>
      <c r="E23" s="62"/>
      <c r="G23" s="62" t="s">
        <v>171</v>
      </c>
      <c r="H23" s="62">
        <v>4</v>
      </c>
      <c r="I23" s="62">
        <v>5</v>
      </c>
      <c r="J23" s="62">
        <v>-80</v>
      </c>
      <c r="L23" s="41"/>
      <c r="M23" s="14"/>
    </row>
    <row r="24" spans="1:17" x14ac:dyDescent="0.35">
      <c r="B24" s="41"/>
      <c r="C24" s="62"/>
      <c r="D24" s="62"/>
      <c r="E24" s="62"/>
      <c r="G24" s="62"/>
      <c r="H24" s="62"/>
      <c r="I24" s="62"/>
      <c r="J24" s="62"/>
      <c r="L24" s="41"/>
      <c r="M24" s="14"/>
    </row>
    <row r="25" spans="1:17" x14ac:dyDescent="0.35">
      <c r="B25" s="41"/>
      <c r="C25" s="62"/>
      <c r="D25" s="62"/>
      <c r="E25" s="62"/>
      <c r="G25" s="62"/>
      <c r="H25" s="62"/>
      <c r="I25" s="62"/>
      <c r="J25" s="62"/>
      <c r="L25" s="41"/>
      <c r="M25" s="14"/>
    </row>
    <row r="26" spans="1:17" x14ac:dyDescent="0.35">
      <c r="B26" s="41"/>
      <c r="C26" s="62"/>
      <c r="D26" s="62"/>
      <c r="E26" s="62"/>
      <c r="G26" s="62"/>
      <c r="H26" s="62"/>
      <c r="I26" s="62"/>
      <c r="J26" s="62"/>
      <c r="L26" s="41"/>
      <c r="M26" s="14"/>
    </row>
    <row r="27" spans="1:17" x14ac:dyDescent="0.35">
      <c r="B27" s="41"/>
      <c r="C27" s="62"/>
      <c r="D27" s="62"/>
      <c r="E27" s="62"/>
      <c r="G27" s="62"/>
      <c r="H27" s="62"/>
      <c r="I27" s="62"/>
      <c r="J27" s="62"/>
      <c r="L27" s="41"/>
      <c r="M27" s="14"/>
    </row>
    <row r="28" spans="1:17" x14ac:dyDescent="0.35">
      <c r="B28" s="41"/>
      <c r="C28" s="62"/>
      <c r="D28" s="62"/>
      <c r="E28" s="62"/>
      <c r="G28" s="62"/>
      <c r="H28" s="62"/>
      <c r="I28" s="62"/>
      <c r="J28" s="62"/>
      <c r="L28" s="41"/>
      <c r="M28" s="14"/>
    </row>
    <row r="29" spans="1:17" x14ac:dyDescent="0.35">
      <c r="B29" s="41"/>
      <c r="C29" s="62"/>
      <c r="D29" s="62"/>
      <c r="E29" s="62"/>
      <c r="G29" s="62"/>
      <c r="H29" s="62"/>
      <c r="I29" s="62"/>
      <c r="J29" s="62"/>
      <c r="L29" s="41"/>
      <c r="M29" s="14"/>
    </row>
    <row r="30" spans="1:17" x14ac:dyDescent="0.35">
      <c r="B30" s="41"/>
      <c r="C30" s="62"/>
      <c r="D30" s="62"/>
      <c r="E30" s="62"/>
      <c r="G30" s="62"/>
      <c r="H30" s="62"/>
      <c r="I30" s="62"/>
      <c r="J30" s="62"/>
      <c r="L30" s="22"/>
      <c r="M30" s="14"/>
    </row>
    <row r="31" spans="1:17" x14ac:dyDescent="0.35">
      <c r="B31" s="41"/>
      <c r="C31" s="62"/>
      <c r="D31" s="62"/>
      <c r="E31" s="62"/>
      <c r="G31" s="62"/>
      <c r="H31" s="62"/>
      <c r="I31" s="62"/>
      <c r="J31" s="62"/>
      <c r="L31" s="22"/>
      <c r="M31" s="14"/>
    </row>
    <row r="32" spans="1:17" x14ac:dyDescent="0.35">
      <c r="B32" s="41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41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41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  <c r="L36" s="22"/>
      <c r="M36" s="14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  <c r="L37" s="22"/>
      <c r="M37" s="14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  <row r="79" spans="2:10" x14ac:dyDescent="0.35">
      <c r="B79" s="62"/>
      <c r="C79" s="62"/>
      <c r="D79" s="62"/>
      <c r="E79" s="62"/>
      <c r="G79" s="62"/>
      <c r="H79" s="62"/>
      <c r="I79" s="62"/>
      <c r="J79" s="62"/>
    </row>
    <row r="80" spans="2:10" x14ac:dyDescent="0.35">
      <c r="B80" s="62"/>
      <c r="C80" s="62"/>
      <c r="D80" s="62"/>
      <c r="E80" s="62"/>
      <c r="G80" s="62"/>
      <c r="H80" s="62"/>
      <c r="I80" s="62"/>
      <c r="J80" s="62"/>
    </row>
  </sheetData>
  <mergeCells count="11">
    <mergeCell ref="V7:Z7"/>
    <mergeCell ref="F1:K1"/>
    <mergeCell ref="B7:F7"/>
    <mergeCell ref="G7:K7"/>
    <mergeCell ref="L7:P7"/>
    <mergeCell ref="Q7:U7"/>
    <mergeCell ref="A18:J18"/>
    <mergeCell ref="L18:M18"/>
    <mergeCell ref="B19:E19"/>
    <mergeCell ref="G19:J19"/>
    <mergeCell ref="M19:Q20"/>
  </mergeCells>
  <conditionalFormatting sqref="C3">
    <cfRule type="cellIs" dxfId="14" priority="1" operator="notEqual">
      <formula>MAX($E$9:$E$16)</formula>
    </cfRule>
  </conditionalFormatting>
  <dataValidations count="1">
    <dataValidation type="list" allowBlank="1" showInputMessage="1" showErrorMessage="1" sqref="U9:U16 K9:K16 Z9:Z16 P9:P16 F9:F16" xr:uid="{00000000-0002-0000-0A00-000000000000}">
      <formula1>"green,red,yellow,blue,orange,cyan,black,white,magenta,pink"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80"/>
  <sheetViews>
    <sheetView workbookViewId="0">
      <selection activeCell="E10" sqref="E10"/>
    </sheetView>
  </sheetViews>
  <sheetFormatPr defaultColWidth="9.1796875" defaultRowHeight="14.5" x14ac:dyDescent="0.35"/>
  <cols>
    <col min="1" max="2" width="8.453125" style="36" customWidth="1"/>
    <col min="3" max="3" width="10.542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3" t="s">
        <v>69</v>
      </c>
      <c r="G1" s="233"/>
      <c r="H1" s="233"/>
      <c r="I1" s="233"/>
      <c r="J1" s="233"/>
      <c r="K1" s="233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200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60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194</v>
      </c>
      <c r="N6" s="34" t="s">
        <v>137</v>
      </c>
    </row>
    <row r="7" spans="1:26" ht="15" thickBot="1" x14ac:dyDescent="0.4">
      <c r="B7" s="237" t="s">
        <v>31</v>
      </c>
      <c r="C7" s="238"/>
      <c r="D7" s="238"/>
      <c r="E7" s="238"/>
      <c r="F7" s="240"/>
      <c r="G7" s="241" t="s">
        <v>35</v>
      </c>
      <c r="H7" s="238"/>
      <c r="I7" s="238"/>
      <c r="J7" s="238"/>
      <c r="K7" s="239"/>
      <c r="L7" s="237" t="s">
        <v>41</v>
      </c>
      <c r="M7" s="238"/>
      <c r="N7" s="238"/>
      <c r="O7" s="238"/>
      <c r="P7" s="239"/>
      <c r="Q7" s="237" t="s">
        <v>42</v>
      </c>
      <c r="R7" s="238"/>
      <c r="S7" s="238"/>
      <c r="T7" s="238"/>
      <c r="U7" s="239"/>
      <c r="V7" s="237" t="s">
        <v>43</v>
      </c>
      <c r="W7" s="238"/>
      <c r="X7" s="238"/>
      <c r="Y7" s="238"/>
      <c r="Z7" s="239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6</v>
      </c>
      <c r="D9" s="62">
        <v>0</v>
      </c>
      <c r="E9" s="62">
        <v>60</v>
      </c>
      <c r="F9" s="46" t="s">
        <v>180</v>
      </c>
      <c r="G9" s="41" t="s">
        <v>186</v>
      </c>
      <c r="H9" s="62">
        <v>7</v>
      </c>
      <c r="I9" s="62">
        <v>-70</v>
      </c>
      <c r="J9" s="62">
        <v>0</v>
      </c>
      <c r="K9" s="46" t="s">
        <v>195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6</v>
      </c>
      <c r="D10" s="62">
        <v>10</v>
      </c>
      <c r="E10" s="62">
        <v>22</v>
      </c>
      <c r="F10" s="46" t="s">
        <v>180</v>
      </c>
      <c r="G10" s="41" t="s">
        <v>184</v>
      </c>
      <c r="H10" s="62">
        <v>7</v>
      </c>
      <c r="I10" s="62">
        <v>-70</v>
      </c>
      <c r="J10" s="62">
        <v>-35</v>
      </c>
      <c r="K10" s="46" t="s">
        <v>180</v>
      </c>
      <c r="L10" s="41"/>
      <c r="M10" s="62"/>
      <c r="N10" s="62"/>
      <c r="O10" s="62"/>
      <c r="P10" s="46"/>
      <c r="Q10" s="41"/>
      <c r="R10" s="62"/>
      <c r="S10" s="62"/>
      <c r="T10" s="62"/>
      <c r="U10" s="46"/>
      <c r="V10" s="41"/>
      <c r="W10" s="62"/>
      <c r="X10" s="62"/>
      <c r="Y10" s="62"/>
      <c r="Z10" s="18"/>
    </row>
    <row r="11" spans="1:26" x14ac:dyDescent="0.35">
      <c r="A11" s="45">
        <v>1</v>
      </c>
      <c r="B11" s="60" t="s">
        <v>31</v>
      </c>
      <c r="C11" s="62">
        <v>6</v>
      </c>
      <c r="D11" s="62">
        <v>0</v>
      </c>
      <c r="E11" s="62">
        <v>60</v>
      </c>
      <c r="F11" s="46" t="s">
        <v>180</v>
      </c>
      <c r="G11" s="41" t="s">
        <v>190</v>
      </c>
      <c r="H11" s="62">
        <v>5</v>
      </c>
      <c r="I11" s="62">
        <v>-2.0009999999999999</v>
      </c>
      <c r="J11" s="62">
        <v>1E-3</v>
      </c>
      <c r="K11" s="46" t="s">
        <v>191</v>
      </c>
      <c r="L11" s="41" t="s">
        <v>192</v>
      </c>
      <c r="M11" s="62">
        <v>5</v>
      </c>
      <c r="N11" s="62">
        <v>-2.0009999999999999</v>
      </c>
      <c r="O11" s="62">
        <v>1E-3</v>
      </c>
      <c r="P11" s="46" t="s">
        <v>180</v>
      </c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>
        <v>1</v>
      </c>
      <c r="B12" s="60" t="s">
        <v>31</v>
      </c>
      <c r="C12" s="62">
        <v>6</v>
      </c>
      <c r="D12" s="62">
        <v>0</v>
      </c>
      <c r="E12" s="62">
        <v>60</v>
      </c>
      <c r="F12" s="46" t="s">
        <v>180</v>
      </c>
      <c r="G12" s="41" t="s">
        <v>196</v>
      </c>
      <c r="H12" s="62">
        <v>3</v>
      </c>
      <c r="I12" s="62">
        <v>0</v>
      </c>
      <c r="J12" s="62">
        <v>30</v>
      </c>
      <c r="K12" s="46" t="s">
        <v>197</v>
      </c>
      <c r="L12" s="41" t="s">
        <v>198</v>
      </c>
      <c r="M12" s="62">
        <v>3</v>
      </c>
      <c r="N12" s="62">
        <v>0</v>
      </c>
      <c r="O12" s="62">
        <v>30</v>
      </c>
      <c r="P12" s="46" t="s">
        <v>185</v>
      </c>
      <c r="Q12" s="41" t="s">
        <v>199</v>
      </c>
      <c r="R12" s="62">
        <v>3</v>
      </c>
      <c r="S12" s="62">
        <v>0</v>
      </c>
      <c r="T12" s="62">
        <v>30</v>
      </c>
      <c r="U12" s="46" t="s">
        <v>188</v>
      </c>
      <c r="V12" s="41"/>
      <c r="W12" s="62"/>
      <c r="X12" s="62"/>
      <c r="Y12" s="62"/>
      <c r="Z12" s="46"/>
    </row>
    <row r="13" spans="1:26" x14ac:dyDescent="0.35">
      <c r="A13" s="45"/>
      <c r="B13" s="60"/>
      <c r="C13" s="62"/>
      <c r="D13" s="62"/>
      <c r="E13" s="62"/>
      <c r="F13" s="46"/>
      <c r="G13" s="41"/>
      <c r="H13" s="62"/>
      <c r="I13" s="62"/>
      <c r="J13" s="62"/>
      <c r="K13" s="46"/>
      <c r="L13" s="41"/>
      <c r="M13" s="62"/>
      <c r="N13" s="62"/>
      <c r="O13" s="62"/>
      <c r="P13" s="46"/>
      <c r="Q13" s="41"/>
      <c r="R13" s="62"/>
      <c r="S13" s="62"/>
      <c r="T13" s="62"/>
      <c r="U13" s="46"/>
      <c r="V13" s="41"/>
      <c r="W13" s="62"/>
      <c r="X13" s="62"/>
      <c r="Y13" s="62"/>
      <c r="Z13" s="18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41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5" spans="1:26" x14ac:dyDescent="0.35">
      <c r="A15" s="45"/>
      <c r="B15" s="60"/>
      <c r="C15" s="62"/>
      <c r="D15" s="62"/>
      <c r="E15" s="62"/>
      <c r="F15" s="46"/>
      <c r="G15" s="41"/>
      <c r="H15" s="62"/>
      <c r="I15" s="62"/>
      <c r="J15" s="62"/>
      <c r="K15" s="46"/>
      <c r="L15" s="41"/>
      <c r="M15" s="62"/>
      <c r="N15" s="62"/>
      <c r="O15" s="62"/>
      <c r="P15" s="46"/>
      <c r="Q15" s="41"/>
      <c r="R15" s="62"/>
      <c r="S15" s="62"/>
      <c r="T15" s="62"/>
      <c r="U15" s="46"/>
      <c r="V15" s="41"/>
      <c r="W15" s="62"/>
      <c r="X15" s="62"/>
      <c r="Y15" s="62"/>
      <c r="Z15" s="18"/>
    </row>
    <row r="16" spans="1:26" x14ac:dyDescent="0.35">
      <c r="A16" s="45"/>
      <c r="B16" s="60"/>
      <c r="C16" s="62"/>
      <c r="D16" s="62"/>
      <c r="E16" s="62"/>
      <c r="F16" s="46"/>
      <c r="G16" s="41"/>
      <c r="H16" s="62"/>
      <c r="I16" s="62"/>
      <c r="J16" s="62"/>
      <c r="K16" s="46"/>
      <c r="L16" s="86"/>
      <c r="M16" s="62"/>
      <c r="N16" s="62"/>
      <c r="O16" s="62"/>
      <c r="P16" s="46"/>
      <c r="Q16" s="41"/>
      <c r="R16" s="62"/>
      <c r="S16" s="62"/>
      <c r="T16" s="62"/>
      <c r="U16" s="46"/>
      <c r="V16" s="41"/>
      <c r="W16" s="62"/>
      <c r="X16" s="62"/>
      <c r="Y16" s="62"/>
      <c r="Z16" s="18"/>
    </row>
    <row r="18" spans="1:17" x14ac:dyDescent="0.35">
      <c r="A18" s="233" t="s">
        <v>64</v>
      </c>
      <c r="B18" s="233"/>
      <c r="C18" s="233"/>
      <c r="D18" s="233"/>
      <c r="E18" s="233"/>
      <c r="F18" s="233"/>
      <c r="G18" s="233"/>
      <c r="H18" s="233"/>
      <c r="I18" s="233"/>
      <c r="J18" s="233"/>
      <c r="L18" s="233" t="s">
        <v>65</v>
      </c>
      <c r="M18" s="233"/>
    </row>
    <row r="19" spans="1:17" ht="15" customHeight="1" x14ac:dyDescent="0.35">
      <c r="B19" s="199" t="s">
        <v>37</v>
      </c>
      <c r="C19" s="197"/>
      <c r="D19" s="197"/>
      <c r="E19" s="198"/>
      <c r="G19" s="234" t="s">
        <v>68</v>
      </c>
      <c r="H19" s="234"/>
      <c r="I19" s="234"/>
      <c r="J19" s="234"/>
      <c r="L19" s="41" t="s">
        <v>92</v>
      </c>
      <c r="M19" s="235" t="s">
        <v>66</v>
      </c>
      <c r="N19" s="236"/>
      <c r="O19" s="236"/>
      <c r="P19" s="236"/>
      <c r="Q19" s="236"/>
    </row>
    <row r="20" spans="1:17" x14ac:dyDescent="0.35">
      <c r="B20" s="63" t="s">
        <v>38</v>
      </c>
      <c r="C20" s="63" t="s">
        <v>28</v>
      </c>
      <c r="D20" s="63" t="s">
        <v>29</v>
      </c>
      <c r="E20" s="63" t="s">
        <v>39</v>
      </c>
      <c r="G20" s="63" t="s">
        <v>38</v>
      </c>
      <c r="H20" s="63" t="s">
        <v>28</v>
      </c>
      <c r="I20" s="63" t="s">
        <v>29</v>
      </c>
      <c r="J20" s="63" t="s">
        <v>67</v>
      </c>
      <c r="L20" s="41"/>
      <c r="M20" s="235"/>
      <c r="N20" s="236"/>
      <c r="O20" s="236"/>
      <c r="P20" s="236"/>
      <c r="Q20" s="236"/>
    </row>
    <row r="21" spans="1:17" x14ac:dyDescent="0.35">
      <c r="B21" s="41" t="s">
        <v>183</v>
      </c>
      <c r="C21" s="62">
        <v>1</v>
      </c>
      <c r="D21" s="62">
        <v>6</v>
      </c>
      <c r="E21" s="62">
        <v>0.63</v>
      </c>
      <c r="G21" s="62"/>
      <c r="H21" s="62"/>
      <c r="I21" s="62"/>
      <c r="J21" s="62"/>
      <c r="L21" s="41"/>
      <c r="M21" s="14"/>
    </row>
    <row r="22" spans="1:17" x14ac:dyDescent="0.35">
      <c r="B22" s="41"/>
      <c r="C22" s="62"/>
      <c r="D22" s="62"/>
      <c r="E22" s="62"/>
      <c r="G22" s="62"/>
      <c r="H22" s="62"/>
      <c r="I22" s="62"/>
      <c r="J22" s="62"/>
      <c r="L22" s="41"/>
      <c r="M22" s="14"/>
    </row>
    <row r="23" spans="1:17" x14ac:dyDescent="0.35">
      <c r="B23" s="41"/>
      <c r="C23" s="62"/>
      <c r="D23" s="62"/>
      <c r="E23" s="62"/>
      <c r="G23" s="62"/>
      <c r="H23" s="62"/>
      <c r="I23" s="62"/>
      <c r="J23" s="62"/>
      <c r="L23" s="41"/>
      <c r="M23" s="14"/>
    </row>
    <row r="24" spans="1:17" x14ac:dyDescent="0.35">
      <c r="B24" s="41"/>
      <c r="C24" s="62"/>
      <c r="D24" s="62"/>
      <c r="E24" s="62"/>
      <c r="G24" s="62"/>
      <c r="H24" s="62"/>
      <c r="I24" s="62"/>
      <c r="J24" s="62"/>
      <c r="L24" s="41"/>
      <c r="M24" s="14"/>
    </row>
    <row r="25" spans="1:17" x14ac:dyDescent="0.35">
      <c r="B25" s="41"/>
      <c r="C25" s="62"/>
      <c r="D25" s="62"/>
      <c r="E25" s="62"/>
      <c r="G25" s="62"/>
      <c r="H25" s="62"/>
      <c r="I25" s="62"/>
      <c r="J25" s="62"/>
      <c r="L25" s="41"/>
      <c r="M25" s="14"/>
    </row>
    <row r="26" spans="1:17" x14ac:dyDescent="0.35">
      <c r="B26" s="86"/>
      <c r="C26" s="62"/>
      <c r="D26" s="62"/>
      <c r="E26" s="62"/>
      <c r="G26" s="62"/>
      <c r="H26" s="62"/>
      <c r="I26" s="62"/>
      <c r="J26" s="62"/>
      <c r="L26" s="41"/>
      <c r="M26" s="14"/>
    </row>
    <row r="27" spans="1:17" x14ac:dyDescent="0.35">
      <c r="B27" s="86"/>
      <c r="C27" s="62"/>
      <c r="D27" s="62"/>
      <c r="E27" s="62"/>
      <c r="G27" s="62"/>
      <c r="H27" s="62"/>
      <c r="I27" s="62"/>
      <c r="J27" s="62"/>
      <c r="L27" s="41"/>
      <c r="M27" s="14"/>
    </row>
    <row r="28" spans="1:17" x14ac:dyDescent="0.35">
      <c r="B28" s="86"/>
      <c r="C28" s="62"/>
      <c r="D28" s="62"/>
      <c r="E28" s="62"/>
      <c r="G28" s="62"/>
      <c r="H28" s="62"/>
      <c r="I28" s="62"/>
      <c r="J28" s="62"/>
      <c r="L28" s="41"/>
      <c r="M28" s="14"/>
    </row>
    <row r="29" spans="1:17" x14ac:dyDescent="0.35">
      <c r="B29" s="86"/>
      <c r="C29" s="62"/>
      <c r="D29" s="62"/>
      <c r="E29" s="62"/>
      <c r="G29" s="62"/>
      <c r="H29" s="62"/>
      <c r="I29" s="62"/>
      <c r="J29" s="62"/>
      <c r="L29" s="41"/>
      <c r="M29" s="14"/>
    </row>
    <row r="30" spans="1:17" x14ac:dyDescent="0.35">
      <c r="B30" s="86"/>
      <c r="C30" s="62"/>
      <c r="D30" s="62"/>
      <c r="E30" s="62"/>
      <c r="G30" s="62"/>
      <c r="H30" s="62"/>
      <c r="I30" s="62"/>
      <c r="J30" s="62"/>
      <c r="L30" s="22"/>
      <c r="M30" s="14"/>
    </row>
    <row r="31" spans="1:17" x14ac:dyDescent="0.35">
      <c r="B31" s="86"/>
      <c r="C31" s="62"/>
      <c r="D31" s="62"/>
      <c r="E31" s="62"/>
      <c r="G31" s="62"/>
      <c r="H31" s="62"/>
      <c r="I31" s="62"/>
      <c r="J31" s="62"/>
      <c r="L31" s="22"/>
      <c r="M31" s="14"/>
    </row>
    <row r="32" spans="1:17" x14ac:dyDescent="0.35">
      <c r="B32" s="86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  <c r="L36" s="22"/>
      <c r="M36" s="14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  <c r="L37" s="22"/>
      <c r="M37" s="14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  <row r="79" spans="2:10" x14ac:dyDescent="0.35">
      <c r="B79" s="62"/>
      <c r="C79" s="62"/>
      <c r="D79" s="62"/>
      <c r="E79" s="62"/>
      <c r="G79" s="62"/>
      <c r="H79" s="62"/>
      <c r="I79" s="62"/>
      <c r="J79" s="62"/>
    </row>
    <row r="80" spans="2:10" x14ac:dyDescent="0.35">
      <c r="B80" s="62"/>
      <c r="C80" s="62"/>
      <c r="D80" s="62"/>
      <c r="E80" s="62"/>
      <c r="G80" s="62"/>
      <c r="H80" s="62"/>
      <c r="I80" s="62"/>
      <c r="J80" s="62"/>
    </row>
  </sheetData>
  <mergeCells count="11">
    <mergeCell ref="A18:J18"/>
    <mergeCell ref="L18:M18"/>
    <mergeCell ref="B19:E19"/>
    <mergeCell ref="G19:J19"/>
    <mergeCell ref="M19:Q20"/>
    <mergeCell ref="V7:Z7"/>
    <mergeCell ref="F1:K1"/>
    <mergeCell ref="B7:F7"/>
    <mergeCell ref="G7:K7"/>
    <mergeCell ref="L7:P7"/>
    <mergeCell ref="Q7:U7"/>
  </mergeCells>
  <conditionalFormatting sqref="C3">
    <cfRule type="cellIs" dxfId="13" priority="1" operator="notEqual">
      <formula>MAX($E$9:$E$16)</formula>
    </cfRule>
  </conditionalFormatting>
  <dataValidations count="1">
    <dataValidation type="list" allowBlank="1" showInputMessage="1" showErrorMessage="1" sqref="U9:U16 P9:P16 Z9:Z16 K9:K16 F9:F16" xr:uid="{00000000-0002-0000-0B00-000000000000}">
      <formula1>"green,red,yellow,blue,orange,cyan,black,white,magenta,pink"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4"/>
  <sheetViews>
    <sheetView workbookViewId="0">
      <selection activeCell="C12" sqref="C12"/>
    </sheetView>
  </sheetViews>
  <sheetFormatPr defaultColWidth="9.1796875" defaultRowHeight="14.5" x14ac:dyDescent="0.35"/>
  <cols>
    <col min="1" max="1" width="35.453125" style="23" customWidth="1"/>
    <col min="2" max="2" width="10.81640625" style="24" customWidth="1"/>
    <col min="3" max="3" width="9.1796875" style="24"/>
    <col min="4" max="4" width="17.1796875" style="24" customWidth="1"/>
    <col min="5" max="16384" width="9.1796875" style="24"/>
  </cols>
  <sheetData>
    <row r="1" spans="1:4" x14ac:dyDescent="0.35">
      <c r="A1" s="25"/>
      <c r="B1" s="26" t="s">
        <v>15</v>
      </c>
      <c r="C1" s="26" t="s">
        <v>16</v>
      </c>
      <c r="D1" s="26" t="s">
        <v>17</v>
      </c>
    </row>
    <row r="2" spans="1:4" x14ac:dyDescent="0.35">
      <c r="A2" s="25" t="s">
        <v>18</v>
      </c>
      <c r="B2" s="32">
        <v>0</v>
      </c>
      <c r="C2" s="32">
        <v>50</v>
      </c>
      <c r="D2" s="32">
        <v>10</v>
      </c>
    </row>
    <row r="3" spans="1:4" x14ac:dyDescent="0.35">
      <c r="A3" s="25" t="s">
        <v>20</v>
      </c>
      <c r="B3" s="32">
        <v>0</v>
      </c>
      <c r="C3" s="32">
        <v>200</v>
      </c>
      <c r="D3" s="32">
        <v>10</v>
      </c>
    </row>
    <row r="4" spans="1:4" x14ac:dyDescent="0.35">
      <c r="A4" s="25" t="s">
        <v>19</v>
      </c>
      <c r="B4" s="32">
        <v>0</v>
      </c>
      <c r="C4" s="32">
        <v>200</v>
      </c>
      <c r="D4" s="32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6B616A-9F24-43F6-9915-1EC9047AFC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Neu</vt:lpstr>
      <vt:lpstr>cs_g</vt:lpstr>
      <vt:lpstr>cs_E</vt:lpstr>
      <vt:lpstr>cs_FAT</vt:lpstr>
      <vt:lpstr>es</vt:lpstr>
      <vt:lpstr>BMP64_l.smu</vt:lpstr>
      <vt:lpstr>BMP64_r.smu</vt:lpstr>
      <vt:lpstr>BMP2SIMPLE_l.smu</vt:lpstr>
      <vt:lpstr>BMP2SIMPLE_r.smu</vt:lpstr>
      <vt:lpstr>BMP_TONIC_l.smu</vt:lpstr>
      <vt:lpstr>BMP_TONIC_r.smu</vt:lpstr>
      <vt:lpstr>BMP1_l.smu</vt:lpstr>
      <vt:lpstr>BMP1_r.smu</vt:lpstr>
      <vt:lpstr>VC_l.smu</vt:lpstr>
      <vt:lpstr>VC_r.smu</vt:lpstr>
      <vt:lpstr>BMP3SIMPLE.smu</vt:lpstr>
      <vt:lpstr>noise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Neveu, Curtis L</dc:creator>
  <cp:lastModifiedBy>Uri Dickman</cp:lastModifiedBy>
  <cp:lastPrinted>2022-06-01T12:34:38Z</cp:lastPrinted>
  <dcterms:created xsi:type="dcterms:W3CDTF">2020-08-05T22:20:23Z</dcterms:created>
  <dcterms:modified xsi:type="dcterms:W3CDTF">2025-03-03T01:16:39Z</dcterms:modified>
</cp:coreProperties>
</file>