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udickman\SNNAPinNEURON\pysnnap\Examples\Excel_files\"/>
    </mc:Choice>
  </mc:AlternateContent>
  <xr:revisionPtr revIDLastSave="0" documentId="13_ncr:1_{6CB6B846-01F4-4641-AFC8-A30C35461AEB}" xr6:coauthVersionLast="47" xr6:coauthVersionMax="47" xr10:uidLastSave="{00000000-0000-0000-0000-000000000000}"/>
  <bookViews>
    <workbookView xWindow="-90" yWindow="0" windowWidth="9780" windowHeight="10170" tabRatio="716" xr2:uid="{F0735362-4961-42D4-9F52-DCA2C5A03203}"/>
  </bookViews>
  <sheets>
    <sheet name="Neu" sheetId="3" r:id="rId1"/>
    <sheet name="main.smu" sheetId="8" r:id="rId2"/>
    <sheet name="cs_g" sheetId="1" r:id="rId3"/>
    <sheet name="cs_E" sheetId="2" r:id="rId4"/>
    <sheet name="cs_FAT" sheetId="4" r:id="rId5"/>
    <sheet name="es" sheetId="5" r:id="rId6"/>
    <sheet name="noise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5" l="1"/>
  <c r="M3" i="5"/>
  <c r="P3" i="5"/>
  <c r="P12" i="5"/>
  <c r="Z38" i="4"/>
  <c r="Z39" i="4"/>
  <c r="Z40" i="4"/>
  <c r="Z41" i="4"/>
  <c r="J7" i="5"/>
  <c r="Y3" i="4"/>
  <c r="BD51" i="3"/>
  <c r="BD50" i="3"/>
  <c r="BD49" i="3"/>
  <c r="BD48" i="3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4" i="2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4" i="1"/>
  <c r="R5" i="5" l="1"/>
  <c r="R7" i="5"/>
  <c r="R9" i="5"/>
  <c r="R11" i="5"/>
  <c r="R15" i="5"/>
  <c r="R4" i="5"/>
  <c r="R6" i="5"/>
  <c r="R8" i="5"/>
  <c r="R10" i="5"/>
  <c r="B43" i="1"/>
  <c r="B41" i="1"/>
  <c r="B39" i="1"/>
  <c r="B37" i="1"/>
  <c r="B35" i="1"/>
  <c r="B33" i="1"/>
  <c r="B31" i="1"/>
  <c r="B29" i="1"/>
  <c r="B27" i="1"/>
  <c r="B25" i="1"/>
  <c r="B23" i="1"/>
  <c r="B21" i="1"/>
  <c r="B19" i="1"/>
  <c r="B17" i="1"/>
  <c r="B15" i="1"/>
  <c r="B13" i="1"/>
  <c r="B11" i="1"/>
  <c r="B9" i="1"/>
  <c r="B7" i="1"/>
  <c r="B5" i="1"/>
  <c r="B3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  <c r="Y38" i="4"/>
  <c r="Y39" i="4"/>
  <c r="Y40" i="4"/>
  <c r="Y41" i="4"/>
  <c r="Y42" i="4"/>
  <c r="Y43" i="4"/>
  <c r="Y10" i="4"/>
  <c r="Y11" i="4"/>
  <c r="Y12" i="4"/>
  <c r="Y13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Y32" i="4"/>
  <c r="Y33" i="4"/>
  <c r="Y34" i="4"/>
  <c r="Y35" i="4"/>
  <c r="Y36" i="4"/>
  <c r="Y37" i="4"/>
  <c r="Y4" i="4"/>
  <c r="Y5" i="4"/>
  <c r="Y6" i="4"/>
  <c r="Y7" i="4"/>
  <c r="Y8" i="4"/>
  <c r="Y9" i="4"/>
  <c r="Z33" i="4" l="1"/>
  <c r="Z34" i="4"/>
  <c r="Z35" i="4"/>
  <c r="Z36" i="4"/>
  <c r="Z37" i="4"/>
  <c r="Z42" i="4"/>
  <c r="Z43" i="4"/>
  <c r="Z44" i="4"/>
  <c r="Z45" i="4"/>
  <c r="Z46" i="4"/>
  <c r="Z47" i="4"/>
  <c r="Z48" i="4"/>
  <c r="Z49" i="4"/>
  <c r="Z50" i="4"/>
  <c r="Z51" i="4"/>
  <c r="Z52" i="4"/>
  <c r="Z53" i="4"/>
  <c r="Z54" i="4"/>
  <c r="Z55" i="4"/>
  <c r="Z56" i="4"/>
  <c r="Z57" i="4"/>
  <c r="Z58" i="4"/>
  <c r="Z59" i="4"/>
  <c r="Z60" i="4"/>
  <c r="Z61" i="4"/>
  <c r="Z62" i="4"/>
  <c r="Z63" i="4"/>
  <c r="Z64" i="4"/>
  <c r="Z65" i="4"/>
  <c r="Z66" i="4"/>
  <c r="Z67" i="4"/>
  <c r="Z68" i="4"/>
  <c r="Z69" i="4"/>
  <c r="Z70" i="4"/>
  <c r="Z71" i="4"/>
  <c r="Z72" i="4"/>
  <c r="Z73" i="4"/>
  <c r="Z74" i="4"/>
  <c r="Z75" i="4"/>
  <c r="Z76" i="4"/>
  <c r="Z77" i="4"/>
  <c r="Z78" i="4"/>
  <c r="Z79" i="4"/>
  <c r="Z80" i="4"/>
  <c r="Z81" i="4"/>
  <c r="Z82" i="4"/>
  <c r="Z83" i="4"/>
  <c r="Z84" i="4"/>
  <c r="Z85" i="4"/>
  <c r="Z86" i="4"/>
  <c r="Z87" i="4"/>
  <c r="Z88" i="4"/>
  <c r="Z89" i="4"/>
  <c r="Z90" i="4"/>
  <c r="Z91" i="4"/>
  <c r="Z92" i="4"/>
  <c r="Z93" i="4"/>
  <c r="Z94" i="4"/>
  <c r="Z95" i="4"/>
  <c r="Z96" i="4"/>
  <c r="Z97" i="4"/>
  <c r="Z98" i="4"/>
  <c r="Z99" i="4"/>
  <c r="Z100" i="4"/>
  <c r="Z101" i="4"/>
  <c r="Z102" i="4"/>
  <c r="Z103" i="4"/>
  <c r="Z104" i="4"/>
  <c r="Z105" i="4"/>
  <c r="Z106" i="4"/>
  <c r="Z107" i="4"/>
  <c r="Z108" i="4"/>
  <c r="Z109" i="4"/>
  <c r="Z110" i="4"/>
  <c r="Z111" i="4"/>
  <c r="Z112" i="4"/>
  <c r="Z113" i="4"/>
  <c r="Z114" i="4"/>
  <c r="Z115" i="4"/>
  <c r="Z116" i="4"/>
  <c r="Z117" i="4"/>
  <c r="Z118" i="4"/>
  <c r="Z119" i="4"/>
  <c r="Z120" i="4"/>
  <c r="Z121" i="4"/>
  <c r="Z122" i="4"/>
  <c r="Z123" i="4"/>
  <c r="Z124" i="4"/>
  <c r="Z125" i="4"/>
  <c r="Z126" i="4"/>
  <c r="Z127" i="4"/>
  <c r="Z128" i="4"/>
  <c r="Z129" i="4"/>
  <c r="Z130" i="4"/>
  <c r="Z131" i="4"/>
  <c r="Z132" i="4"/>
  <c r="Z133" i="4"/>
  <c r="Z134" i="4"/>
  <c r="Z135" i="4"/>
  <c r="Z136" i="4"/>
  <c r="Z137" i="4"/>
  <c r="Z138" i="4"/>
  <c r="Z139" i="4"/>
  <c r="Z140" i="4"/>
  <c r="Z141" i="4"/>
  <c r="Z142" i="4"/>
  <c r="Z143" i="4"/>
  <c r="Z144" i="4"/>
  <c r="Z145" i="4"/>
  <c r="Z146" i="4"/>
  <c r="Z147" i="4"/>
  <c r="Z148" i="4"/>
  <c r="Z149" i="4"/>
  <c r="Z150" i="4"/>
  <c r="Z151" i="4"/>
  <c r="Z152" i="4"/>
  <c r="Z153" i="4"/>
  <c r="Z154" i="4"/>
  <c r="Z155" i="4"/>
  <c r="Z156" i="4"/>
  <c r="Z157" i="4"/>
  <c r="Z158" i="4"/>
  <c r="Z159" i="4"/>
  <c r="Z160" i="4"/>
  <c r="Z161" i="4"/>
  <c r="Z162" i="4"/>
  <c r="Z163" i="4"/>
  <c r="Z164" i="4"/>
  <c r="Z165" i="4"/>
  <c r="Z166" i="4"/>
  <c r="Z167" i="4"/>
  <c r="Z168" i="4"/>
  <c r="Z169" i="4"/>
  <c r="Z170" i="4"/>
  <c r="Z171" i="4"/>
  <c r="Z172" i="4"/>
  <c r="Z173" i="4"/>
  <c r="Z174" i="4"/>
  <c r="Z175" i="4"/>
  <c r="Z176" i="4"/>
  <c r="Z177" i="4"/>
  <c r="Z178" i="4"/>
  <c r="Z179" i="4"/>
  <c r="Z180" i="4"/>
  <c r="Z181" i="4"/>
  <c r="Z182" i="4"/>
  <c r="Z183" i="4"/>
  <c r="Z184" i="4"/>
  <c r="Z185" i="4"/>
  <c r="Z186" i="4"/>
  <c r="Z187" i="4"/>
  <c r="Z188" i="4"/>
  <c r="Z189" i="4"/>
  <c r="Z190" i="4"/>
  <c r="Z191" i="4"/>
  <c r="Z192" i="4"/>
  <c r="Z193" i="4"/>
  <c r="Z194" i="4"/>
  <c r="Z195" i="4"/>
  <c r="Z196" i="4"/>
  <c r="Z197" i="4"/>
  <c r="Z198" i="4"/>
  <c r="Z199" i="4"/>
  <c r="Z200" i="4"/>
  <c r="Z201" i="4"/>
  <c r="Z202" i="4"/>
  <c r="Z203" i="4"/>
  <c r="Z204" i="4"/>
  <c r="Z205" i="4"/>
  <c r="Z206" i="4"/>
  <c r="Z207" i="4"/>
  <c r="Z208" i="4"/>
  <c r="Z209" i="4"/>
  <c r="Z210" i="4"/>
  <c r="Z211" i="4"/>
  <c r="Z212" i="4"/>
  <c r="Z213" i="4"/>
  <c r="Z214" i="4"/>
  <c r="Z215" i="4"/>
  <c r="Z216" i="4"/>
  <c r="Z217" i="4"/>
  <c r="Z218" i="4"/>
  <c r="Z219" i="4"/>
  <c r="Z220" i="4"/>
  <c r="Z221" i="4"/>
  <c r="Z222" i="4"/>
  <c r="Z223" i="4"/>
  <c r="Z224" i="4"/>
  <c r="Z225" i="4"/>
  <c r="Z226" i="4"/>
  <c r="Z227" i="4"/>
  <c r="Z228" i="4"/>
  <c r="Z229" i="4"/>
  <c r="Z19" i="4"/>
  <c r="Z20" i="4"/>
  <c r="Z21" i="4"/>
  <c r="Z22" i="4"/>
  <c r="Z23" i="4"/>
  <c r="Z24" i="4"/>
  <c r="Z25" i="4"/>
  <c r="Z26" i="4"/>
  <c r="Z27" i="4"/>
  <c r="Z28" i="4"/>
  <c r="Z29" i="4"/>
  <c r="Z30" i="4"/>
  <c r="Z31" i="4"/>
  <c r="Z32" i="4"/>
  <c r="Z3" i="4"/>
  <c r="Z4" i="4"/>
  <c r="Z5" i="4"/>
  <c r="Z6" i="4"/>
  <c r="Z7" i="4"/>
  <c r="Z8" i="4"/>
  <c r="Z9" i="4"/>
  <c r="Z10" i="4"/>
  <c r="Z11" i="4"/>
  <c r="Z12" i="4"/>
  <c r="Z13" i="4"/>
  <c r="Z14" i="4"/>
  <c r="Z15" i="4"/>
  <c r="Z16" i="4"/>
  <c r="Z17" i="4"/>
  <c r="Z18" i="4"/>
  <c r="B43" i="4"/>
  <c r="B41" i="4"/>
  <c r="B39" i="4"/>
  <c r="B37" i="4"/>
  <c r="B35" i="4"/>
  <c r="B33" i="4"/>
  <c r="B31" i="4"/>
  <c r="B29" i="4"/>
  <c r="B27" i="4"/>
  <c r="B25" i="4"/>
  <c r="B23" i="4"/>
  <c r="B21" i="4"/>
  <c r="B19" i="4"/>
  <c r="B17" i="4"/>
  <c r="B15" i="4"/>
  <c r="B13" i="4"/>
  <c r="B11" i="4"/>
  <c r="B9" i="4"/>
  <c r="B7" i="4"/>
  <c r="B5" i="4"/>
  <c r="B3" i="4"/>
  <c r="W2" i="4"/>
  <c r="V2" i="4"/>
  <c r="U2" i="4"/>
  <c r="T2" i="4"/>
  <c r="S2" i="4"/>
  <c r="R2" i="4"/>
  <c r="Q2" i="4"/>
  <c r="P2" i="4"/>
  <c r="O2" i="4"/>
  <c r="N2" i="4"/>
  <c r="M2" i="4"/>
  <c r="L2" i="4"/>
  <c r="K2" i="4"/>
  <c r="J2" i="4"/>
  <c r="I2" i="4"/>
  <c r="H2" i="4"/>
  <c r="G2" i="4"/>
  <c r="F2" i="4"/>
  <c r="E2" i="4"/>
  <c r="D2" i="4"/>
  <c r="C2" i="4"/>
  <c r="B43" i="2"/>
  <c r="B41" i="2"/>
  <c r="B39" i="2"/>
  <c r="B37" i="2"/>
  <c r="B35" i="2"/>
  <c r="B33" i="2"/>
  <c r="B31" i="2"/>
  <c r="B29" i="2"/>
  <c r="B27" i="2"/>
  <c r="B25" i="2"/>
  <c r="B23" i="2"/>
  <c r="B21" i="2"/>
  <c r="B19" i="2"/>
  <c r="B17" i="2"/>
  <c r="B15" i="2"/>
  <c r="B13" i="2"/>
  <c r="B11" i="2"/>
  <c r="B9" i="2"/>
  <c r="B7" i="2"/>
  <c r="B5" i="2"/>
  <c r="B3" i="2"/>
  <c r="W2" i="2"/>
  <c r="V2" i="2"/>
  <c r="U2" i="2"/>
  <c r="T2" i="2"/>
  <c r="S2" i="2"/>
  <c r="R2" i="2"/>
  <c r="Q2" i="2"/>
  <c r="P2" i="2"/>
  <c r="O2" i="2"/>
  <c r="N2" i="2"/>
  <c r="M2" i="2"/>
  <c r="L2" i="2"/>
  <c r="K2" i="2"/>
  <c r="J2" i="2"/>
  <c r="I2" i="2"/>
  <c r="H2" i="2"/>
  <c r="G2" i="2"/>
  <c r="F2" i="2"/>
  <c r="E2" i="2"/>
  <c r="D2" i="2"/>
  <c r="C2" i="2"/>
  <c r="W45" i="4" l="1"/>
  <c r="Z48" i="3"/>
  <c r="Z49" i="3"/>
  <c r="Z50" i="3"/>
  <c r="Z51" i="3"/>
  <c r="O48" i="3"/>
  <c r="O49" i="3"/>
  <c r="O50" i="3"/>
  <c r="O51" i="3"/>
  <c r="D48" i="3"/>
  <c r="D49" i="3"/>
  <c r="D50" i="3"/>
  <c r="D51" i="3"/>
  <c r="A20" i="3"/>
  <c r="A21" i="3"/>
  <c r="A22" i="3"/>
  <c r="A23" i="3"/>
  <c r="A24" i="3"/>
  <c r="W22" i="5"/>
  <c r="W21" i="5"/>
  <c r="W20" i="5"/>
  <c r="W19" i="5"/>
  <c r="W18" i="5"/>
  <c r="W17" i="5"/>
  <c r="W16" i="5"/>
  <c r="W15" i="5"/>
  <c r="W14" i="5"/>
  <c r="W13" i="5"/>
  <c r="W12" i="5"/>
  <c r="W11" i="5"/>
  <c r="W10" i="5"/>
  <c r="W9" i="5"/>
  <c r="W8" i="5"/>
  <c r="W7" i="5"/>
  <c r="W6" i="5"/>
  <c r="W5" i="5"/>
  <c r="W4" i="5"/>
  <c r="W3" i="5"/>
  <c r="V21" i="5"/>
  <c r="V20" i="5"/>
  <c r="V19" i="5"/>
  <c r="V18" i="5"/>
  <c r="V17" i="5"/>
  <c r="V16" i="5"/>
  <c r="V15" i="5"/>
  <c r="V14" i="5"/>
  <c r="V13" i="5"/>
  <c r="V12" i="5"/>
  <c r="V11" i="5"/>
  <c r="V10" i="5"/>
  <c r="V9" i="5"/>
  <c r="V8" i="5"/>
  <c r="V7" i="5"/>
  <c r="V6" i="5"/>
  <c r="V5" i="5"/>
  <c r="V4" i="5"/>
  <c r="V3" i="5"/>
  <c r="U20" i="5"/>
  <c r="U19" i="5"/>
  <c r="U18" i="5"/>
  <c r="U17" i="5"/>
  <c r="U16" i="5"/>
  <c r="U15" i="5"/>
  <c r="U14" i="5"/>
  <c r="U13" i="5"/>
  <c r="U12" i="5"/>
  <c r="U11" i="5"/>
  <c r="U10" i="5"/>
  <c r="U9" i="5"/>
  <c r="U8" i="5"/>
  <c r="U7" i="5"/>
  <c r="U6" i="5"/>
  <c r="U5" i="5"/>
  <c r="U4" i="5"/>
  <c r="U3" i="5"/>
  <c r="T19" i="5"/>
  <c r="T18" i="5"/>
  <c r="T17" i="5"/>
  <c r="T16" i="5"/>
  <c r="T15" i="5"/>
  <c r="T14" i="5"/>
  <c r="T13" i="5"/>
  <c r="T12" i="5"/>
  <c r="T11" i="5"/>
  <c r="T10" i="5"/>
  <c r="T9" i="5"/>
  <c r="T8" i="5"/>
  <c r="T7" i="5"/>
  <c r="T6" i="5"/>
  <c r="T5" i="5"/>
  <c r="T4" i="5"/>
  <c r="T3" i="5"/>
  <c r="S4" i="5"/>
  <c r="S18" i="5"/>
  <c r="S17" i="5"/>
  <c r="S16" i="5"/>
  <c r="S15" i="5"/>
  <c r="S14" i="5"/>
  <c r="S13" i="5"/>
  <c r="S12" i="5"/>
  <c r="S11" i="5"/>
  <c r="S10" i="5"/>
  <c r="S9" i="5"/>
  <c r="S8" i="5"/>
  <c r="S7" i="5"/>
  <c r="S6" i="5"/>
  <c r="S5" i="5"/>
  <c r="S3" i="5"/>
  <c r="R17" i="5"/>
  <c r="R16" i="5"/>
  <c r="R14" i="5"/>
  <c r="R13" i="5"/>
  <c r="R12" i="5"/>
  <c r="R3" i="5"/>
  <c r="B16" i="5"/>
  <c r="B17" i="5"/>
  <c r="B18" i="5"/>
  <c r="B19" i="5"/>
  <c r="B20" i="5"/>
  <c r="B21" i="5"/>
  <c r="B22" i="5"/>
  <c r="B23" i="5"/>
  <c r="W2" i="5"/>
  <c r="V2" i="5"/>
  <c r="U2" i="5"/>
  <c r="T2" i="5"/>
  <c r="S2" i="5"/>
  <c r="R2" i="5"/>
  <c r="Q2" i="5"/>
  <c r="P2" i="5"/>
  <c r="Z47" i="3" l="1"/>
  <c r="Z46" i="3"/>
  <c r="Z45" i="3"/>
  <c r="Z44" i="3"/>
  <c r="Z43" i="3"/>
  <c r="Z42" i="3"/>
  <c r="Z41" i="3"/>
  <c r="Z40" i="3"/>
  <c r="Z39" i="3"/>
  <c r="Z38" i="3"/>
  <c r="Z37" i="3"/>
  <c r="Z36" i="3"/>
  <c r="Z35" i="3"/>
  <c r="Z34" i="3"/>
  <c r="Z33" i="3"/>
  <c r="Z32" i="3"/>
  <c r="O47" i="3"/>
  <c r="O46" i="3"/>
  <c r="O45" i="3"/>
  <c r="O44" i="3"/>
  <c r="O43" i="3"/>
  <c r="O42" i="3"/>
  <c r="O41" i="3"/>
  <c r="O40" i="3"/>
  <c r="O39" i="3"/>
  <c r="O38" i="3"/>
  <c r="O37" i="3"/>
  <c r="O36" i="3"/>
  <c r="O35" i="3"/>
  <c r="O34" i="3"/>
  <c r="O33" i="3"/>
  <c r="O32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31" i="3"/>
  <c r="A16" i="3"/>
  <c r="A17" i="3"/>
  <c r="A18" i="3"/>
  <c r="A19" i="3"/>
  <c r="A7" i="3" l="1"/>
  <c r="A8" i="3"/>
  <c r="A9" i="3"/>
  <c r="A10" i="3"/>
  <c r="A6" i="3" l="1"/>
  <c r="A5" i="3"/>
  <c r="A11" i="3" l="1"/>
  <c r="A12" i="3"/>
  <c r="A13" i="3"/>
  <c r="A14" i="3"/>
  <c r="A15" i="3"/>
  <c r="Q16" i="5" l="1"/>
  <c r="Q15" i="5"/>
  <c r="Q14" i="5"/>
  <c r="Q13" i="5"/>
  <c r="Q12" i="5"/>
  <c r="Q11" i="5"/>
  <c r="Q10" i="5"/>
  <c r="Q9" i="5"/>
  <c r="Q8" i="5"/>
  <c r="Q7" i="5"/>
  <c r="Q6" i="5"/>
  <c r="P15" i="5"/>
  <c r="P14" i="5"/>
  <c r="P13" i="5"/>
  <c r="P11" i="5"/>
  <c r="P10" i="5"/>
  <c r="P9" i="5"/>
  <c r="P8" i="5"/>
  <c r="P7" i="5"/>
  <c r="P6" i="5"/>
  <c r="O14" i="5"/>
  <c r="O13" i="5"/>
  <c r="O12" i="5"/>
  <c r="O11" i="5"/>
  <c r="O10" i="5"/>
  <c r="O9" i="5"/>
  <c r="O8" i="5"/>
  <c r="O7" i="5"/>
  <c r="N13" i="5"/>
  <c r="N12" i="5"/>
  <c r="N11" i="5"/>
  <c r="N10" i="5"/>
  <c r="N9" i="5"/>
  <c r="N8" i="5"/>
  <c r="N7" i="5"/>
  <c r="O6" i="5"/>
  <c r="N6" i="5"/>
  <c r="Q5" i="5"/>
  <c r="P5" i="5"/>
  <c r="O5" i="5"/>
  <c r="N5" i="5"/>
  <c r="Q4" i="5"/>
  <c r="P4" i="5"/>
  <c r="O4" i="5"/>
  <c r="N4" i="5"/>
  <c r="Q3" i="5"/>
  <c r="O3" i="5"/>
  <c r="N3" i="5"/>
  <c r="M12" i="5"/>
  <c r="M11" i="5"/>
  <c r="L11" i="5"/>
  <c r="M10" i="5"/>
  <c r="L10" i="5"/>
  <c r="K10" i="5"/>
  <c r="M9" i="5"/>
  <c r="L9" i="5"/>
  <c r="K9" i="5"/>
  <c r="J9" i="5"/>
  <c r="M8" i="5"/>
  <c r="L8" i="5"/>
  <c r="K8" i="5"/>
  <c r="J8" i="5"/>
  <c r="I8" i="5"/>
  <c r="M7" i="5"/>
  <c r="L7" i="5"/>
  <c r="K7" i="5"/>
  <c r="I7" i="5"/>
  <c r="H7" i="5"/>
  <c r="M6" i="5"/>
  <c r="L6" i="5"/>
  <c r="K6" i="5"/>
  <c r="J6" i="5"/>
  <c r="I6" i="5"/>
  <c r="H6" i="5"/>
  <c r="G6" i="5"/>
  <c r="M5" i="5"/>
  <c r="L5" i="5"/>
  <c r="K5" i="5"/>
  <c r="J5" i="5"/>
  <c r="I5" i="5"/>
  <c r="H5" i="5"/>
  <c r="G5" i="5"/>
  <c r="F5" i="5"/>
  <c r="M4" i="5"/>
  <c r="L4" i="5"/>
  <c r="K4" i="5"/>
  <c r="J4" i="5"/>
  <c r="I4" i="5"/>
  <c r="H4" i="5"/>
  <c r="G4" i="5"/>
  <c r="F4" i="5"/>
  <c r="E4" i="5"/>
  <c r="L3" i="5"/>
  <c r="K3" i="5"/>
  <c r="J3" i="5"/>
  <c r="I3" i="5"/>
  <c r="H3" i="5"/>
  <c r="F3" i="5"/>
  <c r="E3" i="5"/>
  <c r="D3" i="5"/>
  <c r="B15" i="5"/>
  <c r="B14" i="5"/>
  <c r="B13" i="5"/>
  <c r="B12" i="5"/>
  <c r="B11" i="5"/>
  <c r="B10" i="5"/>
  <c r="B9" i="5"/>
  <c r="B8" i="5"/>
  <c r="B7" i="5"/>
  <c r="B6" i="5"/>
  <c r="B5" i="5"/>
  <c r="B4" i="5"/>
  <c r="B3" i="5"/>
  <c r="O2" i="5"/>
  <c r="N2" i="5"/>
  <c r="M2" i="5"/>
  <c r="L2" i="5"/>
  <c r="K2" i="5"/>
  <c r="J2" i="5"/>
  <c r="I2" i="5"/>
  <c r="H2" i="5"/>
  <c r="G2" i="5"/>
  <c r="F2" i="5"/>
  <c r="E2" i="5"/>
  <c r="D2" i="5"/>
  <c r="C2" i="5"/>
</calcChain>
</file>

<file path=xl/sharedStrings.xml><?xml version="1.0" encoding="utf-8"?>
<sst xmlns="http://schemas.openxmlformats.org/spreadsheetml/2006/main" count="302" uniqueCount="165">
  <si>
    <t>Name</t>
  </si>
  <si>
    <t>Template</t>
  </si>
  <si>
    <t>g</t>
  </si>
  <si>
    <t>E</t>
  </si>
  <si>
    <t>Postsynaptic</t>
  </si>
  <si>
    <t>Presynaptic</t>
  </si>
  <si>
    <t>u1</t>
  </si>
  <si>
    <t>u2</t>
  </si>
  <si>
    <t>h</t>
  </si>
  <si>
    <t>s</t>
  </si>
  <si>
    <t>p</t>
  </si>
  <si>
    <t>tx</t>
  </si>
  <si>
    <t>ud</t>
  </si>
  <si>
    <t>ur</t>
  </si>
  <si>
    <t>duration</t>
  </si>
  <si>
    <t>Amplitude</t>
  </si>
  <si>
    <t>step size</t>
  </si>
  <si>
    <t>jitter in step size</t>
  </si>
  <si>
    <t>votage-dependent conductance (.vdg)</t>
  </si>
  <si>
    <t>electrical synapse (.es)</t>
  </si>
  <si>
    <t>chemical synapse (.cs)</t>
  </si>
  <si>
    <t>smu</t>
  </si>
  <si>
    <t>name</t>
  </si>
  <si>
    <t>stepsize</t>
  </si>
  <si>
    <t>graph</t>
  </si>
  <si>
    <t>store</t>
  </si>
  <si>
    <t>method</t>
  </si>
  <si>
    <t>variable</t>
  </si>
  <si>
    <t>start</t>
  </si>
  <si>
    <t>stop</t>
  </si>
  <si>
    <t># ticks</t>
  </si>
  <si>
    <t>time</t>
  </si>
  <si>
    <t>min</t>
  </si>
  <si>
    <t>max</t>
  </si>
  <si>
    <t>color</t>
  </si>
  <si>
    <t>variable 1</t>
  </si>
  <si>
    <t>graph (ous)</t>
  </si>
  <si>
    <t>Current injection</t>
  </si>
  <si>
    <t>neuron</t>
  </si>
  <si>
    <t>magnitude</t>
  </si>
  <si>
    <t>Size</t>
  </si>
  <si>
    <t>variable 2</t>
  </si>
  <si>
    <t>variable 3</t>
  </si>
  <si>
    <t>variable 4</t>
  </si>
  <si>
    <t>V</t>
  </si>
  <si>
    <t>example</t>
  </si>
  <si>
    <t>example variables</t>
  </si>
  <si>
    <t>Ivd</t>
  </si>
  <si>
    <t>current by voltage gated conductance</t>
  </si>
  <si>
    <t>voltage</t>
  </si>
  <si>
    <t>A</t>
  </si>
  <si>
    <t>B</t>
  </si>
  <si>
    <t>activation of conductance</t>
  </si>
  <si>
    <t>Inactivation of conductance</t>
  </si>
  <si>
    <t>Ics</t>
  </si>
  <si>
    <t>Cion</t>
  </si>
  <si>
    <t>amount of ion</t>
  </si>
  <si>
    <t xml:space="preserve">    variable.conductance.neuron</t>
  </si>
  <si>
    <t xml:space="preserve">    Ivd.Na.N1</t>
  </si>
  <si>
    <t xml:space="preserve">    variable.neuron</t>
  </si>
  <si>
    <t xml:space="preserve">    V.N1</t>
  </si>
  <si>
    <t>conductance</t>
  </si>
  <si>
    <t xml:space="preserve">neuron </t>
  </si>
  <si>
    <t>red indicates simlation longer than graph duration</t>
  </si>
  <si>
    <t xml:space="preserve">                         stimulation (.trt)</t>
  </si>
  <si>
    <t>output variables</t>
  </si>
  <si>
    <t>type "all" in first cell to output all graphed variables or type individual channels</t>
  </si>
  <si>
    <t>potential</t>
  </si>
  <si>
    <t>Voltage clamp</t>
  </si>
  <si>
    <t>syntax</t>
  </si>
  <si>
    <t>synapse</t>
  </si>
  <si>
    <t>variable.pre.post.type</t>
  </si>
  <si>
    <t>Ics.N1.N4.f_exc</t>
  </si>
  <si>
    <t>example synapses</t>
  </si>
  <si>
    <t>f_exc</t>
  </si>
  <si>
    <t>s_exc</t>
  </si>
  <si>
    <t>f_inh</t>
  </si>
  <si>
    <t>s_inh</t>
  </si>
  <si>
    <t>fast inhibitory</t>
  </si>
  <si>
    <t>fast excitatory</t>
  </si>
  <si>
    <t>slow inhibitory</t>
  </si>
  <si>
    <t>slow excitatory</t>
  </si>
  <si>
    <t>Ies.N1.N4</t>
  </si>
  <si>
    <t>chem syn current</t>
  </si>
  <si>
    <t>elec syn current</t>
  </si>
  <si>
    <t>Ies</t>
  </si>
  <si>
    <t>File</t>
  </si>
  <si>
    <t>leak</t>
  </si>
  <si>
    <t>vdg</t>
  </si>
  <si>
    <t>tmx</t>
  </si>
  <si>
    <t>tmin</t>
  </si>
  <si>
    <t>all</t>
  </si>
  <si>
    <t>An</t>
  </si>
  <si>
    <t>Bn</t>
  </si>
  <si>
    <t>th1</t>
  </si>
  <si>
    <t>ts1</t>
  </si>
  <si>
    <t>tp1</t>
  </si>
  <si>
    <t>th2</t>
  </si>
  <si>
    <t>ts2</t>
  </si>
  <si>
    <t>tp2</t>
  </si>
  <si>
    <t>ion</t>
  </si>
  <si>
    <t>Ca</t>
  </si>
  <si>
    <t>K1</t>
  </si>
  <si>
    <t>K2</t>
  </si>
  <si>
    <t>ch</t>
  </si>
  <si>
    <t>Ion pools</t>
  </si>
  <si>
    <t>Conductance to ion</t>
  </si>
  <si>
    <t>Ion to conductance</t>
  </si>
  <si>
    <t>fBr = BR</t>
  </si>
  <si>
    <t>fBr = 1 + BR</t>
  </si>
  <si>
    <t>channel requires ion</t>
  </si>
  <si>
    <t>ion enhances channel only</t>
  </si>
  <si>
    <t>ion inhibits channel only</t>
  </si>
  <si>
    <t>b</t>
  </si>
  <si>
    <t>fBr = 1/(1 + b*(BR))</t>
  </si>
  <si>
    <t>p1</t>
  </si>
  <si>
    <t>p2</t>
  </si>
  <si>
    <t>opt2</t>
  </si>
  <si>
    <t>opt1</t>
  </si>
  <si>
    <t xml:space="preserve">opt1  1: </t>
  </si>
  <si>
    <t xml:space="preserve"> 2: </t>
  </si>
  <si>
    <t xml:space="preserve">3: </t>
  </si>
  <si>
    <t xml:space="preserve">opt2  1: </t>
  </si>
  <si>
    <t xml:space="preserve">2: </t>
  </si>
  <si>
    <t xml:space="preserve">4: </t>
  </si>
  <si>
    <t xml:space="preserve">5: </t>
  </si>
  <si>
    <t>dBR/dt = (ion - BR)/p1</t>
  </si>
  <si>
    <t>BR = ion/(p1 + ion)</t>
  </si>
  <si>
    <t>BR = ion/(p1+ ion) + 1</t>
  </si>
  <si>
    <t>BR = 1/(1 + p1*ion)</t>
  </si>
  <si>
    <t>BR = exp((p1+ ion)/p2)</t>
  </si>
  <si>
    <t>cm</t>
  </si>
  <si>
    <t>IVDxREG</t>
  </si>
  <si>
    <t>currrent by conductance and regulation</t>
  </si>
  <si>
    <t>CaL</t>
  </si>
  <si>
    <t>sIVD_reg</t>
  </si>
  <si>
    <t>for total current</t>
  </si>
  <si>
    <t>slex</t>
  </si>
  <si>
    <t>trt current</t>
  </si>
  <si>
    <t>d(ion)/dt = K1*(K2*sum(Ivd) - ion)</t>
  </si>
  <si>
    <t>depression</t>
  </si>
  <si>
    <t>facilitation</t>
  </si>
  <si>
    <t>taus</t>
  </si>
  <si>
    <t>u</t>
  </si>
  <si>
    <t>fBR</t>
  </si>
  <si>
    <t>fBR.ion.ch.neuron</t>
  </si>
  <si>
    <t>minimum activation</t>
  </si>
  <si>
    <t>half in/activation</t>
  </si>
  <si>
    <t>slope</t>
  </si>
  <si>
    <t>power</t>
  </si>
  <si>
    <t>maximum tau</t>
  </si>
  <si>
    <t>minimum tau</t>
  </si>
  <si>
    <t>if u2 is empty it is assumed equal to u1</t>
  </si>
  <si>
    <t>midrange</t>
  </si>
  <si>
    <t>Voltage dependence</t>
  </si>
  <si>
    <t>fast</t>
  </si>
  <si>
    <t>slow</t>
  </si>
  <si>
    <t>Ach</t>
  </si>
  <si>
    <t>Colorbar</t>
  </si>
  <si>
    <t>Initial voltage</t>
  </si>
  <si>
    <t>mV</t>
  </si>
  <si>
    <t>simname</t>
  </si>
  <si>
    <t>Na</t>
  </si>
  <si>
    <t>K</t>
  </si>
  <si>
    <t>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</si>
</sst>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C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CD6D6"/>
        <bgColor indexed="64"/>
      </patternFill>
    </fill>
    <fill>
      <patternFill patternType="solid">
        <fgColor rgb="FFFFCCCC"/>
        <bgColor indexed="64"/>
      </patternFill>
    </fill>
  </fills>
  <borders count="7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78">
    <xf numFmtId="0" fontId="0" fillId="0" borderId="0" xfId="0"/>
    <xf numFmtId="0" fontId="0" fillId="3" borderId="0" xfId="0" applyFill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3" borderId="0" xfId="0" applyFill="1"/>
    <xf numFmtId="0" fontId="0" fillId="3" borderId="3" xfId="0" applyFill="1" applyBorder="1"/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4" borderId="1" xfId="0" applyFill="1" applyBorder="1"/>
    <xf numFmtId="0" fontId="2" fillId="3" borderId="0" xfId="0" applyFont="1" applyFill="1" applyAlignment="1">
      <alignment horizontal="right"/>
    </xf>
    <xf numFmtId="0" fontId="2" fillId="3" borderId="0" xfId="0" applyFont="1" applyFill="1"/>
    <xf numFmtId="0" fontId="2" fillId="3" borderId="1" xfId="0" applyFont="1" applyFill="1" applyBorder="1" applyAlignment="1">
      <alignment horizontal="right"/>
    </xf>
    <xf numFmtId="0" fontId="2" fillId="3" borderId="1" xfId="0" applyFont="1" applyFill="1" applyBorder="1"/>
    <xf numFmtId="0" fontId="0" fillId="4" borderId="21" xfId="0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4" borderId="24" xfId="0" applyFill="1" applyBorder="1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horizontal="right"/>
    </xf>
    <xf numFmtId="0" fontId="3" fillId="3" borderId="0" xfId="0" applyFont="1" applyFill="1" applyAlignment="1">
      <alignment horizontal="left"/>
    </xf>
    <xf numFmtId="0" fontId="0" fillId="3" borderId="32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4" borderId="32" xfId="0" applyFill="1" applyBorder="1" applyAlignment="1">
      <alignment horizontal="center"/>
    </xf>
    <xf numFmtId="0" fontId="0" fillId="4" borderId="33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26" xfId="0" applyFill="1" applyBorder="1" applyAlignment="1">
      <alignment horizontal="center"/>
    </xf>
    <xf numFmtId="0" fontId="0" fillId="4" borderId="34" xfId="0" applyFill="1" applyBorder="1" applyAlignment="1">
      <alignment horizontal="center"/>
    </xf>
    <xf numFmtId="0" fontId="0" fillId="3" borderId="36" xfId="0" applyFill="1" applyBorder="1" applyAlignment="1">
      <alignment horizontal="center"/>
    </xf>
    <xf numFmtId="0" fontId="0" fillId="4" borderId="36" xfId="0" applyFill="1" applyBorder="1" applyAlignment="1">
      <alignment horizontal="center"/>
    </xf>
    <xf numFmtId="0" fontId="0" fillId="4" borderId="37" xfId="0" applyFill="1" applyBorder="1" applyAlignment="1">
      <alignment horizontal="center"/>
    </xf>
    <xf numFmtId="0" fontId="0" fillId="3" borderId="0" xfId="0" applyFill="1" applyAlignment="1">
      <alignment horizontal="left" indent="1"/>
    </xf>
    <xf numFmtId="0" fontId="0" fillId="3" borderId="0" xfId="0" applyFill="1" applyAlignment="1">
      <alignment horizontal="right"/>
    </xf>
    <xf numFmtId="0" fontId="0" fillId="3" borderId="38" xfId="0" applyFill="1" applyBorder="1" applyAlignment="1">
      <alignment horizontal="center"/>
    </xf>
    <xf numFmtId="0" fontId="0" fillId="3" borderId="39" xfId="0" applyFill="1" applyBorder="1" applyAlignment="1">
      <alignment horizontal="center"/>
    </xf>
    <xf numFmtId="0" fontId="0" fillId="3" borderId="40" xfId="0" applyFill="1" applyBorder="1" applyAlignment="1">
      <alignment horizontal="center"/>
    </xf>
    <xf numFmtId="0" fontId="0" fillId="3" borderId="29" xfId="0" applyFill="1" applyBorder="1"/>
    <xf numFmtId="0" fontId="1" fillId="3" borderId="0" xfId="0" applyFont="1" applyFill="1"/>
    <xf numFmtId="49" fontId="0" fillId="3" borderId="0" xfId="0" applyNumberFormat="1" applyFill="1" applyAlignment="1">
      <alignment horizontal="right"/>
    </xf>
    <xf numFmtId="49" fontId="0" fillId="3" borderId="0" xfId="0" applyNumberFormat="1" applyFill="1"/>
    <xf numFmtId="0" fontId="2" fillId="4" borderId="13" xfId="0" applyFont="1" applyFill="1" applyBorder="1" applyAlignment="1">
      <alignment horizontal="center"/>
    </xf>
    <xf numFmtId="0" fontId="0" fillId="3" borderId="41" xfId="0" applyFill="1" applyBorder="1" applyAlignment="1">
      <alignment horizontal="center"/>
    </xf>
    <xf numFmtId="0" fontId="0" fillId="3" borderId="42" xfId="0" applyFill="1" applyBorder="1" applyAlignment="1">
      <alignment horizontal="center"/>
    </xf>
    <xf numFmtId="0" fontId="0" fillId="4" borderId="43" xfId="0" applyFill="1" applyBorder="1" applyAlignment="1">
      <alignment horizontal="center"/>
    </xf>
    <xf numFmtId="0" fontId="0" fillId="4" borderId="44" xfId="0" applyFill="1" applyBorder="1" applyAlignment="1">
      <alignment horizontal="center"/>
    </xf>
    <xf numFmtId="0" fontId="0" fillId="3" borderId="46" xfId="0" applyFill="1" applyBorder="1"/>
    <xf numFmtId="0" fontId="3" fillId="3" borderId="0" xfId="0" applyFont="1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3" borderId="26" xfId="0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3" borderId="47" xfId="0" applyFill="1" applyBorder="1"/>
    <xf numFmtId="0" fontId="0" fillId="4" borderId="5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26" xfId="0" applyFill="1" applyBorder="1" applyAlignment="1">
      <alignment horizontal="center" vertical="center"/>
    </xf>
    <xf numFmtId="0" fontId="0" fillId="4" borderId="41" xfId="0" applyFill="1" applyBorder="1" applyAlignment="1">
      <alignment horizontal="center" vertical="center"/>
    </xf>
    <xf numFmtId="0" fontId="0" fillId="5" borderId="52" xfId="0" applyFill="1" applyBorder="1" applyAlignment="1">
      <alignment horizontal="center" vertical="center"/>
    </xf>
    <xf numFmtId="0" fontId="0" fillId="5" borderId="38" xfId="0" applyFill="1" applyBorder="1" applyAlignment="1">
      <alignment horizontal="center" vertical="center"/>
    </xf>
    <xf numFmtId="0" fontId="0" fillId="4" borderId="39" xfId="0" applyFill="1" applyBorder="1" applyAlignment="1">
      <alignment horizontal="center" vertical="center"/>
    </xf>
    <xf numFmtId="0" fontId="0" fillId="4" borderId="53" xfId="0" applyFill="1" applyBorder="1" applyAlignment="1">
      <alignment horizontal="center" vertical="center"/>
    </xf>
    <xf numFmtId="0" fontId="0" fillId="4" borderId="40" xfId="0" applyFill="1" applyBorder="1" applyAlignment="1">
      <alignment horizontal="center" vertical="center"/>
    </xf>
    <xf numFmtId="0" fontId="0" fillId="4" borderId="32" xfId="0" applyFill="1" applyBorder="1" applyAlignment="1">
      <alignment horizontal="center" vertical="center"/>
    </xf>
    <xf numFmtId="0" fontId="0" fillId="4" borderId="54" xfId="0" applyFill="1" applyBorder="1" applyAlignment="1">
      <alignment horizontal="center" vertical="center"/>
    </xf>
    <xf numFmtId="0" fontId="0" fillId="4" borderId="33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3" borderId="26" xfId="0" applyFill="1" applyBorder="1" applyAlignment="1">
      <alignment horizontal="center" vertical="center"/>
    </xf>
    <xf numFmtId="0" fontId="0" fillId="3" borderId="38" xfId="0" applyFill="1" applyBorder="1"/>
    <xf numFmtId="0" fontId="0" fillId="3" borderId="39" xfId="0" applyFill="1" applyBorder="1"/>
    <xf numFmtId="0" fontId="0" fillId="4" borderId="32" xfId="0" applyFill="1" applyBorder="1"/>
    <xf numFmtId="0" fontId="0" fillId="4" borderId="33" xfId="0" applyFill="1" applyBorder="1"/>
    <xf numFmtId="0" fontId="0" fillId="4" borderId="13" xfId="0" applyFill="1" applyBorder="1"/>
    <xf numFmtId="0" fontId="0" fillId="4" borderId="56" xfId="0" applyFill="1" applyBorder="1" applyAlignment="1">
      <alignment horizontal="center"/>
    </xf>
    <xf numFmtId="0" fontId="0" fillId="3" borderId="57" xfId="0" applyFill="1" applyBorder="1" applyAlignment="1">
      <alignment horizontal="center"/>
    </xf>
    <xf numFmtId="0" fontId="0" fillId="3" borderId="58" xfId="0" applyFill="1" applyBorder="1" applyAlignment="1">
      <alignment horizontal="center"/>
    </xf>
    <xf numFmtId="0" fontId="0" fillId="3" borderId="33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0" xfId="0" applyFill="1" applyAlignment="1">
      <alignment horizontal="right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51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0" fillId="3" borderId="62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3" fillId="2" borderId="52" xfId="0" applyFont="1" applyFill="1" applyBorder="1" applyAlignment="1">
      <alignment horizontal="center" vertical="center"/>
    </xf>
    <xf numFmtId="0" fontId="3" fillId="4" borderId="28" xfId="0" applyFont="1" applyFill="1" applyBorder="1" applyAlignment="1">
      <alignment horizontal="center" vertical="center"/>
    </xf>
    <xf numFmtId="0" fontId="3" fillId="4" borderId="52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51" xfId="0" applyFont="1" applyFill="1" applyBorder="1" applyAlignment="1">
      <alignment horizontal="center" vertical="center"/>
    </xf>
    <xf numFmtId="0" fontId="3" fillId="4" borderId="64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 textRotation="90"/>
    </xf>
    <xf numFmtId="0" fontId="3" fillId="2" borderId="41" xfId="0" applyFont="1" applyFill="1" applyBorder="1" applyAlignment="1">
      <alignment horizontal="center" vertical="center"/>
    </xf>
    <xf numFmtId="0" fontId="3" fillId="2" borderId="66" xfId="0" applyFont="1" applyFill="1" applyBorder="1" applyAlignment="1">
      <alignment horizontal="center" vertical="center"/>
    </xf>
    <xf numFmtId="0" fontId="3" fillId="4" borderId="41" xfId="0" applyFont="1" applyFill="1" applyBorder="1" applyAlignment="1">
      <alignment horizontal="center" vertical="center"/>
    </xf>
    <xf numFmtId="0" fontId="3" fillId="4" borderId="66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48" xfId="0" applyFont="1" applyFill="1" applyBorder="1" applyAlignment="1">
      <alignment horizontal="center" vertical="center"/>
    </xf>
    <xf numFmtId="0" fontId="3" fillId="4" borderId="49" xfId="0" applyFont="1" applyFill="1" applyBorder="1" applyAlignment="1">
      <alignment horizontal="center" vertical="center"/>
    </xf>
    <xf numFmtId="0" fontId="3" fillId="4" borderId="60" xfId="0" applyFont="1" applyFill="1" applyBorder="1" applyAlignment="1">
      <alignment horizontal="center" vertical="center"/>
    </xf>
    <xf numFmtId="0" fontId="3" fillId="4" borderId="50" xfId="0" applyFont="1" applyFill="1" applyBorder="1" applyAlignment="1">
      <alignment horizontal="center" vertical="center"/>
    </xf>
    <xf numFmtId="0" fontId="3" fillId="2" borderId="67" xfId="0" applyFont="1" applyFill="1" applyBorder="1" applyAlignment="1">
      <alignment horizontal="center" vertical="center"/>
    </xf>
    <xf numFmtId="0" fontId="3" fillId="4" borderId="68" xfId="0" applyFont="1" applyFill="1" applyBorder="1" applyAlignment="1">
      <alignment horizontal="center" vertical="center"/>
    </xf>
    <xf numFmtId="0" fontId="3" fillId="4" borderId="54" xfId="0" applyFont="1" applyFill="1" applyBorder="1" applyAlignment="1">
      <alignment horizontal="center" vertical="center"/>
    </xf>
    <xf numFmtId="0" fontId="3" fillId="4" borderId="69" xfId="0" applyFont="1" applyFill="1" applyBorder="1" applyAlignment="1">
      <alignment horizontal="center" vertical="center"/>
    </xf>
    <xf numFmtId="0" fontId="3" fillId="4" borderId="56" xfId="0" applyFont="1" applyFill="1" applyBorder="1" applyAlignment="1">
      <alignment horizontal="center" vertical="center"/>
    </xf>
    <xf numFmtId="0" fontId="3" fillId="4" borderId="67" xfId="0" applyFont="1" applyFill="1" applyBorder="1" applyAlignment="1">
      <alignment horizontal="center" vertical="center"/>
    </xf>
    <xf numFmtId="0" fontId="3" fillId="2" borderId="69" xfId="0" applyFont="1" applyFill="1" applyBorder="1" applyAlignment="1">
      <alignment horizontal="center" vertical="center"/>
    </xf>
    <xf numFmtId="0" fontId="3" fillId="4" borderId="57" xfId="0" applyFont="1" applyFill="1" applyBorder="1" applyAlignment="1">
      <alignment horizontal="center" vertical="center"/>
    </xf>
    <xf numFmtId="0" fontId="3" fillId="4" borderId="70" xfId="0" applyFont="1" applyFill="1" applyBorder="1" applyAlignment="1">
      <alignment horizontal="center" vertical="center"/>
    </xf>
    <xf numFmtId="0" fontId="3" fillId="4" borderId="71" xfId="0" applyFont="1" applyFill="1" applyBorder="1" applyAlignment="1">
      <alignment horizontal="center" vertical="center"/>
    </xf>
    <xf numFmtId="0" fontId="3" fillId="2" borderId="58" xfId="0" applyFont="1" applyFill="1" applyBorder="1" applyAlignment="1">
      <alignment horizontal="center" vertical="center"/>
    </xf>
    <xf numFmtId="0" fontId="0" fillId="3" borderId="63" xfId="0" applyFill="1" applyBorder="1" applyAlignment="1">
      <alignment horizontal="center" vertical="center"/>
    </xf>
    <xf numFmtId="0" fontId="3" fillId="4" borderId="61" xfId="0" applyFont="1" applyFill="1" applyBorder="1" applyAlignment="1">
      <alignment horizontal="center" vertical="center"/>
    </xf>
    <xf numFmtId="0" fontId="3" fillId="4" borderId="65" xfId="0" applyFont="1" applyFill="1" applyBorder="1" applyAlignment="1">
      <alignment horizontal="center" vertical="center"/>
    </xf>
    <xf numFmtId="0" fontId="3" fillId="2" borderId="61" xfId="0" applyFont="1" applyFill="1" applyBorder="1" applyAlignment="1">
      <alignment horizontal="center" vertical="center"/>
    </xf>
    <xf numFmtId="0" fontId="3" fillId="2" borderId="59" xfId="0" applyFont="1" applyFill="1" applyBorder="1" applyAlignment="1">
      <alignment horizontal="center" vertical="center"/>
    </xf>
    <xf numFmtId="0" fontId="3" fillId="4" borderId="76" xfId="0" applyFont="1" applyFill="1" applyBorder="1" applyAlignment="1">
      <alignment horizontal="center" vertic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3" fillId="3" borderId="0" xfId="0" applyFont="1" applyFill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164" fontId="3" fillId="3" borderId="0" xfId="0" applyNumberFormat="1" applyFont="1" applyFill="1" applyAlignment="1">
      <alignment horizontal="center" vertical="center"/>
    </xf>
    <xf numFmtId="0" fontId="0" fillId="4" borderId="39" xfId="0" applyFill="1" applyBorder="1" applyAlignment="1">
      <alignment horizontal="center"/>
    </xf>
    <xf numFmtId="0" fontId="0" fillId="4" borderId="38" xfId="0" applyFill="1" applyBorder="1" applyAlignment="1">
      <alignment horizontal="center"/>
    </xf>
    <xf numFmtId="0" fontId="0" fillId="4" borderId="40" xfId="0" applyFill="1" applyBorder="1" applyAlignment="1">
      <alignment horizontal="center"/>
    </xf>
    <xf numFmtId="0" fontId="0" fillId="3" borderId="29" xfId="0" applyFill="1" applyBorder="1" applyAlignment="1">
      <alignment horizontal="center"/>
    </xf>
    <xf numFmtId="0" fontId="0" fillId="3" borderId="31" xfId="0" applyFill="1" applyBorder="1" applyAlignment="1">
      <alignment horizontal="center"/>
    </xf>
    <xf numFmtId="0" fontId="0" fillId="3" borderId="43" xfId="0" applyFill="1" applyBorder="1" applyAlignment="1">
      <alignment horizontal="center"/>
    </xf>
    <xf numFmtId="0" fontId="0" fillId="3" borderId="55" xfId="0" applyFill="1" applyBorder="1" applyAlignment="1">
      <alignment horizontal="center"/>
    </xf>
    <xf numFmtId="0" fontId="0" fillId="3" borderId="27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6" borderId="29" xfId="0" applyFill="1" applyBorder="1" applyAlignment="1">
      <alignment horizontal="center"/>
    </xf>
    <xf numFmtId="0" fontId="0" fillId="6" borderId="30" xfId="0" applyFill="1" applyBorder="1" applyAlignment="1">
      <alignment horizontal="center"/>
    </xf>
    <xf numFmtId="0" fontId="0" fillId="6" borderId="31" xfId="0" applyFill="1" applyBorder="1" applyAlignment="1">
      <alignment horizontal="center"/>
    </xf>
    <xf numFmtId="0" fontId="0" fillId="3" borderId="26" xfId="0" applyFill="1" applyBorder="1" applyAlignment="1">
      <alignment horizontal="center"/>
    </xf>
    <xf numFmtId="0" fontId="0" fillId="3" borderId="30" xfId="0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8" xfId="0" applyFill="1" applyBorder="1" applyAlignment="1">
      <alignment horizontal="left" wrapText="1"/>
    </xf>
    <xf numFmtId="0" fontId="0" fillId="3" borderId="0" xfId="0" applyFill="1" applyAlignment="1">
      <alignment horizontal="left" wrapText="1"/>
    </xf>
    <xf numFmtId="0" fontId="0" fillId="3" borderId="45" xfId="0" applyFill="1" applyBorder="1" applyAlignment="1">
      <alignment horizontal="center"/>
    </xf>
    <xf numFmtId="0" fontId="0" fillId="3" borderId="35" xfId="0" applyFill="1" applyBorder="1" applyAlignment="1">
      <alignment horizontal="center"/>
    </xf>
    <xf numFmtId="0" fontId="0" fillId="3" borderId="74" xfId="0" applyFill="1" applyBorder="1" applyAlignment="1">
      <alignment horizontal="center" vertical="center"/>
    </xf>
    <xf numFmtId="0" fontId="0" fillId="3" borderId="73" xfId="0" applyFill="1" applyBorder="1" applyAlignment="1">
      <alignment horizontal="center" vertical="center"/>
    </xf>
    <xf numFmtId="0" fontId="0" fillId="3" borderId="75" xfId="0" applyFill="1" applyBorder="1" applyAlignment="1">
      <alignment horizontal="center" vertical="center"/>
    </xf>
    <xf numFmtId="0" fontId="0" fillId="3" borderId="72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 vertical="center" textRotation="90"/>
    </xf>
    <xf numFmtId="0" fontId="0" fillId="3" borderId="1" xfId="0" applyFill="1" applyBorder="1" applyAlignment="1">
      <alignment horizontal="center" vertical="center"/>
    </xf>
    <xf numFmtId="0" fontId="0" fillId="3" borderId="26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77" xfId="0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3" borderId="15" xfId="0" applyFill="1" applyBorder="1" applyAlignment="1">
      <alignment horizontal="center" vertical="center" textRotation="90"/>
    </xf>
  </cellXfs>
  <cellStyles count="1">
    <cellStyle name="Normal" xfId="0" builtinId="0"/>
  </cellStyles>
  <dxfs count="42"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color theme="4" tint="0.79998168889431442"/>
      </font>
      <fill>
        <patternFill>
          <bgColor theme="4" tint="0.79998168889431442"/>
        </patternFill>
      </fill>
    </dxf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color theme="4" tint="0.79998168889431442"/>
      </font>
      <fill>
        <patternFill>
          <bgColor theme="4" tint="0.79998168889431442"/>
        </patternFill>
      </fill>
    </dxf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  <color theme="4" tint="0.79998168889431442"/>
      </font>
    </dxf>
    <dxf>
      <font>
        <strike val="0"/>
      </font>
      <fill>
        <patternFill>
          <bgColor theme="9" tint="0.79998168889431442"/>
        </patternFill>
      </fill>
    </dxf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  <color theme="4" tint="0.79998168889431442"/>
      </font>
    </dxf>
    <dxf>
      <font>
        <strike val="0"/>
        <color theme="4" tint="0.79998168889431442"/>
      </font>
    </dxf>
  </dxfs>
  <tableStyles count="0" defaultTableStyle="TableStyleMedium2" defaultPivotStyle="PivotStyleLight16"/>
  <colors>
    <mruColors>
      <color rgb="FFFF6D6D"/>
      <color rgb="FFFFCCCC"/>
      <color rgb="FFFF9B9D"/>
      <color rgb="FFCCECFF"/>
      <color rgb="FFFFCDCD"/>
      <color rgb="FFFCD0FA"/>
      <color rgb="FFFCD6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36</xdr:col>
      <xdr:colOff>93134</xdr:colOff>
      <xdr:row>5</xdr:row>
      <xdr:rowOff>4762</xdr:rowOff>
    </xdr:from>
    <xdr:ext cx="2400300" cy="4392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ADBC4F1E-2599-4944-89FF-E54D10E8010C}"/>
                </a:ext>
              </a:extLst>
            </xdr:cNvPr>
            <xdr:cNvSpPr txBox="1"/>
          </xdr:nvSpPr>
          <xdr:spPr>
            <a:xfrm>
              <a:off x="15661217" y="946679"/>
              <a:ext cx="2400300" cy="4392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𝑑𝐴𝑡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𝑑𝑡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𝑋𝑡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 −</m:t>
                        </m:r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𝑢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1</m:t>
                                </m:r>
                              </m:sub>
                            </m:s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𝑢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b>
                            </m:sSub>
                          </m:e>
                        </m:d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f>
                              <m:fPr>
                                <m:type m:val="skw"/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𝑑𝐴𝑡</m:t>
                                </m:r>
                              </m:num>
                              <m:den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𝑑𝑡</m:t>
                                </m:r>
                              </m:den>
                            </m:f>
                          </m:e>
                        </m:d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𝐴𝑡</m:t>
                        </m:r>
                      </m:num>
                      <m:den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𝑢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𝑢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ADBC4F1E-2599-4944-89FF-E54D10E8010C}"/>
                </a:ext>
              </a:extLst>
            </xdr:cNvPr>
            <xdr:cNvSpPr txBox="1"/>
          </xdr:nvSpPr>
          <xdr:spPr>
            <a:xfrm>
              <a:off x="15661217" y="946679"/>
              <a:ext cx="2400300" cy="4392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𝑑𝐴𝑡/𝑑𝑡=(𝑋𝑡 −(𝑢_1+𝑢_2 )(𝑑𝐴𝑡⁄𝑑𝑡)−𝐴𝑡)/(𝑢_1 𝑢_2 )</a:t>
              </a:r>
              <a:endParaRPr 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E5DFD-7362-4EAF-A5AC-813ACBD1C4D3}">
  <dimension ref="A1:JD62"/>
  <sheetViews>
    <sheetView tabSelected="1" zoomScale="70" zoomScaleNormal="70" workbookViewId="0">
      <pane xSplit="1" topLeftCell="B1" activePane="topRight" state="frozen"/>
      <selection pane="topRight" activeCell="N6" sqref="N6"/>
    </sheetView>
  </sheetViews>
  <sheetFormatPr defaultColWidth="9.1796875" defaultRowHeight="14.5" x14ac:dyDescent="0.35"/>
  <cols>
    <col min="1" max="2" width="9.1796875" style="14"/>
    <col min="3" max="3" width="10.453125" style="14" customWidth="1"/>
    <col min="4" max="4" width="8.1796875" style="14" customWidth="1"/>
    <col min="5" max="5" width="8.54296875" style="14" customWidth="1"/>
    <col min="6" max="6" width="6.26953125" style="14" customWidth="1"/>
    <col min="7" max="13" width="6" style="14" customWidth="1"/>
    <col min="14" max="14" width="8.54296875" style="14" customWidth="1"/>
    <col min="15" max="15" width="10.1796875" style="14" customWidth="1"/>
    <col min="16" max="25" width="6" style="14" customWidth="1"/>
    <col min="26" max="26" width="7.1796875" style="14" customWidth="1"/>
    <col min="27" max="27" width="8.26953125" style="14" customWidth="1"/>
    <col min="28" max="33" width="6" style="14" customWidth="1"/>
    <col min="34" max="37" width="5.26953125" style="14" customWidth="1"/>
    <col min="38" max="38" width="6.453125" style="14" customWidth="1"/>
    <col min="39" max="39" width="5.81640625" style="14" customWidth="1"/>
    <col min="40" max="40" width="5.26953125" style="14" customWidth="1"/>
    <col min="41" max="41" width="6.54296875" style="14" customWidth="1"/>
    <col min="42" max="42" width="8.26953125" style="14" customWidth="1"/>
    <col min="43" max="52" width="5.26953125" style="14" customWidth="1"/>
    <col min="53" max="54" width="6.54296875" style="14" customWidth="1"/>
    <col min="55" max="56" width="5.1796875" style="14" customWidth="1"/>
    <col min="57" max="57" width="3.7265625" style="14" customWidth="1"/>
    <col min="58" max="59" width="5.1796875" style="14" customWidth="1"/>
    <col min="60" max="60" width="3.81640625" style="14" customWidth="1"/>
    <col min="61" max="61" width="6.1796875" style="14" customWidth="1"/>
    <col min="62" max="62" width="4" style="14" customWidth="1"/>
    <col min="63" max="66" width="6.1796875" style="14" customWidth="1"/>
    <col min="67" max="67" width="3.81640625" style="14" customWidth="1"/>
    <col min="68" max="68" width="7.26953125" style="14" customWidth="1"/>
    <col min="69" max="69" width="7.81640625" style="14" customWidth="1"/>
    <col min="70" max="71" width="6.1796875" style="14" customWidth="1"/>
    <col min="72" max="72" width="4" style="14" customWidth="1"/>
    <col min="73" max="74" width="6.1796875" style="14" customWidth="1"/>
    <col min="75" max="75" width="3.54296875" style="14" customWidth="1"/>
    <col min="76" max="78" width="6.1796875" style="14" customWidth="1"/>
    <col min="79" max="79" width="4" style="14" customWidth="1"/>
    <col min="80" max="80" width="7.1796875" style="14" customWidth="1"/>
    <col min="81" max="81" width="7.7265625" style="14" customWidth="1"/>
    <col min="82" max="83" width="6.1796875" style="14" customWidth="1"/>
    <col min="84" max="84" width="4.54296875" style="14" customWidth="1"/>
    <col min="85" max="86" width="6.1796875" style="14" customWidth="1"/>
    <col min="87" max="87" width="4.26953125" style="14" customWidth="1"/>
    <col min="88" max="88" width="6.453125" style="14" customWidth="1"/>
    <col min="89" max="89" width="2.81640625" style="14" customWidth="1"/>
    <col min="90" max="90" width="4.1796875" style="14" customWidth="1"/>
    <col min="91" max="92" width="4.54296875" style="14" customWidth="1"/>
    <col min="93" max="93" width="5.54296875" style="14" customWidth="1"/>
    <col min="94" max="94" width="3" style="14" customWidth="1"/>
    <col min="95" max="95" width="7.26953125" style="14" customWidth="1"/>
    <col min="96" max="96" width="7.54296875" style="14" customWidth="1"/>
    <col min="97" max="97" width="5.81640625" style="14" customWidth="1"/>
    <col min="98" max="98" width="5.7265625" style="14" customWidth="1"/>
    <col min="99" max="99" width="4" style="14" customWidth="1"/>
    <col min="100" max="101" width="5.26953125" style="14" customWidth="1"/>
    <col min="102" max="102" width="4" style="14" customWidth="1"/>
    <col min="103" max="103" width="4.54296875" style="14" customWidth="1"/>
    <col min="104" max="104" width="6.81640625" style="14" customWidth="1"/>
    <col min="105" max="105" width="6.453125" style="14" customWidth="1"/>
    <col min="106" max="106" width="3" style="14" customWidth="1"/>
    <col min="107" max="107" width="7.26953125" style="14" customWidth="1"/>
    <col min="108" max="108" width="7.453125" style="14" customWidth="1"/>
    <col min="109" max="109" width="6.26953125" style="14" customWidth="1"/>
    <col min="110" max="110" width="5.7265625" style="14" customWidth="1"/>
    <col min="111" max="114" width="4" style="14" customWidth="1"/>
    <col min="115" max="115" width="6.1796875" style="14" customWidth="1"/>
    <col min="116" max="116" width="4" style="14" customWidth="1"/>
    <col min="117" max="120" width="6.1796875" style="14" customWidth="1"/>
    <col min="121" max="121" width="4" style="14" customWidth="1"/>
    <col min="122" max="122" width="8.453125" style="14" customWidth="1"/>
    <col min="123" max="123" width="7.453125" style="14" customWidth="1"/>
    <col min="124" max="125" width="6.1796875" style="14" customWidth="1"/>
    <col min="126" max="126" width="4.26953125" style="14" customWidth="1"/>
    <col min="127" max="128" width="6.1796875" style="14" customWidth="1"/>
    <col min="129" max="129" width="5" style="14" customWidth="1"/>
    <col min="130" max="130" width="6.1796875" style="14" customWidth="1"/>
    <col min="131" max="131" width="7" style="14" customWidth="1"/>
    <col min="132" max="132" width="6.1796875" style="14" customWidth="1"/>
    <col min="133" max="133" width="4.26953125" style="14" customWidth="1"/>
    <col min="134" max="134" width="7.1796875" style="14" customWidth="1"/>
    <col min="135" max="135" width="8" style="14" customWidth="1"/>
    <col min="136" max="137" width="6.1796875" style="14" customWidth="1"/>
    <col min="138" max="138" width="4.26953125" style="14" customWidth="1"/>
    <col min="139" max="140" width="6.1796875" style="14" customWidth="1"/>
    <col min="141" max="141" width="4.81640625" style="14" customWidth="1"/>
    <col min="142" max="142" width="6.453125" style="14" customWidth="1"/>
    <col min="143" max="143" width="2.81640625" style="14" customWidth="1"/>
    <col min="144" max="144" width="4.1796875" style="14" customWidth="1"/>
    <col min="145" max="145" width="4.54296875" style="14" customWidth="1"/>
    <col min="146" max="146" width="5.26953125" style="14" customWidth="1"/>
    <col min="147" max="147" width="5.54296875" style="14" customWidth="1"/>
    <col min="148" max="148" width="3" style="14" customWidth="1"/>
    <col min="149" max="149" width="7.26953125" style="14" customWidth="1"/>
    <col min="150" max="150" width="7.54296875" style="14" customWidth="1"/>
    <col min="151" max="151" width="5.81640625" style="14" customWidth="1"/>
    <col min="152" max="152" width="5.7265625" style="14" customWidth="1"/>
    <col min="153" max="153" width="4" style="14" customWidth="1"/>
    <col min="154" max="155" width="5.26953125" style="14" customWidth="1"/>
    <col min="156" max="156" width="4" style="14" customWidth="1"/>
    <col min="157" max="157" width="4.54296875" style="14" customWidth="1"/>
    <col min="158" max="158" width="6.81640625" style="14" customWidth="1"/>
    <col min="159" max="159" width="6.453125" style="14" customWidth="1"/>
    <col min="160" max="160" width="3" style="14" customWidth="1"/>
    <col min="161" max="161" width="7.26953125" style="14" customWidth="1"/>
    <col min="162" max="162" width="7.453125" style="14" customWidth="1"/>
    <col min="163" max="163" width="6.26953125" style="14" customWidth="1"/>
    <col min="164" max="164" width="5.7265625" style="14" customWidth="1"/>
    <col min="165" max="165" width="4" style="14" customWidth="1"/>
    <col min="166" max="166" width="5.26953125" style="14" customWidth="1"/>
    <col min="167" max="168" width="4" style="14" customWidth="1"/>
    <col min="169" max="174" width="6.1796875" style="14" customWidth="1"/>
    <col min="175" max="175" width="3.81640625" style="14" customWidth="1"/>
    <col min="176" max="183" width="6.1796875" style="14" customWidth="1"/>
    <col min="184" max="184" width="6.81640625" style="14" customWidth="1"/>
    <col min="185" max="186" width="6.1796875" style="14" customWidth="1"/>
    <col min="187" max="187" width="4" style="14" customWidth="1"/>
    <col min="188" max="188" width="7.1796875" style="14" customWidth="1"/>
    <col min="189" max="191" width="6.1796875" style="14" customWidth="1"/>
    <col min="192" max="192" width="4.54296875" style="14" customWidth="1"/>
    <col min="193" max="194" width="6.1796875" style="14" customWidth="1"/>
    <col min="195" max="195" width="4.26953125" style="14" customWidth="1"/>
    <col min="196" max="201" width="6.1796875" style="14" customWidth="1"/>
    <col min="202" max="202" width="3.81640625" style="14" customWidth="1"/>
    <col min="203" max="203" width="7.1796875" style="14" customWidth="1"/>
    <col min="204" max="210" width="6.1796875" style="14" customWidth="1"/>
    <col min="211" max="211" width="6.81640625" style="14" customWidth="1"/>
    <col min="212" max="213" width="6.1796875" style="14" customWidth="1"/>
    <col min="214" max="214" width="4" style="14" customWidth="1"/>
    <col min="215" max="215" width="7.1796875" style="14" customWidth="1"/>
    <col min="216" max="218" width="6.1796875" style="14" customWidth="1"/>
    <col min="219" max="219" width="4.54296875" style="14" customWidth="1"/>
    <col min="220" max="221" width="6.1796875" style="14" customWidth="1"/>
    <col min="222" max="222" width="4.26953125" style="14" customWidth="1"/>
    <col min="223" max="228" width="6.1796875" style="14" customWidth="1"/>
    <col min="229" max="229" width="3.81640625" style="14" customWidth="1"/>
    <col min="230" max="230" width="6.1796875" style="14" customWidth="1"/>
    <col min="231" max="231" width="7.54296875" style="14" customWidth="1"/>
    <col min="232" max="240" width="6.1796875" style="14" customWidth="1"/>
    <col min="241" max="241" width="4" style="14" customWidth="1"/>
    <col min="242" max="242" width="7.1796875" style="14" customWidth="1"/>
    <col min="243" max="245" width="6.1796875" style="14" customWidth="1"/>
    <col min="246" max="246" width="4.54296875" style="14" customWidth="1"/>
    <col min="247" max="248" width="6.1796875" style="14" customWidth="1"/>
    <col min="249" max="249" width="4.26953125" style="14" customWidth="1"/>
    <col min="250" max="250" width="6.81640625" style="14" customWidth="1"/>
    <col min="251" max="251" width="4.453125" style="14" customWidth="1"/>
    <col min="252" max="255" width="7.54296875" style="14" customWidth="1"/>
    <col min="256" max="256" width="4.1796875" style="14" customWidth="1"/>
    <col min="257" max="260" width="7.54296875" style="14" customWidth="1"/>
    <col min="261" max="261" width="5" style="14" customWidth="1"/>
    <col min="262" max="263" width="7.54296875" style="14" customWidth="1"/>
    <col min="264" max="264" width="5.453125" style="14" customWidth="1"/>
    <col min="265" max="267" width="7.54296875" style="14" customWidth="1"/>
    <col min="268" max="268" width="4.81640625" style="14" customWidth="1"/>
    <col min="269" max="272" width="7.54296875" style="14" customWidth="1"/>
    <col min="273" max="273" width="5.54296875" style="14" customWidth="1"/>
    <col min="274" max="275" width="7.54296875" style="14" customWidth="1"/>
    <col min="276" max="276" width="5.453125" style="14" customWidth="1"/>
    <col min="277" max="277" width="8" style="14" customWidth="1"/>
    <col min="278" max="278" width="5.1796875" style="14" customWidth="1"/>
    <col min="279" max="282" width="8" style="14" customWidth="1"/>
    <col min="283" max="283" width="5.1796875" style="14" customWidth="1"/>
    <col min="284" max="287" width="8" style="14" customWidth="1"/>
    <col min="288" max="288" width="5.1796875" style="14" customWidth="1"/>
    <col min="289" max="290" width="8" style="14" customWidth="1"/>
    <col min="291" max="291" width="5.1796875" style="14" customWidth="1"/>
    <col min="292" max="294" width="8" style="14" customWidth="1"/>
    <col min="295" max="295" width="5.1796875" style="14" customWidth="1"/>
    <col min="296" max="299" width="8" style="14" customWidth="1"/>
    <col min="300" max="300" width="5.1796875" style="14" customWidth="1"/>
    <col min="301" max="302" width="8" style="14" customWidth="1"/>
    <col min="303" max="303" width="5.1796875" style="14" customWidth="1"/>
    <col min="304" max="16384" width="9.1796875" style="14"/>
  </cols>
  <sheetData>
    <row r="1" spans="1:60" x14ac:dyDescent="0.35">
      <c r="D1" s="55" t="s">
        <v>86</v>
      </c>
      <c r="E1" s="149" t="s">
        <v>87</v>
      </c>
      <c r="F1" s="150"/>
      <c r="G1" s="155" t="s">
        <v>162</v>
      </c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156"/>
      <c r="X1" s="156"/>
      <c r="Y1" s="156"/>
      <c r="Z1" s="156"/>
      <c r="AA1" s="156"/>
      <c r="AB1" s="156"/>
      <c r="AC1" s="156"/>
      <c r="AD1" s="156"/>
      <c r="AE1" s="156"/>
      <c r="AF1" s="156"/>
      <c r="AG1" s="157"/>
      <c r="AH1" s="155" t="s">
        <v>163</v>
      </c>
      <c r="AI1" s="156"/>
      <c r="AJ1" s="156"/>
      <c r="AK1" s="156"/>
      <c r="AL1" s="156"/>
      <c r="AM1" s="156"/>
      <c r="AN1" s="156"/>
      <c r="AO1" s="156"/>
      <c r="AP1" s="156"/>
      <c r="AQ1" s="156"/>
      <c r="AR1" s="156"/>
      <c r="AS1" s="156"/>
      <c r="AT1" s="156"/>
      <c r="AU1" s="156"/>
      <c r="AV1" s="156"/>
      <c r="AW1" s="156"/>
      <c r="AX1" s="156"/>
      <c r="AY1" s="156"/>
      <c r="AZ1" s="156"/>
      <c r="BA1" s="156"/>
      <c r="BB1" s="156"/>
      <c r="BC1" s="156"/>
      <c r="BD1" s="156"/>
      <c r="BE1" s="156"/>
      <c r="BF1" s="156"/>
      <c r="BG1" s="156"/>
      <c r="BH1" s="157"/>
    </row>
    <row r="2" spans="1:60" ht="15" thickBot="1" x14ac:dyDescent="0.4">
      <c r="E2" s="151" t="s">
        <v>88</v>
      </c>
      <c r="F2" s="152"/>
      <c r="G2" s="151" t="s">
        <v>88</v>
      </c>
      <c r="H2" s="153"/>
      <c r="I2" s="154"/>
      <c r="J2" s="158" t="s">
        <v>50</v>
      </c>
      <c r="K2" s="153"/>
      <c r="L2" s="153"/>
      <c r="M2" s="153"/>
      <c r="N2" s="153"/>
      <c r="O2" s="153"/>
      <c r="P2" s="153"/>
      <c r="Q2" s="153"/>
      <c r="R2" s="153"/>
      <c r="S2" s="153"/>
      <c r="T2" s="153"/>
      <c r="U2" s="154"/>
      <c r="V2" s="158" t="s">
        <v>51</v>
      </c>
      <c r="W2" s="153"/>
      <c r="X2" s="153"/>
      <c r="Y2" s="153"/>
      <c r="Z2" s="153"/>
      <c r="AA2" s="153"/>
      <c r="AB2" s="153"/>
      <c r="AC2" s="153"/>
      <c r="AD2" s="153"/>
      <c r="AE2" s="153"/>
      <c r="AF2" s="153"/>
      <c r="AG2" s="152"/>
      <c r="AH2" s="151" t="s">
        <v>88</v>
      </c>
      <c r="AI2" s="153"/>
      <c r="AJ2" s="154"/>
      <c r="AK2" s="158" t="s">
        <v>50</v>
      </c>
      <c r="AL2" s="153"/>
      <c r="AM2" s="153"/>
      <c r="AN2" s="153"/>
      <c r="AO2" s="153"/>
      <c r="AP2" s="153"/>
      <c r="AQ2" s="153"/>
      <c r="AR2" s="153"/>
      <c r="AS2" s="153"/>
      <c r="AT2" s="153"/>
      <c r="AU2" s="153"/>
      <c r="AV2" s="154"/>
      <c r="AW2" s="158" t="s">
        <v>51</v>
      </c>
      <c r="AX2" s="153"/>
      <c r="AY2" s="153"/>
      <c r="AZ2" s="153"/>
      <c r="BA2" s="153"/>
      <c r="BB2" s="153"/>
      <c r="BC2" s="153"/>
      <c r="BD2" s="153"/>
      <c r="BE2" s="153"/>
      <c r="BF2" s="153"/>
      <c r="BG2" s="153"/>
      <c r="BH2" s="152"/>
    </row>
    <row r="3" spans="1:60" ht="15" thickBot="1" x14ac:dyDescent="0.4">
      <c r="B3" s="90" t="s">
        <v>0</v>
      </c>
      <c r="C3" s="91" t="s">
        <v>1</v>
      </c>
      <c r="D3" s="58" t="s">
        <v>131</v>
      </c>
      <c r="E3" s="96" t="s">
        <v>2</v>
      </c>
      <c r="F3" s="97" t="s">
        <v>3</v>
      </c>
      <c r="G3" s="98" t="s">
        <v>2</v>
      </c>
      <c r="H3" s="99" t="s">
        <v>10</v>
      </c>
      <c r="I3" s="99" t="s">
        <v>3</v>
      </c>
      <c r="J3" s="99" t="s">
        <v>92</v>
      </c>
      <c r="K3" s="99" t="s">
        <v>8</v>
      </c>
      <c r="L3" s="99" t="s">
        <v>9</v>
      </c>
      <c r="M3" s="99" t="s">
        <v>10</v>
      </c>
      <c r="N3" s="99" t="s">
        <v>89</v>
      </c>
      <c r="O3" s="99" t="s">
        <v>90</v>
      </c>
      <c r="P3" s="99" t="s">
        <v>94</v>
      </c>
      <c r="Q3" s="99" t="s">
        <v>95</v>
      </c>
      <c r="R3" s="99" t="s">
        <v>96</v>
      </c>
      <c r="S3" s="99" t="s">
        <v>97</v>
      </c>
      <c r="T3" s="99" t="s">
        <v>98</v>
      </c>
      <c r="U3" s="99" t="s">
        <v>99</v>
      </c>
      <c r="V3" s="99" t="s">
        <v>93</v>
      </c>
      <c r="W3" s="99" t="s">
        <v>8</v>
      </c>
      <c r="X3" s="99" t="s">
        <v>9</v>
      </c>
      <c r="Y3" s="99" t="s">
        <v>10</v>
      </c>
      <c r="Z3" s="99" t="s">
        <v>89</v>
      </c>
      <c r="AA3" s="99" t="s">
        <v>90</v>
      </c>
      <c r="AB3" s="99" t="s">
        <v>94</v>
      </c>
      <c r="AC3" s="99" t="s">
        <v>95</v>
      </c>
      <c r="AD3" s="99" t="s">
        <v>96</v>
      </c>
      <c r="AE3" s="99" t="s">
        <v>97</v>
      </c>
      <c r="AF3" s="99" t="s">
        <v>98</v>
      </c>
      <c r="AG3" s="100" t="s">
        <v>99</v>
      </c>
      <c r="AH3" s="98" t="s">
        <v>2</v>
      </c>
      <c r="AI3" s="99" t="s">
        <v>10</v>
      </c>
      <c r="AJ3" s="99" t="s">
        <v>3</v>
      </c>
      <c r="AK3" s="99" t="s">
        <v>92</v>
      </c>
      <c r="AL3" s="99" t="s">
        <v>8</v>
      </c>
      <c r="AM3" s="99" t="s">
        <v>9</v>
      </c>
      <c r="AN3" s="99" t="s">
        <v>10</v>
      </c>
      <c r="AO3" s="99" t="s">
        <v>89</v>
      </c>
      <c r="AP3" s="99" t="s">
        <v>90</v>
      </c>
      <c r="AQ3" s="99" t="s">
        <v>94</v>
      </c>
      <c r="AR3" s="99" t="s">
        <v>95</v>
      </c>
      <c r="AS3" s="99" t="s">
        <v>96</v>
      </c>
      <c r="AT3" s="99" t="s">
        <v>97</v>
      </c>
      <c r="AU3" s="99" t="s">
        <v>98</v>
      </c>
      <c r="AV3" s="99" t="s">
        <v>99</v>
      </c>
      <c r="AW3" s="99" t="s">
        <v>93</v>
      </c>
      <c r="AX3" s="99" t="s">
        <v>8</v>
      </c>
      <c r="AY3" s="99" t="s">
        <v>9</v>
      </c>
      <c r="AZ3" s="99" t="s">
        <v>10</v>
      </c>
      <c r="BA3" s="99" t="s">
        <v>89</v>
      </c>
      <c r="BB3" s="99" t="s">
        <v>90</v>
      </c>
      <c r="BC3" s="99" t="s">
        <v>94</v>
      </c>
      <c r="BD3" s="99" t="s">
        <v>95</v>
      </c>
      <c r="BE3" s="99" t="s">
        <v>96</v>
      </c>
      <c r="BF3" s="99" t="s">
        <v>97</v>
      </c>
      <c r="BG3" s="99" t="s">
        <v>98</v>
      </c>
      <c r="BH3" s="100" t="s">
        <v>99</v>
      </c>
    </row>
    <row r="4" spans="1:60" x14ac:dyDescent="0.35">
      <c r="A4" s="89" t="s">
        <v>164</v>
      </c>
      <c r="B4" s="92" t="s">
        <v>164</v>
      </c>
      <c r="C4" s="24"/>
      <c r="D4" s="19">
        <v>1E-4</v>
      </c>
      <c r="E4" s="95">
        <v>0.1</v>
      </c>
      <c r="F4" s="18">
        <v>-70</v>
      </c>
      <c r="G4" s="147">
        <v>8</v>
      </c>
      <c r="H4" s="146">
        <v>3</v>
      </c>
      <c r="I4" s="146">
        <v>50</v>
      </c>
      <c r="J4" s="146">
        <v>0</v>
      </c>
      <c r="K4" s="146">
        <v>-49</v>
      </c>
      <c r="L4" s="146">
        <v>5</v>
      </c>
      <c r="M4" s="146">
        <v>1</v>
      </c>
      <c r="N4" s="146">
        <v>6.0000000000000001E-3</v>
      </c>
      <c r="O4" s="146">
        <v>1E-3</v>
      </c>
      <c r="P4" s="146">
        <v>-55</v>
      </c>
      <c r="Q4" s="146">
        <v>4</v>
      </c>
      <c r="R4" s="146">
        <v>1</v>
      </c>
      <c r="S4" s="146"/>
      <c r="T4" s="146"/>
      <c r="U4" s="146"/>
      <c r="V4" s="146">
        <v>0</v>
      </c>
      <c r="W4" s="146">
        <v>-55</v>
      </c>
      <c r="X4" s="146">
        <v>5</v>
      </c>
      <c r="Y4" s="146">
        <v>1</v>
      </c>
      <c r="Z4" s="146">
        <v>0.02</v>
      </c>
      <c r="AA4" s="146">
        <v>5.0000000000000001E-3</v>
      </c>
      <c r="AB4" s="146">
        <v>-50</v>
      </c>
      <c r="AC4" s="146">
        <v>10</v>
      </c>
      <c r="AD4" s="146">
        <v>1</v>
      </c>
      <c r="AE4" s="146"/>
      <c r="AF4" s="146"/>
      <c r="AG4" s="148"/>
      <c r="AH4" s="147">
        <v>32</v>
      </c>
      <c r="AI4" s="146">
        <v>4</v>
      </c>
      <c r="AJ4" s="146">
        <v>-80</v>
      </c>
      <c r="AK4" s="146">
        <v>0</v>
      </c>
      <c r="AL4" s="146">
        <v>-35</v>
      </c>
      <c r="AM4" s="146">
        <v>9</v>
      </c>
      <c r="AN4" s="146">
        <v>1</v>
      </c>
      <c r="AO4" s="146">
        <v>0.08</v>
      </c>
      <c r="AP4" s="146">
        <v>8.0000000000000002E-3</v>
      </c>
      <c r="AQ4" s="146">
        <v>-20</v>
      </c>
      <c r="AR4" s="146">
        <v>10</v>
      </c>
      <c r="AS4" s="146">
        <v>1</v>
      </c>
      <c r="AT4" s="146"/>
      <c r="AU4" s="146"/>
      <c r="AV4" s="146"/>
      <c r="AW4" s="146"/>
      <c r="AX4" s="146"/>
      <c r="AY4" s="146"/>
      <c r="AZ4" s="146"/>
      <c r="BA4" s="146"/>
      <c r="BB4" s="146"/>
      <c r="BC4" s="146"/>
      <c r="BD4" s="146"/>
      <c r="BE4" s="146"/>
      <c r="BF4" s="146"/>
      <c r="BG4" s="146"/>
      <c r="BH4" s="148"/>
    </row>
    <row r="5" spans="1:60" x14ac:dyDescent="0.35">
      <c r="A5" s="89">
        <f>Neu!B5</f>
        <v>0</v>
      </c>
      <c r="B5" s="92"/>
      <c r="C5" s="24"/>
      <c r="D5" s="19"/>
      <c r="E5" s="43"/>
      <c r="F5" s="19"/>
      <c r="G5" s="43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9"/>
      <c r="AH5" s="43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9"/>
    </row>
    <row r="6" spans="1:60" x14ac:dyDescent="0.35">
      <c r="A6" s="89">
        <f>Neu!B6</f>
        <v>0</v>
      </c>
      <c r="B6" s="92"/>
      <c r="C6" s="24"/>
      <c r="D6" s="19"/>
      <c r="E6" s="43"/>
      <c r="F6" s="19"/>
      <c r="G6" s="43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9"/>
      <c r="AH6" s="43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9"/>
    </row>
    <row r="7" spans="1:60" x14ac:dyDescent="0.35">
      <c r="A7" s="89">
        <f>Neu!B7</f>
        <v>0</v>
      </c>
      <c r="B7" s="92"/>
      <c r="C7" s="24"/>
      <c r="D7" s="19"/>
      <c r="E7" s="43"/>
      <c r="F7" s="19"/>
      <c r="G7" s="43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9"/>
      <c r="AH7" s="43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9"/>
    </row>
    <row r="8" spans="1:60" x14ac:dyDescent="0.35">
      <c r="A8" s="89">
        <f>Neu!B8</f>
        <v>0</v>
      </c>
      <c r="B8" s="92"/>
      <c r="C8" s="24"/>
      <c r="D8" s="19"/>
      <c r="E8" s="43"/>
      <c r="F8" s="19"/>
      <c r="G8" s="43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9"/>
      <c r="AH8" s="43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9"/>
    </row>
    <row r="9" spans="1:60" x14ac:dyDescent="0.35">
      <c r="A9" s="89">
        <f>Neu!B9</f>
        <v>0</v>
      </c>
      <c r="B9" s="92"/>
      <c r="C9" s="24"/>
      <c r="D9" s="19"/>
      <c r="E9" s="43"/>
      <c r="F9" s="19"/>
      <c r="G9" s="43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9"/>
      <c r="AH9" s="43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9"/>
    </row>
    <row r="10" spans="1:60" x14ac:dyDescent="0.35">
      <c r="A10" s="89">
        <f>Neu!B10</f>
        <v>0</v>
      </c>
      <c r="B10" s="92"/>
      <c r="C10" s="24"/>
      <c r="D10" s="19"/>
      <c r="E10" s="43"/>
      <c r="F10" s="19"/>
      <c r="G10" s="43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9"/>
      <c r="AH10" s="43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9"/>
    </row>
    <row r="11" spans="1:60" x14ac:dyDescent="0.35">
      <c r="A11" s="89">
        <f>Neu!B11</f>
        <v>0</v>
      </c>
      <c r="B11" s="92"/>
      <c r="C11" s="24"/>
      <c r="D11" s="19"/>
      <c r="E11" s="43"/>
      <c r="F11" s="19"/>
      <c r="G11" s="43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9"/>
      <c r="AH11" s="43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9"/>
    </row>
    <row r="12" spans="1:60" x14ac:dyDescent="0.35">
      <c r="A12" s="89">
        <f>Neu!B12</f>
        <v>0</v>
      </c>
      <c r="B12" s="92"/>
      <c r="C12" s="24"/>
      <c r="D12" s="19"/>
      <c r="E12" s="43"/>
      <c r="F12" s="19"/>
      <c r="G12" s="43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9"/>
      <c r="AH12" s="43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9"/>
    </row>
    <row r="13" spans="1:60" x14ac:dyDescent="0.35">
      <c r="A13" s="89">
        <f>Neu!B13</f>
        <v>0</v>
      </c>
      <c r="B13" s="92"/>
      <c r="C13" s="24"/>
      <c r="D13" s="19"/>
      <c r="E13" s="43"/>
      <c r="F13" s="19"/>
      <c r="G13" s="43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9"/>
      <c r="AH13" s="43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9"/>
    </row>
    <row r="14" spans="1:60" x14ac:dyDescent="0.35">
      <c r="A14" s="89">
        <f>Neu!B14</f>
        <v>0</v>
      </c>
      <c r="B14" s="92"/>
      <c r="C14" s="24"/>
      <c r="D14" s="19"/>
      <c r="E14" s="43"/>
      <c r="F14" s="19"/>
      <c r="G14" s="43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9"/>
      <c r="AH14" s="43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9"/>
    </row>
    <row r="15" spans="1:60" x14ac:dyDescent="0.35">
      <c r="A15" s="89">
        <f>Neu!B15</f>
        <v>0</v>
      </c>
      <c r="B15" s="92"/>
      <c r="C15" s="24"/>
      <c r="D15" s="19"/>
      <c r="E15" s="43"/>
      <c r="F15" s="19"/>
      <c r="G15" s="43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9"/>
      <c r="AH15" s="43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9"/>
    </row>
    <row r="16" spans="1:60" x14ac:dyDescent="0.35">
      <c r="A16" s="89">
        <f>Neu!B16</f>
        <v>0</v>
      </c>
      <c r="B16" s="92"/>
      <c r="C16" s="24"/>
      <c r="D16" s="19"/>
      <c r="E16" s="43"/>
      <c r="F16" s="19"/>
      <c r="G16" s="43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9"/>
      <c r="AH16" s="43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9"/>
    </row>
    <row r="17" spans="1:264" x14ac:dyDescent="0.35">
      <c r="A17" s="89">
        <f>Neu!B17</f>
        <v>0</v>
      </c>
      <c r="B17" s="92"/>
      <c r="C17" s="24"/>
      <c r="D17" s="19"/>
      <c r="E17" s="43"/>
      <c r="F17" s="19"/>
      <c r="G17" s="43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9"/>
      <c r="AH17" s="43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9"/>
    </row>
    <row r="18" spans="1:264" x14ac:dyDescent="0.35">
      <c r="A18" s="89">
        <f>Neu!B18</f>
        <v>0</v>
      </c>
      <c r="B18" s="92"/>
      <c r="C18" s="24"/>
      <c r="D18" s="19"/>
      <c r="E18" s="43"/>
      <c r="F18" s="19"/>
      <c r="G18" s="43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9"/>
      <c r="AH18" s="43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9"/>
    </row>
    <row r="19" spans="1:264" x14ac:dyDescent="0.35">
      <c r="A19" s="89">
        <f>Neu!B19</f>
        <v>0</v>
      </c>
      <c r="B19" s="92"/>
      <c r="C19" s="24"/>
      <c r="D19" s="19"/>
      <c r="E19" s="43"/>
      <c r="F19" s="19"/>
      <c r="G19" s="43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9"/>
      <c r="AH19" s="43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9"/>
    </row>
    <row r="20" spans="1:264" x14ac:dyDescent="0.35">
      <c r="A20" s="89">
        <f>Neu!B20</f>
        <v>0</v>
      </c>
      <c r="B20" s="92"/>
      <c r="C20" s="24"/>
      <c r="D20" s="19"/>
      <c r="E20" s="43"/>
      <c r="F20" s="19"/>
      <c r="G20" s="43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9"/>
      <c r="AH20" s="43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9"/>
    </row>
    <row r="21" spans="1:264" x14ac:dyDescent="0.35">
      <c r="A21" s="89">
        <f>Neu!B21</f>
        <v>0</v>
      </c>
      <c r="B21" s="92"/>
      <c r="C21" s="24"/>
      <c r="D21" s="19"/>
      <c r="E21" s="43"/>
      <c r="F21" s="19"/>
      <c r="G21" s="43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9"/>
      <c r="AH21" s="43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9"/>
    </row>
    <row r="22" spans="1:264" x14ac:dyDescent="0.35">
      <c r="A22" s="89">
        <f>Neu!B22</f>
        <v>0</v>
      </c>
      <c r="B22" s="92"/>
      <c r="C22" s="24"/>
      <c r="D22" s="19"/>
      <c r="E22" s="43"/>
      <c r="F22" s="19"/>
      <c r="G22" s="43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9"/>
      <c r="AH22" s="43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9"/>
    </row>
    <row r="23" spans="1:264" x14ac:dyDescent="0.35">
      <c r="A23" s="89">
        <f>Neu!B23</f>
        <v>0</v>
      </c>
      <c r="B23" s="92"/>
      <c r="C23" s="24"/>
      <c r="D23" s="19"/>
      <c r="E23" s="43"/>
      <c r="F23" s="19"/>
      <c r="G23" s="43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9"/>
      <c r="AH23" s="43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9"/>
    </row>
    <row r="24" spans="1:264" ht="15" thickBot="1" x14ac:dyDescent="0.4">
      <c r="A24" s="89">
        <f>Neu!B24</f>
        <v>0</v>
      </c>
      <c r="B24" s="93"/>
      <c r="C24" s="94"/>
      <c r="D24" s="45"/>
      <c r="E24" s="44"/>
      <c r="F24" s="45"/>
      <c r="G24" s="44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45"/>
      <c r="AH24" s="44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45"/>
    </row>
    <row r="25" spans="1:264" x14ac:dyDescent="0.35">
      <c r="A25" s="68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I25" s="23"/>
      <c r="DC25" s="23"/>
      <c r="DD25" s="23"/>
      <c r="DE25" s="23"/>
      <c r="DF25" s="23"/>
      <c r="DG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FE25" s="23"/>
      <c r="FF25" s="23"/>
      <c r="FG25" s="23"/>
      <c r="FH25" s="23"/>
      <c r="FI25" s="23"/>
      <c r="FL25" s="23"/>
      <c r="GL25" s="23"/>
      <c r="HM25" s="23"/>
      <c r="HO25" s="23"/>
      <c r="HP25" s="23"/>
      <c r="HQ25" s="23"/>
      <c r="HR25" s="23"/>
      <c r="HS25" s="23"/>
      <c r="HT25" s="23"/>
      <c r="HU25" s="23"/>
      <c r="HV25" s="23"/>
      <c r="HW25" s="23"/>
      <c r="HX25" s="23"/>
      <c r="HY25" s="23"/>
      <c r="HZ25" s="23"/>
      <c r="IA25" s="23"/>
      <c r="IB25" s="23"/>
      <c r="IC25" s="23"/>
      <c r="ID25" s="23"/>
      <c r="IE25" s="23"/>
      <c r="IF25" s="23"/>
      <c r="IG25" s="23"/>
      <c r="IH25" s="23"/>
      <c r="IP25" s="23"/>
      <c r="IQ25" s="23"/>
      <c r="IR25" s="23"/>
      <c r="IS25" s="23"/>
      <c r="IT25" s="23"/>
      <c r="IU25" s="23"/>
      <c r="IV25" s="23"/>
      <c r="IW25" s="23"/>
      <c r="IX25" s="23"/>
      <c r="IY25" s="23"/>
      <c r="IZ25" s="23"/>
      <c r="JA25" s="23"/>
      <c r="JB25" s="23"/>
      <c r="JC25" s="23"/>
      <c r="JD25" s="23"/>
    </row>
    <row r="26" spans="1:264" x14ac:dyDescent="0.35"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I26" s="23"/>
      <c r="DC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FE26" s="23"/>
      <c r="FL26" s="23"/>
      <c r="GL26" s="23"/>
      <c r="HM26" s="23"/>
      <c r="HV26" s="23"/>
      <c r="HW26" s="23"/>
      <c r="HX26" s="23"/>
      <c r="HY26" s="23"/>
      <c r="HZ26" s="23"/>
      <c r="IA26" s="23"/>
      <c r="IB26" s="23"/>
      <c r="IC26" s="23"/>
      <c r="IP26" s="23"/>
      <c r="IQ26" s="23"/>
      <c r="IR26" s="23"/>
      <c r="IS26" s="23"/>
      <c r="IT26" s="23"/>
      <c r="IU26" s="23"/>
      <c r="IV26" s="23"/>
      <c r="IW26" s="23"/>
      <c r="IX26" s="23"/>
      <c r="IY26" s="23"/>
      <c r="IZ26" s="23"/>
      <c r="JA26" s="23"/>
      <c r="JB26" s="23"/>
      <c r="JC26" s="23"/>
      <c r="JD26" s="23"/>
    </row>
    <row r="27" spans="1:264" x14ac:dyDescent="0.35"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DC27" s="23"/>
      <c r="DD27" s="23"/>
      <c r="DE27" s="23"/>
      <c r="DF27" s="23"/>
      <c r="DG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FE27" s="23"/>
      <c r="FF27" s="23"/>
      <c r="FG27" s="23"/>
      <c r="FH27" s="23"/>
      <c r="FI27" s="23"/>
      <c r="FL27" s="23"/>
      <c r="FM27" s="23"/>
      <c r="FN27" s="23"/>
      <c r="FO27" s="23"/>
      <c r="FP27" s="23"/>
      <c r="FQ27" s="23"/>
      <c r="FR27" s="23"/>
      <c r="FS27" s="23"/>
      <c r="FT27" s="23"/>
      <c r="FU27" s="23"/>
      <c r="FV27" s="23"/>
      <c r="FW27" s="23"/>
      <c r="FX27" s="23"/>
      <c r="GL27" s="23"/>
      <c r="GN27" s="23"/>
      <c r="GO27" s="23"/>
      <c r="GP27" s="23"/>
      <c r="GQ27" s="23"/>
      <c r="GR27" s="23"/>
      <c r="GS27" s="23"/>
      <c r="GT27" s="23"/>
      <c r="GU27" s="23"/>
      <c r="GV27" s="23"/>
      <c r="GW27" s="23"/>
      <c r="GX27" s="23"/>
      <c r="GY27" s="23"/>
      <c r="HM27" s="23"/>
      <c r="HO27" s="23"/>
      <c r="HP27" s="23"/>
      <c r="HQ27" s="23"/>
      <c r="HR27" s="23"/>
      <c r="HS27" s="23"/>
      <c r="HT27" s="23"/>
      <c r="HU27" s="23"/>
      <c r="HV27" s="23"/>
      <c r="HW27" s="23"/>
      <c r="HX27" s="23"/>
      <c r="HY27" s="23"/>
      <c r="HZ27" s="23"/>
      <c r="IA27" s="23"/>
      <c r="IB27" s="23"/>
      <c r="IC27" s="23"/>
      <c r="ID27" s="23"/>
      <c r="IE27" s="23"/>
      <c r="IF27" s="23"/>
      <c r="IG27" s="23"/>
      <c r="IH27" s="23"/>
      <c r="IW27" s="23"/>
      <c r="IX27" s="23"/>
      <c r="IY27" s="23"/>
      <c r="IZ27" s="23"/>
      <c r="JA27" s="23"/>
      <c r="JB27" s="23"/>
      <c r="JC27" s="23"/>
      <c r="JD27" s="23"/>
    </row>
    <row r="28" spans="1:264" x14ac:dyDescent="0.35"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</row>
    <row r="29" spans="1:264" ht="15" thickBot="1" x14ac:dyDescent="0.4">
      <c r="D29" s="60" t="s">
        <v>105</v>
      </c>
      <c r="O29" s="60" t="s">
        <v>106</v>
      </c>
      <c r="Z29" s="60" t="s">
        <v>107</v>
      </c>
      <c r="BD29" s="60" t="s">
        <v>159</v>
      </c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HO29" s="23"/>
    </row>
    <row r="30" spans="1:264" ht="15" thickBot="1" x14ac:dyDescent="0.4">
      <c r="D30" s="75" t="s">
        <v>0</v>
      </c>
      <c r="E30" s="56" t="s">
        <v>100</v>
      </c>
      <c r="F30" s="57" t="s">
        <v>102</v>
      </c>
      <c r="G30" s="58" t="s">
        <v>103</v>
      </c>
      <c r="H30" s="56" t="s">
        <v>100</v>
      </c>
      <c r="I30" s="57" t="s">
        <v>102</v>
      </c>
      <c r="J30" s="58" t="s">
        <v>103</v>
      </c>
      <c r="K30" s="56" t="s">
        <v>100</v>
      </c>
      <c r="L30" s="57" t="s">
        <v>102</v>
      </c>
      <c r="M30" s="58" t="s">
        <v>103</v>
      </c>
      <c r="O30" s="59" t="s">
        <v>0</v>
      </c>
      <c r="P30" s="56" t="s">
        <v>104</v>
      </c>
      <c r="Q30" s="58" t="s">
        <v>100</v>
      </c>
      <c r="R30" s="56" t="s">
        <v>104</v>
      </c>
      <c r="S30" s="58" t="s">
        <v>100</v>
      </c>
      <c r="T30" s="56" t="s">
        <v>104</v>
      </c>
      <c r="U30" s="58" t="s">
        <v>100</v>
      </c>
      <c r="V30" s="56" t="s">
        <v>104</v>
      </c>
      <c r="W30" s="58" t="s">
        <v>100</v>
      </c>
      <c r="X30" s="23"/>
      <c r="Z30" s="15" t="s">
        <v>0</v>
      </c>
      <c r="AA30" s="56" t="s">
        <v>100</v>
      </c>
      <c r="AB30" s="57" t="s">
        <v>104</v>
      </c>
      <c r="AC30" s="57" t="s">
        <v>118</v>
      </c>
      <c r="AD30" s="57" t="s">
        <v>117</v>
      </c>
      <c r="AE30" s="57" t="s">
        <v>115</v>
      </c>
      <c r="AF30" s="57" t="s">
        <v>116</v>
      </c>
      <c r="AG30" s="58" t="s">
        <v>113</v>
      </c>
      <c r="AH30" s="56" t="s">
        <v>100</v>
      </c>
      <c r="AI30" s="57" t="s">
        <v>104</v>
      </c>
      <c r="AJ30" s="57" t="s">
        <v>118</v>
      </c>
      <c r="AK30" s="57" t="s">
        <v>117</v>
      </c>
      <c r="AL30" s="57" t="s">
        <v>115</v>
      </c>
      <c r="AM30" s="57" t="s">
        <v>116</v>
      </c>
      <c r="AN30" s="58" t="s">
        <v>113</v>
      </c>
      <c r="AO30" s="56" t="s">
        <v>100</v>
      </c>
      <c r="AP30" s="57" t="s">
        <v>104</v>
      </c>
      <c r="AQ30" s="57" t="s">
        <v>118</v>
      </c>
      <c r="AR30" s="57" t="s">
        <v>117</v>
      </c>
      <c r="AS30" s="57" t="s">
        <v>115</v>
      </c>
      <c r="AT30" s="57" t="s">
        <v>116</v>
      </c>
      <c r="AU30" s="58" t="s">
        <v>113</v>
      </c>
      <c r="AV30" s="56" t="s">
        <v>100</v>
      </c>
      <c r="AW30" s="57" t="s">
        <v>104</v>
      </c>
      <c r="AX30" s="57" t="s">
        <v>118</v>
      </c>
      <c r="AY30" s="57" t="s">
        <v>117</v>
      </c>
      <c r="AZ30" s="57" t="s">
        <v>115</v>
      </c>
      <c r="BA30" s="57" t="s">
        <v>116</v>
      </c>
      <c r="BB30" s="58" t="s">
        <v>113</v>
      </c>
      <c r="BD30" s="75" t="s">
        <v>0</v>
      </c>
      <c r="BE30" s="56" t="s">
        <v>160</v>
      </c>
      <c r="DN30" s="23"/>
      <c r="DO30" s="23"/>
      <c r="DP30" s="23"/>
      <c r="DQ30" s="23"/>
      <c r="DR30" s="23"/>
      <c r="DS30" s="23"/>
      <c r="DT30" s="23"/>
      <c r="DU30" s="23"/>
      <c r="DV30" s="23"/>
      <c r="HO30" s="23"/>
    </row>
    <row r="31" spans="1:264" x14ac:dyDescent="0.35">
      <c r="D31" s="2" t="str">
        <f>Neu!$B4</f>
        <v>HH</v>
      </c>
      <c r="E31" s="20"/>
      <c r="F31" s="17"/>
      <c r="G31" s="17"/>
      <c r="H31" s="43"/>
      <c r="I31" s="17"/>
      <c r="J31" s="19"/>
      <c r="K31" s="43"/>
      <c r="L31" s="17"/>
      <c r="M31" s="19"/>
      <c r="O31" s="2"/>
      <c r="P31" s="43"/>
      <c r="Q31" s="19"/>
      <c r="R31" s="43"/>
      <c r="S31" s="19"/>
      <c r="T31" s="43"/>
      <c r="U31" s="19"/>
      <c r="V31" s="43"/>
      <c r="W31" s="19"/>
      <c r="Z31" s="2"/>
      <c r="AA31" s="43"/>
      <c r="AB31" s="17"/>
      <c r="AC31" s="17"/>
      <c r="AD31" s="34"/>
      <c r="AE31" s="17"/>
      <c r="AF31" s="17"/>
      <c r="AG31" s="19"/>
      <c r="AH31" s="43"/>
      <c r="AI31" s="17"/>
      <c r="AJ31" s="17"/>
      <c r="AK31" s="17"/>
      <c r="AL31" s="17"/>
      <c r="AM31" s="17"/>
      <c r="AN31" s="19"/>
      <c r="AO31" s="43"/>
      <c r="AP31" s="17"/>
      <c r="AQ31" s="17"/>
      <c r="AR31" s="17"/>
      <c r="AS31" s="17"/>
      <c r="AT31" s="17"/>
      <c r="AU31" s="19"/>
      <c r="AV31" s="43"/>
      <c r="AW31" s="17"/>
      <c r="AX31" s="17"/>
      <c r="AY31" s="17"/>
      <c r="AZ31" s="17"/>
      <c r="BA31" s="17"/>
      <c r="BB31" s="19"/>
      <c r="BD31" s="2" t="s">
        <v>164</v>
      </c>
      <c r="BE31" s="43">
        <v>-70</v>
      </c>
      <c r="DN31" s="23"/>
      <c r="DO31" s="23"/>
      <c r="DP31" s="23"/>
      <c r="DQ31" s="23"/>
      <c r="DR31" s="23"/>
      <c r="DS31" s="23"/>
      <c r="DT31" s="23"/>
      <c r="DU31" s="23"/>
      <c r="DV31" s="23"/>
      <c r="HO31" s="23"/>
    </row>
    <row r="32" spans="1:264" x14ac:dyDescent="0.35">
      <c r="D32" s="3">
        <f>Neu!$B5</f>
        <v>0</v>
      </c>
      <c r="E32" s="20"/>
      <c r="F32" s="17"/>
      <c r="G32" s="17"/>
      <c r="H32" s="43"/>
      <c r="I32" s="17"/>
      <c r="J32" s="19"/>
      <c r="K32" s="43"/>
      <c r="L32" s="17"/>
      <c r="M32" s="19"/>
      <c r="O32" s="3">
        <f>Neu!$B5</f>
        <v>0</v>
      </c>
      <c r="P32" s="43"/>
      <c r="Q32" s="19"/>
      <c r="R32" s="43"/>
      <c r="S32" s="19"/>
      <c r="T32" s="43"/>
      <c r="U32" s="19"/>
      <c r="V32" s="43"/>
      <c r="W32" s="19"/>
      <c r="Z32" s="3">
        <f>Neu!$B5</f>
        <v>0</v>
      </c>
      <c r="AA32" s="43"/>
      <c r="AB32" s="17"/>
      <c r="AC32" s="17"/>
      <c r="AD32" s="34"/>
      <c r="AE32" s="17"/>
      <c r="AF32" s="17"/>
      <c r="AG32" s="19"/>
      <c r="AH32" s="43"/>
      <c r="AI32" s="17"/>
      <c r="AJ32" s="17"/>
      <c r="AK32" s="34"/>
      <c r="AL32" s="17"/>
      <c r="AM32" s="17"/>
      <c r="AN32" s="19"/>
      <c r="AO32" s="43"/>
      <c r="AP32" s="17"/>
      <c r="AQ32" s="17"/>
      <c r="AR32" s="17"/>
      <c r="AS32" s="17"/>
      <c r="AT32" s="17"/>
      <c r="AU32" s="19"/>
      <c r="AV32" s="43"/>
      <c r="AW32" s="17"/>
      <c r="AX32" s="17"/>
      <c r="AY32" s="17"/>
      <c r="AZ32" s="17"/>
      <c r="BA32" s="17"/>
      <c r="BB32" s="19"/>
      <c r="BD32" s="3"/>
      <c r="BE32" s="43"/>
      <c r="DN32" s="23"/>
      <c r="DO32" s="23"/>
      <c r="DP32" s="23"/>
      <c r="DQ32" s="23"/>
      <c r="DR32" s="23"/>
      <c r="DS32" s="23"/>
      <c r="DT32" s="23"/>
      <c r="DU32" s="23"/>
      <c r="DV32" s="23"/>
    </row>
    <row r="33" spans="4:126" x14ac:dyDescent="0.35">
      <c r="D33" s="3">
        <f>Neu!$B6</f>
        <v>0</v>
      </c>
      <c r="E33" s="20"/>
      <c r="F33" s="17"/>
      <c r="G33" s="17"/>
      <c r="H33" s="43"/>
      <c r="I33" s="17"/>
      <c r="J33" s="19"/>
      <c r="K33" s="43"/>
      <c r="L33" s="17"/>
      <c r="M33" s="19"/>
      <c r="O33" s="3">
        <f>Neu!$B6</f>
        <v>0</v>
      </c>
      <c r="P33" s="43"/>
      <c r="Q33" s="19"/>
      <c r="R33" s="43"/>
      <c r="S33" s="19"/>
      <c r="T33" s="43"/>
      <c r="U33" s="19"/>
      <c r="V33" s="43"/>
      <c r="W33" s="19"/>
      <c r="Z33" s="3">
        <f>Neu!$B6</f>
        <v>0</v>
      </c>
      <c r="AA33" s="43"/>
      <c r="AB33" s="17"/>
      <c r="AC33" s="17"/>
      <c r="AD33" s="34"/>
      <c r="AE33" s="17"/>
      <c r="AF33" s="17"/>
      <c r="AG33" s="19"/>
      <c r="AH33" s="43"/>
      <c r="AI33" s="17"/>
      <c r="AJ33" s="17"/>
      <c r="AK33" s="34"/>
      <c r="AL33" s="17"/>
      <c r="AM33" s="17"/>
      <c r="AN33" s="19"/>
      <c r="AO33" s="43"/>
      <c r="AP33" s="17"/>
      <c r="AQ33" s="17"/>
      <c r="AR33" s="17"/>
      <c r="AS33" s="17"/>
      <c r="AT33" s="17"/>
      <c r="AU33" s="19"/>
      <c r="AV33" s="43"/>
      <c r="AW33" s="17"/>
      <c r="AX33" s="17"/>
      <c r="AY33" s="17"/>
      <c r="AZ33" s="17"/>
      <c r="BA33" s="17"/>
      <c r="BB33" s="19"/>
      <c r="BD33" s="3"/>
      <c r="BE33" s="43"/>
      <c r="DN33" s="23"/>
      <c r="DO33" s="23"/>
      <c r="DP33" s="23"/>
      <c r="DQ33" s="23"/>
      <c r="DR33" s="23"/>
      <c r="DS33" s="23"/>
      <c r="DT33" s="23"/>
      <c r="DU33" s="23"/>
      <c r="DV33" s="23"/>
    </row>
    <row r="34" spans="4:126" x14ac:dyDescent="0.35">
      <c r="D34" s="3">
        <f>Neu!$B7</f>
        <v>0</v>
      </c>
      <c r="E34" s="20"/>
      <c r="F34" s="17"/>
      <c r="G34" s="19"/>
      <c r="H34" s="43"/>
      <c r="I34" s="17"/>
      <c r="J34" s="19"/>
      <c r="K34" s="43"/>
      <c r="L34" s="17"/>
      <c r="M34" s="19"/>
      <c r="O34" s="3">
        <f>Neu!$B7</f>
        <v>0</v>
      </c>
      <c r="P34" s="43"/>
      <c r="Q34" s="19"/>
      <c r="R34" s="43"/>
      <c r="S34" s="19"/>
      <c r="T34" s="43"/>
      <c r="U34" s="19"/>
      <c r="V34" s="43"/>
      <c r="W34" s="19"/>
      <c r="Z34" s="3">
        <f>Neu!$B7</f>
        <v>0</v>
      </c>
      <c r="AA34" s="43"/>
      <c r="AB34" s="17"/>
      <c r="AC34" s="17"/>
      <c r="AD34" s="34"/>
      <c r="AE34" s="17"/>
      <c r="AF34" s="17"/>
      <c r="AG34" s="19"/>
      <c r="AH34" s="43"/>
      <c r="AI34" s="17"/>
      <c r="AJ34" s="17"/>
      <c r="AK34" s="17"/>
      <c r="AL34" s="17"/>
      <c r="AM34" s="17"/>
      <c r="AN34" s="19"/>
      <c r="AO34" s="43"/>
      <c r="AP34" s="17"/>
      <c r="AQ34" s="17"/>
      <c r="AR34" s="17"/>
      <c r="AS34" s="17"/>
      <c r="AT34" s="17"/>
      <c r="AU34" s="19"/>
      <c r="AV34" s="43"/>
      <c r="AW34" s="17"/>
      <c r="AX34" s="17"/>
      <c r="AY34" s="17"/>
      <c r="AZ34" s="17"/>
      <c r="BA34" s="17"/>
      <c r="BB34" s="19"/>
      <c r="BD34" s="3"/>
      <c r="BE34" s="43"/>
    </row>
    <row r="35" spans="4:126" x14ac:dyDescent="0.35">
      <c r="D35" s="3">
        <f>Neu!$B8</f>
        <v>0</v>
      </c>
      <c r="E35" s="20"/>
      <c r="F35" s="17"/>
      <c r="G35" s="19"/>
      <c r="H35" s="43"/>
      <c r="I35" s="17"/>
      <c r="J35" s="19"/>
      <c r="K35" s="43"/>
      <c r="L35" s="17"/>
      <c r="M35" s="19"/>
      <c r="O35" s="3">
        <f>Neu!$B8</f>
        <v>0</v>
      </c>
      <c r="P35" s="43"/>
      <c r="Q35" s="19"/>
      <c r="R35" s="43"/>
      <c r="S35" s="19"/>
      <c r="T35" s="43"/>
      <c r="U35" s="19"/>
      <c r="V35" s="43"/>
      <c r="W35" s="19"/>
      <c r="Z35" s="3">
        <f>Neu!$B8</f>
        <v>0</v>
      </c>
      <c r="AA35" s="43"/>
      <c r="AB35" s="17"/>
      <c r="AC35" s="17"/>
      <c r="AD35" s="34"/>
      <c r="AE35" s="17"/>
      <c r="AF35" s="17"/>
      <c r="AG35" s="19"/>
      <c r="AH35" s="43"/>
      <c r="AI35" s="17"/>
      <c r="AJ35" s="17"/>
      <c r="AK35" s="34"/>
      <c r="AL35" s="17"/>
      <c r="AM35" s="17"/>
      <c r="AN35" s="19"/>
      <c r="AO35" s="43"/>
      <c r="AP35" s="17"/>
      <c r="AQ35" s="17"/>
      <c r="AR35" s="17"/>
      <c r="AS35" s="17"/>
      <c r="AT35" s="17"/>
      <c r="AU35" s="19"/>
      <c r="AV35" s="43"/>
      <c r="AW35" s="17"/>
      <c r="AX35" s="17"/>
      <c r="AY35" s="17"/>
      <c r="AZ35" s="17"/>
      <c r="BA35" s="17"/>
      <c r="BB35" s="19"/>
      <c r="BD35" s="3"/>
      <c r="BE35" s="43"/>
    </row>
    <row r="36" spans="4:126" x14ac:dyDescent="0.35">
      <c r="D36" s="3">
        <f>Neu!$B9</f>
        <v>0</v>
      </c>
      <c r="E36" s="20"/>
      <c r="F36" s="17"/>
      <c r="G36" s="19"/>
      <c r="H36" s="43"/>
      <c r="I36" s="17"/>
      <c r="J36" s="19"/>
      <c r="K36" s="43"/>
      <c r="L36" s="17"/>
      <c r="M36" s="19"/>
      <c r="O36" s="3">
        <f>Neu!$B9</f>
        <v>0</v>
      </c>
      <c r="P36" s="43"/>
      <c r="Q36" s="19"/>
      <c r="R36" s="43"/>
      <c r="S36" s="19"/>
      <c r="T36" s="43"/>
      <c r="U36" s="19"/>
      <c r="V36" s="43"/>
      <c r="W36" s="19"/>
      <c r="Z36" s="3">
        <f>Neu!$B9</f>
        <v>0</v>
      </c>
      <c r="AA36" s="43"/>
      <c r="AB36" s="17"/>
      <c r="AC36" s="17"/>
      <c r="AD36" s="34"/>
      <c r="AE36" s="17"/>
      <c r="AF36" s="17"/>
      <c r="AG36" s="19"/>
      <c r="AH36" s="43"/>
      <c r="AI36" s="17"/>
      <c r="AJ36" s="17"/>
      <c r="AK36" s="17"/>
      <c r="AL36" s="17"/>
      <c r="AM36" s="17"/>
      <c r="AN36" s="19"/>
      <c r="AO36" s="43"/>
      <c r="AP36" s="17"/>
      <c r="AQ36" s="17"/>
      <c r="AR36" s="17"/>
      <c r="AS36" s="17"/>
      <c r="AT36" s="17"/>
      <c r="AU36" s="19"/>
      <c r="AV36" s="43"/>
      <c r="AW36" s="17"/>
      <c r="AX36" s="17"/>
      <c r="AY36" s="17"/>
      <c r="AZ36" s="17"/>
      <c r="BA36" s="17"/>
      <c r="BB36" s="19"/>
      <c r="BD36" s="3"/>
      <c r="BE36" s="43"/>
    </row>
    <row r="37" spans="4:126" x14ac:dyDescent="0.35">
      <c r="D37" s="3">
        <f>Neu!$B10</f>
        <v>0</v>
      </c>
      <c r="E37" s="20"/>
      <c r="F37" s="17"/>
      <c r="G37" s="19"/>
      <c r="H37" s="43"/>
      <c r="I37" s="17"/>
      <c r="J37" s="19"/>
      <c r="K37" s="43"/>
      <c r="L37" s="17"/>
      <c r="M37" s="19"/>
      <c r="O37" s="3">
        <f>Neu!$B10</f>
        <v>0</v>
      </c>
      <c r="P37" s="43"/>
      <c r="Q37" s="19"/>
      <c r="R37" s="43"/>
      <c r="S37" s="19"/>
      <c r="T37" s="43"/>
      <c r="U37" s="19"/>
      <c r="V37" s="43"/>
      <c r="W37" s="19"/>
      <c r="Z37" s="3">
        <f>Neu!$B10</f>
        <v>0</v>
      </c>
      <c r="AA37" s="43"/>
      <c r="AB37" s="17"/>
      <c r="AC37" s="17"/>
      <c r="AD37" s="34"/>
      <c r="AE37" s="17"/>
      <c r="AF37" s="17"/>
      <c r="AG37" s="19"/>
      <c r="AH37" s="43"/>
      <c r="AI37" s="17"/>
      <c r="AJ37" s="17"/>
      <c r="AK37" s="17"/>
      <c r="AL37" s="17"/>
      <c r="AM37" s="17"/>
      <c r="AN37" s="19"/>
      <c r="AO37" s="43"/>
      <c r="AP37" s="17"/>
      <c r="AQ37" s="17"/>
      <c r="AR37" s="17"/>
      <c r="AS37" s="17"/>
      <c r="AT37" s="17"/>
      <c r="AU37" s="19"/>
      <c r="AV37" s="43"/>
      <c r="AW37" s="17"/>
      <c r="AX37" s="17"/>
      <c r="AY37" s="17"/>
      <c r="AZ37" s="17"/>
      <c r="BA37" s="17"/>
      <c r="BB37" s="19"/>
      <c r="BD37" s="3"/>
      <c r="BE37" s="43"/>
    </row>
    <row r="38" spans="4:126" x14ac:dyDescent="0.35">
      <c r="D38" s="3">
        <f>Neu!$B11</f>
        <v>0</v>
      </c>
      <c r="E38" s="20"/>
      <c r="F38" s="17"/>
      <c r="G38" s="19"/>
      <c r="H38" s="43"/>
      <c r="I38" s="17"/>
      <c r="J38" s="19"/>
      <c r="K38" s="43"/>
      <c r="L38" s="17"/>
      <c r="M38" s="19"/>
      <c r="O38" s="3">
        <f>Neu!$B11</f>
        <v>0</v>
      </c>
      <c r="P38" s="43"/>
      <c r="Q38" s="19"/>
      <c r="R38" s="43"/>
      <c r="S38" s="19"/>
      <c r="T38" s="43"/>
      <c r="U38" s="19"/>
      <c r="V38" s="43"/>
      <c r="W38" s="19"/>
      <c r="Z38" s="3">
        <f>Neu!$B11</f>
        <v>0</v>
      </c>
      <c r="AA38" s="43"/>
      <c r="AB38" s="17"/>
      <c r="AC38" s="17"/>
      <c r="AD38" s="34"/>
      <c r="AE38" s="17"/>
      <c r="AF38" s="17"/>
      <c r="AG38" s="19"/>
      <c r="AH38" s="43"/>
      <c r="AI38" s="17"/>
      <c r="AJ38" s="17"/>
      <c r="AK38" s="17"/>
      <c r="AL38" s="17"/>
      <c r="AM38" s="17"/>
      <c r="AN38" s="19"/>
      <c r="AO38" s="43"/>
      <c r="AP38" s="17"/>
      <c r="AQ38" s="17"/>
      <c r="AR38" s="17"/>
      <c r="AS38" s="17"/>
      <c r="AT38" s="17"/>
      <c r="AU38" s="19"/>
      <c r="AV38" s="43"/>
      <c r="AW38" s="17"/>
      <c r="AX38" s="17"/>
      <c r="AY38" s="17"/>
      <c r="AZ38" s="17"/>
      <c r="BA38" s="17"/>
      <c r="BB38" s="19"/>
      <c r="BD38" s="3"/>
      <c r="BE38" s="43"/>
    </row>
    <row r="39" spans="4:126" x14ac:dyDescent="0.35">
      <c r="D39" s="3">
        <f>Neu!$B12</f>
        <v>0</v>
      </c>
      <c r="E39" s="20"/>
      <c r="F39" s="17"/>
      <c r="G39" s="19"/>
      <c r="H39" s="43"/>
      <c r="I39" s="17"/>
      <c r="J39" s="19"/>
      <c r="K39" s="43"/>
      <c r="L39" s="17"/>
      <c r="M39" s="19"/>
      <c r="O39" s="3">
        <f>Neu!$B12</f>
        <v>0</v>
      </c>
      <c r="P39" s="43"/>
      <c r="Q39" s="19"/>
      <c r="R39" s="43"/>
      <c r="S39" s="19"/>
      <c r="T39" s="43"/>
      <c r="U39" s="19"/>
      <c r="V39" s="43"/>
      <c r="W39" s="19"/>
      <c r="Z39" s="3">
        <f>Neu!$B12</f>
        <v>0</v>
      </c>
      <c r="AA39" s="43"/>
      <c r="AB39" s="17"/>
      <c r="AC39" s="17"/>
      <c r="AD39" s="34"/>
      <c r="AE39" s="17"/>
      <c r="AF39" s="17"/>
      <c r="AG39" s="19"/>
      <c r="AH39" s="43"/>
      <c r="AI39" s="17"/>
      <c r="AJ39" s="17"/>
      <c r="AK39" s="17"/>
      <c r="AL39" s="17"/>
      <c r="AM39" s="17"/>
      <c r="AN39" s="19"/>
      <c r="AO39" s="43"/>
      <c r="AP39" s="17"/>
      <c r="AQ39" s="17"/>
      <c r="AR39" s="17"/>
      <c r="AS39" s="17"/>
      <c r="AT39" s="17"/>
      <c r="AU39" s="19"/>
      <c r="AV39" s="43"/>
      <c r="AW39" s="17"/>
      <c r="AX39" s="17"/>
      <c r="AY39" s="17"/>
      <c r="AZ39" s="17"/>
      <c r="BA39" s="17"/>
      <c r="BB39" s="19"/>
      <c r="BD39" s="3"/>
      <c r="BE39" s="43"/>
    </row>
    <row r="40" spans="4:126" x14ac:dyDescent="0.35">
      <c r="D40" s="3">
        <f>Neu!$B13</f>
        <v>0</v>
      </c>
      <c r="E40" s="20"/>
      <c r="F40" s="17"/>
      <c r="G40" s="19"/>
      <c r="H40" s="43"/>
      <c r="I40" s="17"/>
      <c r="J40" s="19"/>
      <c r="K40" s="43"/>
      <c r="L40" s="17"/>
      <c r="M40" s="19"/>
      <c r="O40" s="3">
        <f>Neu!$B13</f>
        <v>0</v>
      </c>
      <c r="P40" s="43"/>
      <c r="Q40" s="19"/>
      <c r="R40" s="43"/>
      <c r="S40" s="19"/>
      <c r="T40" s="43"/>
      <c r="U40" s="19"/>
      <c r="V40" s="43"/>
      <c r="W40" s="19"/>
      <c r="Z40" s="3">
        <f>Neu!$B13</f>
        <v>0</v>
      </c>
      <c r="AA40" s="43"/>
      <c r="AB40" s="17"/>
      <c r="AC40" s="17"/>
      <c r="AD40" s="34"/>
      <c r="AE40" s="17"/>
      <c r="AF40" s="17"/>
      <c r="AG40" s="19"/>
      <c r="AH40" s="43"/>
      <c r="AI40" s="17"/>
      <c r="AJ40" s="17"/>
      <c r="AK40" s="17"/>
      <c r="AL40" s="17"/>
      <c r="AM40" s="17"/>
      <c r="AN40" s="19"/>
      <c r="AO40" s="43"/>
      <c r="AP40" s="17"/>
      <c r="AQ40" s="17"/>
      <c r="AR40" s="17"/>
      <c r="AS40" s="17"/>
      <c r="AT40" s="17"/>
      <c r="AU40" s="19"/>
      <c r="AV40" s="43"/>
      <c r="AW40" s="17"/>
      <c r="AX40" s="17"/>
      <c r="AY40" s="17"/>
      <c r="AZ40" s="17"/>
      <c r="BA40" s="17"/>
      <c r="BB40" s="19"/>
      <c r="BD40" s="3"/>
      <c r="BE40" s="43"/>
    </row>
    <row r="41" spans="4:126" x14ac:dyDescent="0.35">
      <c r="D41" s="3">
        <f>Neu!$B14</f>
        <v>0</v>
      </c>
      <c r="E41" s="20"/>
      <c r="F41" s="17"/>
      <c r="G41" s="19"/>
      <c r="H41" s="43"/>
      <c r="I41" s="17"/>
      <c r="J41" s="19"/>
      <c r="K41" s="43"/>
      <c r="L41" s="17"/>
      <c r="M41" s="19"/>
      <c r="O41" s="3">
        <f>Neu!$B14</f>
        <v>0</v>
      </c>
      <c r="P41" s="43"/>
      <c r="Q41" s="19"/>
      <c r="R41" s="43"/>
      <c r="S41" s="19"/>
      <c r="T41" s="43"/>
      <c r="U41" s="19"/>
      <c r="V41" s="43"/>
      <c r="W41" s="19"/>
      <c r="Z41" s="3">
        <f>Neu!$B14</f>
        <v>0</v>
      </c>
      <c r="AA41" s="43"/>
      <c r="AB41" s="17"/>
      <c r="AC41" s="17"/>
      <c r="AD41" s="34"/>
      <c r="AE41" s="17"/>
      <c r="AF41" s="17"/>
      <c r="AG41" s="19"/>
      <c r="AH41" s="43"/>
      <c r="AI41" s="17"/>
      <c r="AJ41" s="17"/>
      <c r="AK41" s="17"/>
      <c r="AL41" s="17"/>
      <c r="AM41" s="17"/>
      <c r="AN41" s="19"/>
      <c r="AO41" s="43"/>
      <c r="AP41" s="17"/>
      <c r="AQ41" s="17"/>
      <c r="AR41" s="17"/>
      <c r="AS41" s="17"/>
      <c r="AT41" s="17"/>
      <c r="AU41" s="19"/>
      <c r="AV41" s="43"/>
      <c r="AW41" s="17"/>
      <c r="AX41" s="17"/>
      <c r="AY41" s="17"/>
      <c r="AZ41" s="17"/>
      <c r="BA41" s="17"/>
      <c r="BB41" s="19"/>
      <c r="BD41" s="3"/>
      <c r="BE41" s="43"/>
    </row>
    <row r="42" spans="4:126" x14ac:dyDescent="0.35">
      <c r="D42" s="3">
        <f>Neu!$B15</f>
        <v>0</v>
      </c>
      <c r="E42" s="20"/>
      <c r="F42" s="17"/>
      <c r="G42" s="19"/>
      <c r="H42" s="43"/>
      <c r="I42" s="17"/>
      <c r="J42" s="19"/>
      <c r="K42" s="43"/>
      <c r="L42" s="17"/>
      <c r="M42" s="19"/>
      <c r="O42" s="3">
        <f>Neu!$B15</f>
        <v>0</v>
      </c>
      <c r="P42" s="43"/>
      <c r="Q42" s="19"/>
      <c r="R42" s="43"/>
      <c r="S42" s="19"/>
      <c r="T42" s="43"/>
      <c r="U42" s="19"/>
      <c r="V42" s="43"/>
      <c r="W42" s="19"/>
      <c r="Z42" s="3">
        <f>Neu!$B15</f>
        <v>0</v>
      </c>
      <c r="AA42" s="43"/>
      <c r="AB42" s="17"/>
      <c r="AC42" s="17"/>
      <c r="AD42" s="34"/>
      <c r="AE42" s="17"/>
      <c r="AF42" s="17"/>
      <c r="AG42" s="19"/>
      <c r="AH42" s="43"/>
      <c r="AI42" s="17"/>
      <c r="AJ42" s="17"/>
      <c r="AK42" s="17"/>
      <c r="AL42" s="17"/>
      <c r="AM42" s="17"/>
      <c r="AN42" s="19"/>
      <c r="AO42" s="43"/>
      <c r="AP42" s="17"/>
      <c r="AQ42" s="17"/>
      <c r="AR42" s="17"/>
      <c r="AS42" s="17"/>
      <c r="AT42" s="17"/>
      <c r="AU42" s="19"/>
      <c r="AV42" s="43"/>
      <c r="AW42" s="17"/>
      <c r="AX42" s="17"/>
      <c r="AY42" s="17"/>
      <c r="AZ42" s="17"/>
      <c r="BA42" s="17"/>
      <c r="BB42" s="19"/>
      <c r="BD42" s="3"/>
      <c r="BE42" s="43"/>
    </row>
    <row r="43" spans="4:126" x14ac:dyDescent="0.35">
      <c r="D43" s="3">
        <f>Neu!$B16</f>
        <v>0</v>
      </c>
      <c r="E43" s="20"/>
      <c r="F43" s="17"/>
      <c r="G43" s="19"/>
      <c r="H43" s="43"/>
      <c r="I43" s="17"/>
      <c r="J43" s="19"/>
      <c r="K43" s="43"/>
      <c r="L43" s="17"/>
      <c r="M43" s="19"/>
      <c r="O43" s="3">
        <f>Neu!$B16</f>
        <v>0</v>
      </c>
      <c r="P43" s="43"/>
      <c r="Q43" s="19"/>
      <c r="R43" s="43"/>
      <c r="S43" s="19"/>
      <c r="T43" s="43"/>
      <c r="U43" s="19"/>
      <c r="V43" s="43"/>
      <c r="W43" s="19"/>
      <c r="Z43" s="3">
        <f>Neu!$B16</f>
        <v>0</v>
      </c>
      <c r="AA43" s="43"/>
      <c r="AB43" s="17"/>
      <c r="AC43" s="17"/>
      <c r="AD43" s="34"/>
      <c r="AE43" s="17"/>
      <c r="AF43" s="17"/>
      <c r="AG43" s="19"/>
      <c r="AH43" s="43"/>
      <c r="AI43" s="17"/>
      <c r="AJ43" s="17"/>
      <c r="AK43" s="17"/>
      <c r="AL43" s="17"/>
      <c r="AM43" s="17"/>
      <c r="AN43" s="19"/>
      <c r="AO43" s="43"/>
      <c r="AP43" s="17"/>
      <c r="AQ43" s="17"/>
      <c r="AR43" s="17"/>
      <c r="AS43" s="17"/>
      <c r="AT43" s="17"/>
      <c r="AU43" s="19"/>
      <c r="AV43" s="43"/>
      <c r="AW43" s="17"/>
      <c r="AX43" s="17"/>
      <c r="AY43" s="17"/>
      <c r="AZ43" s="17"/>
      <c r="BA43" s="17"/>
      <c r="BB43" s="19"/>
      <c r="BD43" s="3"/>
      <c r="BE43" s="43"/>
    </row>
    <row r="44" spans="4:126" x14ac:dyDescent="0.35">
      <c r="D44" s="3">
        <f>Neu!$B17</f>
        <v>0</v>
      </c>
      <c r="E44" s="20"/>
      <c r="F44" s="17"/>
      <c r="G44" s="19"/>
      <c r="H44" s="43"/>
      <c r="I44" s="17"/>
      <c r="J44" s="19"/>
      <c r="K44" s="43"/>
      <c r="L44" s="17"/>
      <c r="M44" s="19"/>
      <c r="O44" s="3">
        <f>Neu!$B17</f>
        <v>0</v>
      </c>
      <c r="P44" s="43"/>
      <c r="Q44" s="19"/>
      <c r="R44" s="43"/>
      <c r="S44" s="19"/>
      <c r="T44" s="43"/>
      <c r="U44" s="19"/>
      <c r="V44" s="43"/>
      <c r="W44" s="19"/>
      <c r="Z44" s="3">
        <f>Neu!$B17</f>
        <v>0</v>
      </c>
      <c r="AA44" s="43"/>
      <c r="AB44" s="17"/>
      <c r="AC44" s="17"/>
      <c r="AD44" s="34"/>
      <c r="AE44" s="17"/>
      <c r="AF44" s="17"/>
      <c r="AG44" s="19"/>
      <c r="AH44" s="43"/>
      <c r="AI44" s="17"/>
      <c r="AJ44" s="17"/>
      <c r="AK44" s="17"/>
      <c r="AL44" s="17"/>
      <c r="AM44" s="17"/>
      <c r="AN44" s="19"/>
      <c r="AO44" s="43"/>
      <c r="AP44" s="17"/>
      <c r="AQ44" s="17"/>
      <c r="AR44" s="17"/>
      <c r="AS44" s="17"/>
      <c r="AT44" s="17"/>
      <c r="AU44" s="19"/>
      <c r="AV44" s="43"/>
      <c r="AW44" s="17"/>
      <c r="AX44" s="17"/>
      <c r="AY44" s="17"/>
      <c r="AZ44" s="17"/>
      <c r="BA44" s="17"/>
      <c r="BB44" s="19"/>
      <c r="BD44" s="3"/>
      <c r="BE44" s="43"/>
    </row>
    <row r="45" spans="4:126" x14ac:dyDescent="0.35">
      <c r="D45" s="3">
        <f>Neu!$B18</f>
        <v>0</v>
      </c>
      <c r="E45" s="20"/>
      <c r="F45" s="17"/>
      <c r="G45" s="19"/>
      <c r="H45" s="43"/>
      <c r="I45" s="17"/>
      <c r="J45" s="19"/>
      <c r="K45" s="43"/>
      <c r="L45" s="17"/>
      <c r="M45" s="19"/>
      <c r="O45" s="3">
        <f>Neu!$B18</f>
        <v>0</v>
      </c>
      <c r="P45" s="43"/>
      <c r="Q45" s="19"/>
      <c r="R45" s="43"/>
      <c r="S45" s="19"/>
      <c r="T45" s="43"/>
      <c r="U45" s="19"/>
      <c r="V45" s="43"/>
      <c r="W45" s="19"/>
      <c r="Z45" s="3">
        <f>Neu!$B18</f>
        <v>0</v>
      </c>
      <c r="AA45" s="43"/>
      <c r="AB45" s="17"/>
      <c r="AC45" s="17"/>
      <c r="AD45" s="34"/>
      <c r="AE45" s="17"/>
      <c r="AF45" s="17"/>
      <c r="AG45" s="19"/>
      <c r="AH45" s="43"/>
      <c r="AI45" s="17"/>
      <c r="AJ45" s="17"/>
      <c r="AK45" s="17"/>
      <c r="AL45" s="17"/>
      <c r="AM45" s="17"/>
      <c r="AN45" s="19"/>
      <c r="AO45" s="43"/>
      <c r="AP45" s="17"/>
      <c r="AQ45" s="17"/>
      <c r="AR45" s="17"/>
      <c r="AS45" s="17"/>
      <c r="AT45" s="17"/>
      <c r="AU45" s="19"/>
      <c r="AV45" s="43"/>
      <c r="AW45" s="17"/>
      <c r="AX45" s="17"/>
      <c r="AY45" s="17"/>
      <c r="AZ45" s="17"/>
      <c r="BA45" s="17"/>
      <c r="BB45" s="19"/>
      <c r="BD45" s="3"/>
      <c r="BE45" s="43"/>
    </row>
    <row r="46" spans="4:126" x14ac:dyDescent="0.35">
      <c r="D46" s="3">
        <f>Neu!$B19</f>
        <v>0</v>
      </c>
      <c r="E46" s="20"/>
      <c r="F46" s="17"/>
      <c r="G46" s="19"/>
      <c r="H46" s="43"/>
      <c r="I46" s="17"/>
      <c r="J46" s="19"/>
      <c r="K46" s="43"/>
      <c r="L46" s="17"/>
      <c r="M46" s="19"/>
      <c r="O46" s="3">
        <f>Neu!$B19</f>
        <v>0</v>
      </c>
      <c r="P46" s="43"/>
      <c r="Q46" s="19"/>
      <c r="R46" s="43"/>
      <c r="S46" s="19"/>
      <c r="T46" s="43"/>
      <c r="U46" s="19"/>
      <c r="V46" s="43"/>
      <c r="W46" s="19"/>
      <c r="Z46" s="3">
        <f>Neu!$B19</f>
        <v>0</v>
      </c>
      <c r="AA46" s="43"/>
      <c r="AB46" s="17"/>
      <c r="AC46" s="17"/>
      <c r="AD46" s="34"/>
      <c r="AE46" s="17"/>
      <c r="AF46" s="17"/>
      <c r="AG46" s="19"/>
      <c r="AH46" s="43"/>
      <c r="AI46" s="17"/>
      <c r="AJ46" s="17"/>
      <c r="AK46" s="17"/>
      <c r="AL46" s="17"/>
      <c r="AM46" s="17"/>
      <c r="AN46" s="19"/>
      <c r="AO46" s="43"/>
      <c r="AP46" s="17"/>
      <c r="AQ46" s="17"/>
      <c r="AR46" s="17"/>
      <c r="AS46" s="17"/>
      <c r="AT46" s="17"/>
      <c r="AU46" s="19"/>
      <c r="AV46" s="43"/>
      <c r="AW46" s="17"/>
      <c r="AX46" s="17"/>
      <c r="AY46" s="17"/>
      <c r="AZ46" s="17"/>
      <c r="BA46" s="17"/>
      <c r="BB46" s="19"/>
      <c r="BD46" s="3"/>
      <c r="BE46" s="43"/>
    </row>
    <row r="47" spans="4:126" x14ac:dyDescent="0.35">
      <c r="D47" s="3">
        <f>Neu!$B20</f>
        <v>0</v>
      </c>
      <c r="E47" s="20"/>
      <c r="F47" s="17"/>
      <c r="G47" s="19"/>
      <c r="H47" s="43"/>
      <c r="I47" s="17"/>
      <c r="J47" s="19"/>
      <c r="K47" s="43"/>
      <c r="L47" s="17"/>
      <c r="M47" s="19"/>
      <c r="O47" s="3">
        <f>Neu!$B20</f>
        <v>0</v>
      </c>
      <c r="P47" s="43"/>
      <c r="Q47" s="19"/>
      <c r="R47" s="43"/>
      <c r="S47" s="19"/>
      <c r="T47" s="43"/>
      <c r="U47" s="19"/>
      <c r="V47" s="43"/>
      <c r="W47" s="19"/>
      <c r="Z47" s="3">
        <f>Neu!$B20</f>
        <v>0</v>
      </c>
      <c r="AA47" s="43"/>
      <c r="AB47" s="17"/>
      <c r="AC47" s="17"/>
      <c r="AD47" s="34"/>
      <c r="AE47" s="17"/>
      <c r="AF47" s="17"/>
      <c r="AG47" s="19"/>
      <c r="AH47" s="43"/>
      <c r="AI47" s="17"/>
      <c r="AJ47" s="17"/>
      <c r="AK47" s="17"/>
      <c r="AL47" s="17"/>
      <c r="AM47" s="17"/>
      <c r="AN47" s="19"/>
      <c r="AO47" s="43"/>
      <c r="AP47" s="17"/>
      <c r="AQ47" s="17"/>
      <c r="AR47" s="17"/>
      <c r="AS47" s="17"/>
      <c r="AT47" s="17"/>
      <c r="AU47" s="19"/>
      <c r="AV47" s="43"/>
      <c r="AW47" s="17"/>
      <c r="AX47" s="17"/>
      <c r="AY47" s="17"/>
      <c r="AZ47" s="17"/>
      <c r="BA47" s="17"/>
      <c r="BB47" s="19"/>
      <c r="BD47" s="3"/>
      <c r="BE47" s="43"/>
    </row>
    <row r="48" spans="4:126" x14ac:dyDescent="0.35">
      <c r="D48" s="3">
        <f>Neu!$B21</f>
        <v>0</v>
      </c>
      <c r="E48" s="20"/>
      <c r="F48" s="17"/>
      <c r="G48" s="19"/>
      <c r="H48" s="43"/>
      <c r="I48" s="17"/>
      <c r="J48" s="19"/>
      <c r="K48" s="43"/>
      <c r="L48" s="17"/>
      <c r="M48" s="19"/>
      <c r="O48" s="3">
        <f>Neu!$B21</f>
        <v>0</v>
      </c>
      <c r="P48" s="43"/>
      <c r="Q48" s="19"/>
      <c r="R48" s="43"/>
      <c r="S48" s="19"/>
      <c r="T48" s="43"/>
      <c r="U48" s="19"/>
      <c r="V48" s="43"/>
      <c r="W48" s="19"/>
      <c r="Z48" s="3">
        <f>Neu!$B21</f>
        <v>0</v>
      </c>
      <c r="AA48" s="43"/>
      <c r="AB48" s="17"/>
      <c r="AC48" s="17"/>
      <c r="AD48" s="34"/>
      <c r="AE48" s="17"/>
      <c r="AF48" s="17"/>
      <c r="AG48" s="19"/>
      <c r="AH48" s="43"/>
      <c r="AI48" s="17"/>
      <c r="AJ48" s="17"/>
      <c r="AK48" s="17"/>
      <c r="AL48" s="17"/>
      <c r="AM48" s="17"/>
      <c r="AN48" s="19"/>
      <c r="AO48" s="43"/>
      <c r="AP48" s="17"/>
      <c r="AQ48" s="17"/>
      <c r="AR48" s="17"/>
      <c r="AS48" s="17"/>
      <c r="AT48" s="17"/>
      <c r="AU48" s="19"/>
      <c r="AV48" s="43"/>
      <c r="AW48" s="17"/>
      <c r="AX48" s="17"/>
      <c r="AY48" s="17"/>
      <c r="AZ48" s="17"/>
      <c r="BA48" s="17"/>
      <c r="BB48" s="19"/>
      <c r="BD48" s="3">
        <f>Neu!$B21</f>
        <v>0</v>
      </c>
      <c r="BE48" s="20"/>
    </row>
    <row r="49" spans="3:57" x14ac:dyDescent="0.35">
      <c r="D49" s="3">
        <f>Neu!$B22</f>
        <v>0</v>
      </c>
      <c r="E49" s="20"/>
      <c r="F49" s="17"/>
      <c r="G49" s="19"/>
      <c r="H49" s="43"/>
      <c r="I49" s="17"/>
      <c r="J49" s="19"/>
      <c r="K49" s="43"/>
      <c r="L49" s="17"/>
      <c r="M49" s="19"/>
      <c r="O49" s="3">
        <f>Neu!$B22</f>
        <v>0</v>
      </c>
      <c r="P49" s="43"/>
      <c r="Q49" s="19"/>
      <c r="R49" s="43"/>
      <c r="S49" s="19"/>
      <c r="T49" s="43"/>
      <c r="U49" s="19"/>
      <c r="V49" s="43"/>
      <c r="W49" s="19"/>
      <c r="Z49" s="3">
        <f>Neu!$B22</f>
        <v>0</v>
      </c>
      <c r="AA49" s="43"/>
      <c r="AB49" s="17"/>
      <c r="AC49" s="17"/>
      <c r="AD49" s="34"/>
      <c r="AE49" s="17"/>
      <c r="AF49" s="17"/>
      <c r="AG49" s="19"/>
      <c r="AH49" s="43"/>
      <c r="AI49" s="17"/>
      <c r="AJ49" s="17"/>
      <c r="AK49" s="17"/>
      <c r="AL49" s="17"/>
      <c r="AM49" s="17"/>
      <c r="AN49" s="19"/>
      <c r="AO49" s="43"/>
      <c r="AP49" s="17"/>
      <c r="AQ49" s="17"/>
      <c r="AR49" s="17"/>
      <c r="AS49" s="17"/>
      <c r="AT49" s="17"/>
      <c r="AU49" s="19"/>
      <c r="AV49" s="43"/>
      <c r="AW49" s="17"/>
      <c r="AX49" s="17"/>
      <c r="AY49" s="17"/>
      <c r="AZ49" s="17"/>
      <c r="BA49" s="17"/>
      <c r="BB49" s="19"/>
      <c r="BD49" s="3">
        <f>Neu!$B22</f>
        <v>0</v>
      </c>
      <c r="BE49" s="20"/>
    </row>
    <row r="50" spans="3:57" x14ac:dyDescent="0.35">
      <c r="D50" s="3">
        <f>Neu!$B23</f>
        <v>0</v>
      </c>
      <c r="E50" s="20"/>
      <c r="F50" s="17"/>
      <c r="G50" s="19"/>
      <c r="H50" s="43"/>
      <c r="I50" s="17"/>
      <c r="J50" s="19"/>
      <c r="K50" s="43"/>
      <c r="L50" s="17"/>
      <c r="M50" s="19"/>
      <c r="O50" s="3">
        <f>Neu!$B23</f>
        <v>0</v>
      </c>
      <c r="P50" s="43"/>
      <c r="Q50" s="19"/>
      <c r="R50" s="43"/>
      <c r="S50" s="19"/>
      <c r="T50" s="43"/>
      <c r="U50" s="19"/>
      <c r="V50" s="43"/>
      <c r="W50" s="19"/>
      <c r="Z50" s="3">
        <f>Neu!$B23</f>
        <v>0</v>
      </c>
      <c r="AA50" s="43"/>
      <c r="AB50" s="17"/>
      <c r="AC50" s="17"/>
      <c r="AD50" s="34"/>
      <c r="AE50" s="17"/>
      <c r="AF50" s="17"/>
      <c r="AG50" s="19"/>
      <c r="AH50" s="43"/>
      <c r="AI50" s="17"/>
      <c r="AJ50" s="17"/>
      <c r="AK50" s="17"/>
      <c r="AL50" s="17"/>
      <c r="AM50" s="17"/>
      <c r="AN50" s="19"/>
      <c r="AO50" s="43"/>
      <c r="AP50" s="17"/>
      <c r="AQ50" s="17"/>
      <c r="AR50" s="17"/>
      <c r="AS50" s="17"/>
      <c r="AT50" s="17"/>
      <c r="AU50" s="19"/>
      <c r="AV50" s="43"/>
      <c r="AW50" s="17"/>
      <c r="AX50" s="17"/>
      <c r="AY50" s="17"/>
      <c r="AZ50" s="17"/>
      <c r="BA50" s="17"/>
      <c r="BB50" s="19"/>
      <c r="BD50" s="3">
        <f>Neu!$B23</f>
        <v>0</v>
      </c>
      <c r="BE50" s="20"/>
    </row>
    <row r="51" spans="3:57" ht="15" thickBot="1" x14ac:dyDescent="0.4">
      <c r="D51" s="5">
        <f>Neu!$B24</f>
        <v>0</v>
      </c>
      <c r="E51" s="21"/>
      <c r="F51" s="22"/>
      <c r="G51" s="45"/>
      <c r="H51" s="44"/>
      <c r="I51" s="22"/>
      <c r="J51" s="45"/>
      <c r="K51" s="44"/>
      <c r="L51" s="22"/>
      <c r="M51" s="45"/>
      <c r="O51" s="5">
        <f>Neu!$B24</f>
        <v>0</v>
      </c>
      <c r="P51" s="44"/>
      <c r="Q51" s="45"/>
      <c r="R51" s="44"/>
      <c r="S51" s="45"/>
      <c r="T51" s="44"/>
      <c r="U51" s="45"/>
      <c r="V51" s="44"/>
      <c r="W51" s="45"/>
      <c r="Z51" s="5">
        <f>Neu!$B24</f>
        <v>0</v>
      </c>
      <c r="AA51" s="44"/>
      <c r="AB51" s="22"/>
      <c r="AC51" s="22"/>
      <c r="AD51" s="63"/>
      <c r="AE51" s="22"/>
      <c r="AF51" s="22"/>
      <c r="AG51" s="45"/>
      <c r="AH51" s="44"/>
      <c r="AI51" s="22"/>
      <c r="AJ51" s="22"/>
      <c r="AK51" s="22"/>
      <c r="AL51" s="22"/>
      <c r="AM51" s="22"/>
      <c r="AN51" s="45"/>
      <c r="AO51" s="44"/>
      <c r="AP51" s="22"/>
      <c r="AQ51" s="22"/>
      <c r="AR51" s="22"/>
      <c r="AS51" s="22"/>
      <c r="AT51" s="22"/>
      <c r="AU51" s="45"/>
      <c r="AV51" s="44"/>
      <c r="AW51" s="22"/>
      <c r="AX51" s="22"/>
      <c r="AY51" s="22"/>
      <c r="AZ51" s="22"/>
      <c r="BA51" s="22"/>
      <c r="BB51" s="45"/>
      <c r="BD51" s="5">
        <f>Neu!$B24</f>
        <v>0</v>
      </c>
      <c r="BE51" s="21"/>
    </row>
    <row r="52" spans="3:57" x14ac:dyDescent="0.35">
      <c r="AC52" s="23"/>
      <c r="AD52" s="74"/>
      <c r="AE52" s="23"/>
      <c r="AF52" s="23"/>
      <c r="AG52" s="23"/>
      <c r="AV52" s="43" t="s">
        <v>101</v>
      </c>
      <c r="AW52" s="17" t="s">
        <v>134</v>
      </c>
      <c r="AX52" s="17">
        <v>3</v>
      </c>
      <c r="AY52" s="17">
        <v>2</v>
      </c>
      <c r="AZ52" s="17">
        <v>75</v>
      </c>
      <c r="BA52" s="17"/>
      <c r="BB52" s="19">
        <v>17</v>
      </c>
    </row>
    <row r="54" spans="3:57" x14ac:dyDescent="0.35">
      <c r="F54" s="14" t="s">
        <v>139</v>
      </c>
      <c r="AC54" s="55" t="s">
        <v>119</v>
      </c>
      <c r="AD54" s="14" t="s">
        <v>108</v>
      </c>
      <c r="AG54" s="14" t="s">
        <v>110</v>
      </c>
      <c r="AM54" s="61" t="s">
        <v>122</v>
      </c>
      <c r="AN54" s="14" t="s">
        <v>126</v>
      </c>
    </row>
    <row r="55" spans="3:57" x14ac:dyDescent="0.35">
      <c r="AC55" s="55" t="s">
        <v>120</v>
      </c>
      <c r="AD55" s="14" t="s">
        <v>109</v>
      </c>
      <c r="AG55" s="14" t="s">
        <v>111</v>
      </c>
      <c r="AM55" s="61" t="s">
        <v>123</v>
      </c>
      <c r="AN55" s="14" t="s">
        <v>127</v>
      </c>
    </row>
    <row r="56" spans="3:57" x14ac:dyDescent="0.35">
      <c r="AC56" s="61" t="s">
        <v>121</v>
      </c>
      <c r="AD56" s="14" t="s">
        <v>114</v>
      </c>
      <c r="AG56" s="14" t="s">
        <v>112</v>
      </c>
      <c r="AM56" s="61" t="s">
        <v>121</v>
      </c>
      <c r="AN56" s="14" t="s">
        <v>128</v>
      </c>
    </row>
    <row r="57" spans="3:57" x14ac:dyDescent="0.35">
      <c r="C57" s="14" t="s">
        <v>92</v>
      </c>
      <c r="D57" s="14" t="s">
        <v>146</v>
      </c>
      <c r="AM57" s="61" t="s">
        <v>124</v>
      </c>
      <c r="AN57" s="14" t="s">
        <v>129</v>
      </c>
    </row>
    <row r="58" spans="3:57" x14ac:dyDescent="0.35">
      <c r="C58" s="14" t="s">
        <v>8</v>
      </c>
      <c r="D58" s="14" t="s">
        <v>147</v>
      </c>
      <c r="AM58" s="61" t="s">
        <v>125</v>
      </c>
      <c r="AN58" s="14" t="s">
        <v>130</v>
      </c>
    </row>
    <row r="59" spans="3:57" x14ac:dyDescent="0.35">
      <c r="C59" s="14" t="s">
        <v>9</v>
      </c>
      <c r="D59" s="14" t="s">
        <v>148</v>
      </c>
      <c r="AM59" s="62"/>
    </row>
    <row r="60" spans="3:57" x14ac:dyDescent="0.35">
      <c r="C60" s="14" t="s">
        <v>10</v>
      </c>
      <c r="D60" s="14" t="s">
        <v>149</v>
      </c>
    </row>
    <row r="61" spans="3:57" x14ac:dyDescent="0.35">
      <c r="C61" s="14" t="s">
        <v>89</v>
      </c>
      <c r="D61" s="14" t="s">
        <v>150</v>
      </c>
    </row>
    <row r="62" spans="3:57" x14ac:dyDescent="0.35">
      <c r="C62" s="14" t="s">
        <v>90</v>
      </c>
      <c r="D62" s="14" t="s">
        <v>151</v>
      </c>
    </row>
  </sheetData>
  <mergeCells count="10">
    <mergeCell ref="E1:F1"/>
    <mergeCell ref="E2:F2"/>
    <mergeCell ref="G2:I2"/>
    <mergeCell ref="AH1:BH1"/>
    <mergeCell ref="AH2:AJ2"/>
    <mergeCell ref="AK2:AV2"/>
    <mergeCell ref="AW2:BH2"/>
    <mergeCell ref="J2:U2"/>
    <mergeCell ref="V2:AG2"/>
    <mergeCell ref="G1:AG1"/>
  </mergeCells>
  <conditionalFormatting sqref="A4:A24">
    <cfRule type="cellIs" dxfId="41" priority="108" operator="equal">
      <formula>0</formula>
    </cfRule>
  </conditionalFormatting>
  <conditionalFormatting sqref="D31:D51">
    <cfRule type="cellIs" dxfId="40" priority="158" operator="equal">
      <formula>0</formula>
    </cfRule>
  </conditionalFormatting>
  <conditionalFormatting sqref="E4:BH24">
    <cfRule type="notContainsBlanks" dxfId="39" priority="1">
      <formula>LEN(TRIM(E4))&gt;0</formula>
    </cfRule>
  </conditionalFormatting>
  <conditionalFormatting sqref="G25:AD26">
    <cfRule type="notContainsBlanks" dxfId="38" priority="11">
      <formula>LEN(TRIM(G25))&gt;0</formula>
    </cfRule>
  </conditionalFormatting>
  <conditionalFormatting sqref="O31:O51">
    <cfRule type="cellIs" dxfId="37" priority="28" operator="equal">
      <formula>0</formula>
    </cfRule>
  </conditionalFormatting>
  <conditionalFormatting sqref="Z31:Z51">
    <cfRule type="cellIs" dxfId="36" priority="27" operator="equal">
      <formula>0</formula>
    </cfRule>
  </conditionalFormatting>
  <conditionalFormatting sqref="AH25:BE27">
    <cfRule type="notContainsBlanks" dxfId="35" priority="9">
      <formula>LEN(TRIM(AH25))&gt;0</formula>
    </cfRule>
  </conditionalFormatting>
  <conditionalFormatting sqref="BD31:BD51">
    <cfRule type="cellIs" dxfId="34" priority="15" operator="equal">
      <formula>0</formula>
    </cfRule>
  </conditionalFormatting>
  <conditionalFormatting sqref="BI25:BI27">
    <cfRule type="notContainsBlanks" dxfId="33" priority="84">
      <formula>LEN(TRIM(BI25))&gt;0</formula>
    </cfRule>
  </conditionalFormatting>
  <conditionalFormatting sqref="DC26">
    <cfRule type="notContainsBlanks" dxfId="32" priority="149">
      <formula>LEN(TRIM(DC26))&gt;0</formula>
    </cfRule>
  </conditionalFormatting>
  <conditionalFormatting sqref="DC25:DG25">
    <cfRule type="notContainsBlanks" dxfId="31" priority="150">
      <formula>LEN(TRIM(DC25))&gt;0</formula>
    </cfRule>
  </conditionalFormatting>
  <conditionalFormatting sqref="DC27:DG27">
    <cfRule type="notContainsBlanks" dxfId="30" priority="148">
      <formula>LEN(TRIM(DC27))&gt;0</formula>
    </cfRule>
  </conditionalFormatting>
  <conditionalFormatting sqref="DJ25:DJ27">
    <cfRule type="notContainsBlanks" dxfId="29" priority="77">
      <formula>LEN(TRIM(DJ25))&gt;0</formula>
    </cfRule>
  </conditionalFormatting>
  <conditionalFormatting sqref="DK25:EH29">
    <cfRule type="notContainsBlanks" dxfId="28" priority="74">
      <formula>LEN(TRIM(DK25))&gt;0</formula>
    </cfRule>
  </conditionalFormatting>
  <conditionalFormatting sqref="FE26">
    <cfRule type="notContainsBlanks" dxfId="27" priority="45">
      <formula>LEN(TRIM(FE26))&gt;0</formula>
    </cfRule>
  </conditionalFormatting>
  <conditionalFormatting sqref="FE25:FI25">
    <cfRule type="notContainsBlanks" dxfId="26" priority="46">
      <formula>LEN(TRIM(FE25))&gt;0</formula>
    </cfRule>
  </conditionalFormatting>
  <conditionalFormatting sqref="FE27:FI27">
    <cfRule type="notContainsBlanks" dxfId="25" priority="44">
      <formula>LEN(TRIM(FE27))&gt;0</formula>
    </cfRule>
  </conditionalFormatting>
  <conditionalFormatting sqref="FL25:FL27">
    <cfRule type="notContainsBlanks" dxfId="24" priority="37">
      <formula>LEN(TRIM(FL25))&gt;0</formula>
    </cfRule>
  </conditionalFormatting>
  <conditionalFormatting sqref="GL25:GL27">
    <cfRule type="notContainsBlanks" dxfId="23" priority="68">
      <formula>LEN(TRIM(GL25))&gt;0</formula>
    </cfRule>
  </conditionalFormatting>
  <conditionalFormatting sqref="HM25:HM27">
    <cfRule type="notContainsBlanks" dxfId="22" priority="30">
      <formula>LEN(TRIM(HM25))&gt;0</formula>
    </cfRule>
  </conditionalFormatting>
  <conditionalFormatting sqref="HO29:HO31">
    <cfRule type="notContainsBlanks" dxfId="21" priority="122">
      <formula>LEN(TRIM(HO29))&gt;0</formula>
    </cfRule>
  </conditionalFormatting>
  <conditionalFormatting sqref="HO25:HU25 ID25:IH25">
    <cfRule type="notContainsBlanks" dxfId="20" priority="140">
      <formula>LEN(TRIM(HO25))&gt;0</formula>
    </cfRule>
  </conditionalFormatting>
  <conditionalFormatting sqref="HO27:HU27 ID27:IH27">
    <cfRule type="notContainsBlanks" dxfId="19" priority="132">
      <formula>LEN(TRIM(HO27))&gt;0</formula>
    </cfRule>
  </conditionalFormatting>
  <conditionalFormatting sqref="HV25:IC27">
    <cfRule type="notContainsBlanks" dxfId="18" priority="17">
      <formula>LEN(TRIM(HV25))&gt;0</formula>
    </cfRule>
  </conditionalFormatting>
  <conditionalFormatting sqref="IP25:IV26">
    <cfRule type="notContainsBlanks" dxfId="17" priority="88">
      <formula>LEN(TRIM(IP25))&gt;0</formula>
    </cfRule>
  </conditionalFormatting>
  <conditionalFormatting sqref="IW25:JD27">
    <cfRule type="notContainsBlanks" dxfId="16" priority="94">
      <formula>LEN(TRIM(IW25))&gt;0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65647-55CE-421A-85DC-750344589535}">
  <dimension ref="A1:Z87"/>
  <sheetViews>
    <sheetView topLeftCell="A21" zoomScale="90" zoomScaleNormal="90" workbookViewId="0">
      <selection activeCell="F24" sqref="F24"/>
    </sheetView>
  </sheetViews>
  <sheetFormatPr defaultColWidth="9.1796875" defaultRowHeight="14.5" x14ac:dyDescent="0.35"/>
  <cols>
    <col min="1" max="2" width="8.453125" style="23" customWidth="1"/>
    <col min="3" max="3" width="10.54296875" style="23" customWidth="1"/>
    <col min="4" max="4" width="8.453125" style="23" customWidth="1"/>
    <col min="5" max="5" width="10.7265625" style="23" customWidth="1"/>
    <col min="6" max="6" width="8.81640625" style="23" customWidth="1"/>
    <col min="7" max="7" width="17" style="23" customWidth="1"/>
    <col min="8" max="8" width="9" style="23" customWidth="1"/>
    <col min="9" max="9" width="8.453125" style="23" customWidth="1"/>
    <col min="10" max="10" width="10.1796875" style="23" customWidth="1"/>
    <col min="11" max="11" width="12.1796875" style="23" customWidth="1"/>
    <col min="12" max="12" width="19.1796875" style="23" customWidth="1"/>
    <col min="13" max="13" width="10.26953125" style="23" customWidth="1"/>
    <col min="14" max="14" width="8.453125" style="23" customWidth="1"/>
    <col min="15" max="15" width="10.1796875" style="23" customWidth="1"/>
    <col min="16" max="16" width="9.81640625" style="23" customWidth="1"/>
    <col min="17" max="17" width="15.81640625" style="23" customWidth="1"/>
    <col min="18" max="19" width="8.453125" style="23" customWidth="1"/>
    <col min="20" max="20" width="10.26953125" style="23" customWidth="1"/>
    <col min="21" max="21" width="17" style="23" customWidth="1"/>
    <col min="22" max="24" width="8.453125" style="23" customWidth="1"/>
    <col min="25" max="25" width="11.1796875" style="23" customWidth="1"/>
    <col min="26" max="26" width="7.81640625" style="23" customWidth="1"/>
    <col min="27" max="27" width="15.7265625" style="23" customWidth="1"/>
    <col min="28" max="31" width="7.81640625" style="23" customWidth="1"/>
    <col min="32" max="16384" width="9.1796875" style="23"/>
  </cols>
  <sheetData>
    <row r="1" spans="1:26" x14ac:dyDescent="0.35">
      <c r="F1" s="160" t="s">
        <v>69</v>
      </c>
      <c r="G1" s="160"/>
      <c r="H1" s="160"/>
      <c r="I1" s="160"/>
      <c r="J1" s="160"/>
      <c r="K1" s="160"/>
      <c r="L1" s="55" t="s">
        <v>46</v>
      </c>
      <c r="M1" s="16" t="s">
        <v>132</v>
      </c>
      <c r="N1" s="36" t="s">
        <v>133</v>
      </c>
      <c r="T1" s="36" t="s">
        <v>73</v>
      </c>
    </row>
    <row r="2" spans="1:26" x14ac:dyDescent="0.35">
      <c r="A2" s="38" t="s">
        <v>21</v>
      </c>
      <c r="B2" s="35" t="s">
        <v>22</v>
      </c>
      <c r="C2" s="17" t="s">
        <v>161</v>
      </c>
      <c r="D2" s="35" t="s">
        <v>24</v>
      </c>
      <c r="E2" s="17">
        <v>1</v>
      </c>
      <c r="F2" s="39" t="s">
        <v>61</v>
      </c>
      <c r="G2" s="36" t="s">
        <v>57</v>
      </c>
      <c r="M2" s="16" t="s">
        <v>44</v>
      </c>
      <c r="N2" s="36" t="s">
        <v>49</v>
      </c>
      <c r="Q2" s="16" t="s">
        <v>54</v>
      </c>
      <c r="R2" s="36" t="s">
        <v>83</v>
      </c>
      <c r="T2" s="16" t="s">
        <v>74</v>
      </c>
      <c r="U2" s="23" t="s">
        <v>79</v>
      </c>
    </row>
    <row r="3" spans="1:26" x14ac:dyDescent="0.35">
      <c r="B3" s="35" t="s">
        <v>14</v>
      </c>
      <c r="C3" s="17">
        <v>0.05</v>
      </c>
      <c r="D3" s="35" t="s">
        <v>25</v>
      </c>
      <c r="E3" s="17">
        <v>1</v>
      </c>
      <c r="F3" s="55" t="s">
        <v>45</v>
      </c>
      <c r="G3" s="36" t="s">
        <v>58</v>
      </c>
      <c r="I3" s="38" t="s">
        <v>144</v>
      </c>
      <c r="J3" s="36" t="s">
        <v>145</v>
      </c>
      <c r="M3" s="16" t="s">
        <v>47</v>
      </c>
      <c r="N3" s="36" t="s">
        <v>48</v>
      </c>
      <c r="Q3" s="16" t="s">
        <v>55</v>
      </c>
      <c r="R3" s="36" t="s">
        <v>56</v>
      </c>
      <c r="T3" s="16" t="s">
        <v>75</v>
      </c>
      <c r="U3" s="23" t="s">
        <v>81</v>
      </c>
    </row>
    <row r="4" spans="1:26" x14ac:dyDescent="0.35">
      <c r="B4" s="35" t="s">
        <v>23</v>
      </c>
      <c r="C4" s="17">
        <v>5.0000000000000002E-5</v>
      </c>
      <c r="D4" s="35" t="s">
        <v>26</v>
      </c>
      <c r="E4" s="17">
        <v>1</v>
      </c>
      <c r="F4" s="39" t="s">
        <v>62</v>
      </c>
      <c r="G4" s="36" t="s">
        <v>59</v>
      </c>
      <c r="I4" s="38" t="s">
        <v>70</v>
      </c>
      <c r="J4" s="54" t="s">
        <v>71</v>
      </c>
      <c r="M4" s="16" t="s">
        <v>50</v>
      </c>
      <c r="N4" s="36" t="s">
        <v>52</v>
      </c>
      <c r="Q4" s="16" t="s">
        <v>85</v>
      </c>
      <c r="R4" s="36" t="s">
        <v>84</v>
      </c>
      <c r="T4" s="16" t="s">
        <v>76</v>
      </c>
      <c r="U4" s="23" t="s">
        <v>78</v>
      </c>
    </row>
    <row r="5" spans="1:26" x14ac:dyDescent="0.35">
      <c r="B5" s="40" t="s">
        <v>63</v>
      </c>
      <c r="F5" s="55" t="s">
        <v>45</v>
      </c>
      <c r="G5" s="36" t="s">
        <v>60</v>
      </c>
      <c r="I5" s="23" t="s">
        <v>45</v>
      </c>
      <c r="J5" s="54" t="s">
        <v>72</v>
      </c>
      <c r="M5" s="16" t="s">
        <v>51</v>
      </c>
      <c r="N5" s="36" t="s">
        <v>53</v>
      </c>
      <c r="Q5" s="16" t="s">
        <v>137</v>
      </c>
      <c r="R5" s="36" t="s">
        <v>138</v>
      </c>
      <c r="T5" s="16" t="s">
        <v>77</v>
      </c>
      <c r="U5" s="23" t="s">
        <v>80</v>
      </c>
    </row>
    <row r="6" spans="1:26" ht="15" thickBot="1" x14ac:dyDescent="0.4">
      <c r="A6" s="37" t="s">
        <v>36</v>
      </c>
      <c r="J6" s="54" t="s">
        <v>82</v>
      </c>
      <c r="M6" s="64" t="s">
        <v>135</v>
      </c>
      <c r="N6" s="36" t="s">
        <v>136</v>
      </c>
    </row>
    <row r="7" spans="1:26" ht="15" thickBot="1" x14ac:dyDescent="0.4">
      <c r="B7" s="149" t="s">
        <v>31</v>
      </c>
      <c r="C7" s="159"/>
      <c r="D7" s="159"/>
      <c r="E7" s="159"/>
      <c r="F7" s="164"/>
      <c r="G7" s="165" t="s">
        <v>35</v>
      </c>
      <c r="H7" s="159"/>
      <c r="I7" s="159"/>
      <c r="J7" s="159"/>
      <c r="K7" s="150"/>
      <c r="L7" s="149" t="s">
        <v>41</v>
      </c>
      <c r="M7" s="159"/>
      <c r="N7" s="159"/>
      <c r="O7" s="159"/>
      <c r="P7" s="150"/>
      <c r="Q7" s="149" t="s">
        <v>42</v>
      </c>
      <c r="R7" s="159"/>
      <c r="S7" s="159"/>
      <c r="T7" s="159"/>
      <c r="U7" s="150"/>
      <c r="V7" s="149" t="s">
        <v>43</v>
      </c>
      <c r="W7" s="159"/>
      <c r="X7" s="159"/>
      <c r="Y7" s="159"/>
      <c r="Z7" s="150"/>
    </row>
    <row r="8" spans="1:26" x14ac:dyDescent="0.35">
      <c r="A8" s="46" t="s">
        <v>40</v>
      </c>
      <c r="B8" s="65" t="s">
        <v>27</v>
      </c>
      <c r="C8" s="16" t="s">
        <v>30</v>
      </c>
      <c r="D8" s="16" t="s">
        <v>28</v>
      </c>
      <c r="E8" s="16" t="s">
        <v>29</v>
      </c>
      <c r="F8" s="73" t="s">
        <v>34</v>
      </c>
      <c r="G8" s="51" t="s">
        <v>27</v>
      </c>
      <c r="H8" s="16" t="s">
        <v>30</v>
      </c>
      <c r="I8" s="16" t="s">
        <v>32</v>
      </c>
      <c r="J8" s="16" t="s">
        <v>33</v>
      </c>
      <c r="K8" s="42" t="s">
        <v>34</v>
      </c>
      <c r="L8" s="41" t="s">
        <v>27</v>
      </c>
      <c r="M8" s="16" t="s">
        <v>30</v>
      </c>
      <c r="N8" s="16" t="s">
        <v>32</v>
      </c>
      <c r="O8" s="16" t="s">
        <v>33</v>
      </c>
      <c r="P8" s="42" t="s">
        <v>34</v>
      </c>
      <c r="Q8" s="41" t="s">
        <v>27</v>
      </c>
      <c r="R8" s="16" t="s">
        <v>30</v>
      </c>
      <c r="S8" s="16" t="s">
        <v>32</v>
      </c>
      <c r="T8" s="16" t="s">
        <v>33</v>
      </c>
      <c r="U8" s="42" t="s">
        <v>34</v>
      </c>
      <c r="V8" s="41" t="s">
        <v>27</v>
      </c>
      <c r="W8" s="16" t="s">
        <v>30</v>
      </c>
      <c r="X8" s="16" t="s">
        <v>32</v>
      </c>
      <c r="Y8" s="16" t="s">
        <v>33</v>
      </c>
      <c r="Z8" s="42" t="s">
        <v>34</v>
      </c>
    </row>
    <row r="9" spans="1:26" x14ac:dyDescent="0.35">
      <c r="A9" s="47"/>
      <c r="B9" s="66"/>
      <c r="C9" s="17"/>
      <c r="D9" s="17"/>
      <c r="E9" s="17"/>
      <c r="F9" s="49"/>
      <c r="G9" s="43"/>
      <c r="H9" s="17"/>
      <c r="I9" s="17"/>
      <c r="J9" s="17"/>
      <c r="K9" s="49"/>
      <c r="L9" s="43"/>
      <c r="M9" s="17"/>
      <c r="N9" s="17"/>
      <c r="O9" s="17"/>
      <c r="P9" s="49"/>
      <c r="Q9" s="43"/>
      <c r="R9" s="17"/>
      <c r="S9" s="17"/>
      <c r="T9" s="17"/>
      <c r="U9" s="49"/>
      <c r="V9" s="43"/>
      <c r="W9" s="17"/>
      <c r="X9" s="17"/>
      <c r="Y9" s="17"/>
      <c r="Z9" s="19"/>
    </row>
    <row r="10" spans="1:26" x14ac:dyDescent="0.35">
      <c r="A10" s="47"/>
      <c r="B10" s="66"/>
      <c r="C10" s="17"/>
      <c r="D10" s="17"/>
      <c r="E10" s="17"/>
      <c r="F10" s="49"/>
      <c r="G10" s="43"/>
      <c r="H10" s="17"/>
      <c r="I10" s="17"/>
      <c r="J10" s="17"/>
      <c r="K10" s="49"/>
      <c r="L10" s="43"/>
      <c r="M10" s="17"/>
      <c r="N10" s="17"/>
      <c r="O10" s="17"/>
      <c r="P10" s="49"/>
      <c r="Q10" s="43"/>
      <c r="R10" s="17"/>
      <c r="S10" s="17"/>
      <c r="T10" s="17"/>
      <c r="U10" s="49"/>
      <c r="V10" s="43"/>
      <c r="W10" s="17"/>
      <c r="X10" s="17"/>
      <c r="Y10" s="17"/>
      <c r="Z10" s="19"/>
    </row>
    <row r="11" spans="1:26" x14ac:dyDescent="0.35">
      <c r="A11" s="47"/>
      <c r="B11" s="66"/>
      <c r="C11" s="17"/>
      <c r="D11" s="17"/>
      <c r="E11" s="17"/>
      <c r="F11" s="49"/>
      <c r="G11" s="43"/>
      <c r="H11" s="17"/>
      <c r="I11" s="17"/>
      <c r="J11" s="17"/>
      <c r="K11" s="49"/>
      <c r="L11" s="43"/>
      <c r="M11" s="17"/>
      <c r="N11" s="17"/>
      <c r="O11" s="17"/>
      <c r="P11" s="49"/>
      <c r="Q11" s="43"/>
      <c r="R11" s="17"/>
      <c r="S11" s="17"/>
      <c r="T11" s="17"/>
      <c r="U11" s="49"/>
      <c r="V11" s="43"/>
      <c r="W11" s="17"/>
      <c r="X11" s="17"/>
      <c r="Y11" s="17"/>
      <c r="Z11" s="19"/>
    </row>
    <row r="12" spans="1:26" x14ac:dyDescent="0.35">
      <c r="A12" s="47"/>
      <c r="B12" s="66"/>
      <c r="C12" s="17"/>
      <c r="D12" s="17"/>
      <c r="E12" s="17"/>
      <c r="F12" s="49"/>
      <c r="G12" s="43"/>
      <c r="H12" s="17"/>
      <c r="I12" s="17"/>
      <c r="J12" s="17"/>
      <c r="K12" s="49"/>
      <c r="L12" s="43"/>
      <c r="M12" s="17"/>
      <c r="N12" s="17"/>
      <c r="O12" s="17"/>
      <c r="P12" s="49"/>
      <c r="Q12" s="43"/>
      <c r="R12" s="17"/>
      <c r="S12" s="17"/>
      <c r="T12" s="17"/>
      <c r="U12" s="49"/>
      <c r="V12" s="43"/>
      <c r="W12" s="17"/>
      <c r="X12" s="17"/>
      <c r="Y12" s="17"/>
      <c r="Z12" s="19"/>
    </row>
    <row r="13" spans="1:26" x14ac:dyDescent="0.35">
      <c r="A13" s="47"/>
      <c r="B13" s="66"/>
      <c r="C13" s="17"/>
      <c r="D13" s="17"/>
      <c r="E13" s="17"/>
      <c r="F13" s="49"/>
      <c r="G13" s="43"/>
      <c r="H13" s="17"/>
      <c r="I13" s="17"/>
      <c r="J13" s="17"/>
      <c r="K13" s="49"/>
      <c r="L13" s="43"/>
      <c r="M13" s="17"/>
      <c r="N13" s="17"/>
      <c r="O13" s="17"/>
      <c r="P13" s="49"/>
      <c r="Q13" s="43"/>
      <c r="R13" s="17"/>
      <c r="S13" s="17"/>
      <c r="T13" s="17"/>
      <c r="U13" s="49"/>
      <c r="V13" s="43"/>
      <c r="W13" s="17"/>
      <c r="X13" s="17"/>
      <c r="Y13" s="17"/>
      <c r="Z13" s="19"/>
    </row>
    <row r="14" spans="1:26" x14ac:dyDescent="0.35">
      <c r="A14" s="47"/>
      <c r="B14" s="66"/>
      <c r="C14" s="17"/>
      <c r="D14" s="17"/>
      <c r="E14" s="17"/>
      <c r="F14" s="49"/>
      <c r="G14" s="43"/>
      <c r="H14" s="17"/>
      <c r="I14" s="17"/>
      <c r="J14" s="17"/>
      <c r="K14" s="49"/>
      <c r="L14" s="43"/>
      <c r="M14" s="17"/>
      <c r="N14" s="17"/>
      <c r="O14" s="17"/>
      <c r="P14" s="49"/>
      <c r="Q14" s="43"/>
      <c r="R14" s="17"/>
      <c r="S14" s="17"/>
      <c r="T14" s="17"/>
      <c r="U14" s="49"/>
      <c r="V14" s="43"/>
      <c r="W14" s="17"/>
      <c r="X14" s="17"/>
      <c r="Y14" s="17"/>
      <c r="Z14" s="19"/>
    </row>
    <row r="15" spans="1:26" x14ac:dyDescent="0.35">
      <c r="A15" s="47"/>
      <c r="B15" s="66"/>
      <c r="C15" s="17"/>
      <c r="D15" s="17"/>
      <c r="E15" s="17"/>
      <c r="F15" s="49"/>
      <c r="G15" s="43"/>
      <c r="H15" s="17"/>
      <c r="I15" s="17"/>
      <c r="J15" s="17"/>
      <c r="K15" s="49"/>
      <c r="L15" s="43"/>
      <c r="M15" s="17"/>
      <c r="N15" s="17"/>
      <c r="O15" s="17"/>
      <c r="P15" s="49"/>
      <c r="Q15" s="43"/>
      <c r="R15" s="17"/>
      <c r="S15" s="17"/>
      <c r="T15" s="17"/>
      <c r="U15" s="49"/>
      <c r="V15" s="43"/>
      <c r="W15" s="17"/>
      <c r="X15" s="17"/>
      <c r="Y15" s="17"/>
      <c r="Z15" s="19"/>
    </row>
    <row r="16" spans="1:26" x14ac:dyDescent="0.35">
      <c r="A16" s="47"/>
      <c r="B16" s="66"/>
      <c r="C16" s="17"/>
      <c r="D16" s="17"/>
      <c r="E16" s="17"/>
      <c r="F16" s="49"/>
      <c r="G16" s="43"/>
      <c r="H16" s="17"/>
      <c r="I16" s="17"/>
      <c r="J16" s="17"/>
      <c r="K16" s="49"/>
      <c r="L16" s="43"/>
      <c r="M16" s="17"/>
      <c r="N16" s="17"/>
      <c r="O16" s="17"/>
      <c r="P16" s="49"/>
      <c r="Q16" s="43"/>
      <c r="R16" s="17"/>
      <c r="S16" s="17"/>
      <c r="T16" s="17"/>
      <c r="U16" s="49"/>
      <c r="V16" s="43"/>
      <c r="W16" s="17"/>
      <c r="X16" s="17"/>
      <c r="Y16" s="17"/>
      <c r="Z16" s="19"/>
    </row>
    <row r="17" spans="1:26" x14ac:dyDescent="0.35">
      <c r="A17" s="47"/>
      <c r="B17" s="66"/>
      <c r="C17" s="17"/>
      <c r="D17" s="17"/>
      <c r="E17" s="17"/>
      <c r="F17" s="49"/>
      <c r="G17" s="52"/>
      <c r="H17" s="17"/>
      <c r="I17" s="17"/>
      <c r="J17" s="17"/>
      <c r="K17" s="49"/>
      <c r="L17" s="43"/>
      <c r="M17" s="17"/>
      <c r="N17" s="17"/>
      <c r="O17" s="17"/>
      <c r="P17" s="49"/>
      <c r="Q17" s="43"/>
      <c r="R17" s="17"/>
      <c r="S17" s="17"/>
      <c r="T17" s="17"/>
      <c r="U17" s="49"/>
      <c r="V17" s="43"/>
      <c r="W17" s="17"/>
      <c r="X17" s="17"/>
      <c r="Y17" s="17"/>
      <c r="Z17" s="19"/>
    </row>
    <row r="18" spans="1:26" x14ac:dyDescent="0.35">
      <c r="A18" s="47"/>
      <c r="B18" s="66"/>
      <c r="C18" s="17"/>
      <c r="D18" s="17"/>
      <c r="E18" s="17"/>
      <c r="F18" s="49"/>
      <c r="G18" s="52"/>
      <c r="H18" s="17"/>
      <c r="I18" s="17"/>
      <c r="J18" s="17"/>
      <c r="K18" s="49"/>
      <c r="L18" s="43"/>
      <c r="M18" s="17"/>
      <c r="N18" s="17"/>
      <c r="O18" s="17"/>
      <c r="P18" s="49"/>
      <c r="Q18" s="43"/>
      <c r="R18" s="17"/>
      <c r="S18" s="17"/>
      <c r="T18" s="17"/>
      <c r="U18" s="49"/>
      <c r="V18" s="43"/>
      <c r="W18" s="17"/>
      <c r="X18" s="17"/>
      <c r="Y18" s="17"/>
      <c r="Z18" s="19"/>
    </row>
    <row r="19" spans="1:26" x14ac:dyDescent="0.35">
      <c r="A19" s="47"/>
      <c r="B19" s="66"/>
      <c r="C19" s="17"/>
      <c r="D19" s="17"/>
      <c r="E19" s="17"/>
      <c r="F19" s="49"/>
      <c r="G19" s="52"/>
      <c r="H19" s="17"/>
      <c r="I19" s="17"/>
      <c r="J19" s="17"/>
      <c r="K19" s="49"/>
      <c r="L19" s="43"/>
      <c r="M19" s="17"/>
      <c r="N19" s="17"/>
      <c r="O19" s="17"/>
      <c r="P19" s="49"/>
      <c r="Q19" s="43"/>
      <c r="R19" s="17"/>
      <c r="S19" s="17"/>
      <c r="T19" s="17"/>
      <c r="U19" s="49"/>
      <c r="V19" s="43"/>
      <c r="W19" s="17"/>
      <c r="X19" s="17"/>
      <c r="Y19" s="17"/>
      <c r="Z19" s="19"/>
    </row>
    <row r="20" spans="1:26" x14ac:dyDescent="0.35">
      <c r="A20" s="47"/>
      <c r="B20" s="66"/>
      <c r="C20" s="17"/>
      <c r="D20" s="17"/>
      <c r="E20" s="17"/>
      <c r="F20" s="49"/>
      <c r="G20" s="52"/>
      <c r="H20" s="17"/>
      <c r="I20" s="17"/>
      <c r="J20" s="17"/>
      <c r="K20" s="49"/>
      <c r="L20" s="43"/>
      <c r="M20" s="17"/>
      <c r="N20" s="17"/>
      <c r="O20" s="17"/>
      <c r="P20" s="49"/>
      <c r="Q20" s="43"/>
      <c r="R20" s="17"/>
      <c r="S20" s="17"/>
      <c r="T20" s="17"/>
      <c r="U20" s="49"/>
      <c r="V20" s="43"/>
      <c r="W20" s="17"/>
      <c r="X20" s="17"/>
      <c r="Y20" s="17"/>
      <c r="Z20" s="19"/>
    </row>
    <row r="21" spans="1:26" x14ac:dyDescent="0.35">
      <c r="A21" s="47"/>
      <c r="B21" s="66"/>
      <c r="C21" s="17"/>
      <c r="D21" s="17"/>
      <c r="E21" s="17"/>
      <c r="F21" s="49"/>
      <c r="G21" s="52"/>
      <c r="H21" s="17"/>
      <c r="I21" s="17"/>
      <c r="J21" s="17"/>
      <c r="K21" s="49"/>
      <c r="L21" s="43"/>
      <c r="M21" s="17"/>
      <c r="N21" s="17"/>
      <c r="O21" s="17"/>
      <c r="P21" s="49"/>
      <c r="Q21" s="43"/>
      <c r="R21" s="17"/>
      <c r="S21" s="17"/>
      <c r="T21" s="17"/>
      <c r="U21" s="49"/>
      <c r="V21" s="43"/>
      <c r="W21" s="17"/>
      <c r="X21" s="17"/>
      <c r="Y21" s="17"/>
      <c r="Z21" s="19"/>
    </row>
    <row r="22" spans="1:26" x14ac:dyDescent="0.35">
      <c r="A22" s="47"/>
      <c r="B22" s="66"/>
      <c r="C22" s="17"/>
      <c r="D22" s="17"/>
      <c r="E22" s="17"/>
      <c r="F22" s="49"/>
      <c r="G22" s="52"/>
      <c r="H22" s="17"/>
      <c r="I22" s="17"/>
      <c r="J22" s="17"/>
      <c r="K22" s="49"/>
      <c r="L22" s="43"/>
      <c r="M22" s="17"/>
      <c r="N22" s="17"/>
      <c r="O22" s="17"/>
      <c r="P22" s="49"/>
      <c r="Q22" s="43"/>
      <c r="R22" s="17"/>
      <c r="S22" s="17"/>
      <c r="T22" s="17"/>
      <c r="U22" s="49"/>
      <c r="V22" s="43"/>
      <c r="W22" s="17"/>
      <c r="X22" s="17"/>
      <c r="Y22" s="17"/>
      <c r="Z22" s="19"/>
    </row>
    <row r="23" spans="1:26" ht="15" thickBot="1" x14ac:dyDescent="0.4">
      <c r="A23" s="48"/>
      <c r="B23" s="67"/>
      <c r="C23" s="22"/>
      <c r="D23" s="22"/>
      <c r="E23" s="22"/>
      <c r="F23" s="50"/>
      <c r="G23" s="53"/>
      <c r="H23" s="22"/>
      <c r="I23" s="22"/>
      <c r="J23" s="22"/>
      <c r="K23" s="50"/>
      <c r="L23" s="44"/>
      <c r="M23" s="22"/>
      <c r="N23" s="22"/>
      <c r="O23" s="22"/>
      <c r="P23" s="50"/>
      <c r="Q23" s="44"/>
      <c r="R23" s="22"/>
      <c r="S23" s="22"/>
      <c r="T23" s="22"/>
      <c r="U23" s="50"/>
      <c r="V23" s="44"/>
      <c r="W23" s="22"/>
      <c r="X23" s="22"/>
      <c r="Y23" s="22"/>
      <c r="Z23" s="45"/>
    </row>
    <row r="25" spans="1:26" x14ac:dyDescent="0.35">
      <c r="A25" s="160" t="s">
        <v>64</v>
      </c>
      <c r="B25" s="160"/>
      <c r="C25" s="160"/>
      <c r="D25" s="160"/>
      <c r="E25" s="160"/>
      <c r="F25" s="160"/>
      <c r="G25" s="160"/>
      <c r="H25" s="160"/>
      <c r="I25" s="160"/>
      <c r="J25" s="160"/>
      <c r="L25" s="160" t="s">
        <v>65</v>
      </c>
      <c r="M25" s="160"/>
    </row>
    <row r="26" spans="1:26" ht="15" customHeight="1" x14ac:dyDescent="0.35">
      <c r="B26" s="158" t="s">
        <v>37</v>
      </c>
      <c r="C26" s="153"/>
      <c r="D26" s="153"/>
      <c r="E26" s="154"/>
      <c r="G26" s="161" t="s">
        <v>68</v>
      </c>
      <c r="H26" s="161"/>
      <c r="I26" s="161"/>
      <c r="J26" s="161"/>
      <c r="L26" s="43" t="s">
        <v>91</v>
      </c>
      <c r="M26" s="162" t="s">
        <v>66</v>
      </c>
      <c r="N26" s="163"/>
      <c r="O26" s="163"/>
      <c r="P26" s="163"/>
      <c r="Q26" s="163"/>
    </row>
    <row r="27" spans="1:26" x14ac:dyDescent="0.35">
      <c r="B27" s="16" t="s">
        <v>38</v>
      </c>
      <c r="C27" s="16" t="s">
        <v>28</v>
      </c>
      <c r="D27" s="16" t="s">
        <v>29</v>
      </c>
      <c r="E27" s="16" t="s">
        <v>39</v>
      </c>
      <c r="G27" s="16" t="s">
        <v>38</v>
      </c>
      <c r="H27" s="16" t="s">
        <v>28</v>
      </c>
      <c r="I27" s="16" t="s">
        <v>29</v>
      </c>
      <c r="J27" s="16" t="s">
        <v>67</v>
      </c>
      <c r="L27" s="43"/>
      <c r="M27" s="162"/>
      <c r="N27" s="163"/>
      <c r="O27" s="163"/>
      <c r="P27" s="163"/>
      <c r="Q27" s="163"/>
    </row>
    <row r="28" spans="1:26" x14ac:dyDescent="0.35">
      <c r="B28" s="17" t="s">
        <v>164</v>
      </c>
      <c r="C28" s="17">
        <v>1E-3</v>
      </c>
      <c r="D28" s="17">
        <v>6.0000000000000001E-3</v>
      </c>
      <c r="E28" s="17">
        <v>2.5</v>
      </c>
      <c r="G28" s="17"/>
      <c r="H28" s="17"/>
      <c r="I28" s="17"/>
      <c r="J28" s="17"/>
      <c r="L28" s="43"/>
      <c r="M28" s="14"/>
    </row>
    <row r="29" spans="1:26" x14ac:dyDescent="0.35">
      <c r="B29" s="17"/>
      <c r="C29" s="17"/>
      <c r="D29" s="17"/>
      <c r="E29" s="17"/>
      <c r="G29" s="17"/>
      <c r="H29" s="17"/>
      <c r="I29" s="17"/>
      <c r="J29" s="17"/>
      <c r="L29" s="43"/>
      <c r="M29" s="14"/>
    </row>
    <row r="30" spans="1:26" x14ac:dyDescent="0.35">
      <c r="B30" s="17"/>
      <c r="C30" s="17"/>
      <c r="D30" s="17"/>
      <c r="E30" s="17"/>
      <c r="G30" s="17"/>
      <c r="H30" s="17"/>
      <c r="I30" s="17"/>
      <c r="J30" s="17"/>
      <c r="L30" s="43"/>
      <c r="M30" s="14"/>
    </row>
    <row r="31" spans="1:26" x14ac:dyDescent="0.35">
      <c r="B31" s="17"/>
      <c r="C31" s="17"/>
      <c r="D31" s="17"/>
      <c r="E31" s="17"/>
      <c r="G31" s="17"/>
      <c r="H31" s="17"/>
      <c r="I31" s="17"/>
      <c r="J31" s="17"/>
      <c r="L31" s="43"/>
      <c r="M31" s="14"/>
    </row>
    <row r="32" spans="1:26" x14ac:dyDescent="0.35">
      <c r="B32" s="17"/>
      <c r="C32" s="17"/>
      <c r="D32" s="17"/>
      <c r="E32" s="17"/>
      <c r="G32" s="17"/>
      <c r="H32" s="17"/>
      <c r="I32" s="17"/>
      <c r="J32" s="17"/>
      <c r="L32" s="43"/>
      <c r="M32" s="14"/>
    </row>
    <row r="33" spans="2:13" x14ac:dyDescent="0.35">
      <c r="B33" s="17"/>
      <c r="C33" s="17"/>
      <c r="D33" s="17"/>
      <c r="E33" s="17"/>
      <c r="G33" s="17"/>
      <c r="H33" s="17"/>
      <c r="I33" s="17"/>
      <c r="J33" s="17"/>
      <c r="L33" s="43"/>
      <c r="M33" s="14"/>
    </row>
    <row r="34" spans="2:13" x14ac:dyDescent="0.35">
      <c r="B34" s="17"/>
      <c r="C34" s="17"/>
      <c r="D34" s="17"/>
      <c r="E34" s="17"/>
      <c r="G34" s="17"/>
      <c r="H34" s="17"/>
      <c r="I34" s="17"/>
      <c r="J34" s="17"/>
      <c r="L34" s="43"/>
      <c r="M34" s="14"/>
    </row>
    <row r="35" spans="2:13" x14ac:dyDescent="0.35">
      <c r="B35" s="17"/>
      <c r="C35" s="17"/>
      <c r="D35" s="17"/>
      <c r="E35" s="17"/>
      <c r="G35" s="17"/>
      <c r="H35" s="17"/>
      <c r="I35" s="17"/>
      <c r="J35" s="17"/>
      <c r="L35" s="43"/>
      <c r="M35" s="14"/>
    </row>
    <row r="36" spans="2:13" x14ac:dyDescent="0.35">
      <c r="B36" s="17"/>
      <c r="C36" s="17"/>
      <c r="D36" s="17"/>
      <c r="E36" s="17"/>
      <c r="G36" s="17"/>
      <c r="H36" s="17"/>
      <c r="I36" s="17"/>
      <c r="J36" s="17"/>
      <c r="L36" s="43"/>
      <c r="M36" s="14"/>
    </row>
    <row r="37" spans="2:13" x14ac:dyDescent="0.35">
      <c r="B37" s="17"/>
      <c r="C37" s="17"/>
      <c r="D37" s="17"/>
      <c r="E37" s="17"/>
      <c r="G37" s="17"/>
      <c r="H37" s="17"/>
      <c r="I37" s="17"/>
      <c r="J37" s="17"/>
      <c r="L37" s="24"/>
      <c r="M37" s="14"/>
    </row>
    <row r="38" spans="2:13" x14ac:dyDescent="0.35">
      <c r="B38" s="17"/>
      <c r="C38" s="17"/>
      <c r="D38" s="17"/>
      <c r="E38" s="17"/>
      <c r="G38" s="17"/>
      <c r="H38" s="17"/>
      <c r="I38" s="17"/>
      <c r="J38" s="17"/>
      <c r="L38" s="24"/>
      <c r="M38" s="14"/>
    </row>
    <row r="39" spans="2:13" x14ac:dyDescent="0.35">
      <c r="B39" s="17"/>
      <c r="C39" s="17"/>
      <c r="D39" s="17"/>
      <c r="E39" s="17"/>
      <c r="G39" s="17"/>
      <c r="H39" s="17"/>
      <c r="I39" s="17"/>
      <c r="J39" s="17"/>
      <c r="L39" s="24"/>
      <c r="M39" s="14"/>
    </row>
    <row r="40" spans="2:13" x14ac:dyDescent="0.35">
      <c r="B40" s="17"/>
      <c r="C40" s="17"/>
      <c r="D40" s="17"/>
      <c r="E40" s="17"/>
      <c r="G40" s="17"/>
      <c r="H40" s="17"/>
      <c r="I40" s="17"/>
      <c r="J40" s="17"/>
      <c r="L40" s="24"/>
      <c r="M40" s="14"/>
    </row>
    <row r="41" spans="2:13" x14ac:dyDescent="0.35">
      <c r="B41" s="17"/>
      <c r="C41" s="17"/>
      <c r="D41" s="17"/>
      <c r="E41" s="17"/>
      <c r="G41" s="17"/>
      <c r="H41" s="17"/>
      <c r="I41" s="17"/>
      <c r="J41" s="17"/>
      <c r="L41" s="24"/>
      <c r="M41" s="14"/>
    </row>
    <row r="42" spans="2:13" x14ac:dyDescent="0.35">
      <c r="B42" s="17"/>
      <c r="C42" s="17"/>
      <c r="D42" s="17"/>
      <c r="E42" s="17"/>
      <c r="G42" s="17"/>
      <c r="H42" s="17"/>
      <c r="I42" s="17"/>
      <c r="J42" s="17"/>
      <c r="L42" s="24"/>
      <c r="M42" s="14"/>
    </row>
    <row r="43" spans="2:13" x14ac:dyDescent="0.35">
      <c r="B43" s="17"/>
      <c r="C43" s="17"/>
      <c r="D43" s="17"/>
      <c r="E43" s="17"/>
      <c r="G43" s="17"/>
      <c r="H43" s="17"/>
      <c r="I43" s="17"/>
      <c r="J43" s="17"/>
      <c r="L43" s="24"/>
      <c r="M43" s="14"/>
    </row>
    <row r="44" spans="2:13" x14ac:dyDescent="0.35">
      <c r="B44" s="17"/>
      <c r="C44" s="17"/>
      <c r="D44" s="17"/>
      <c r="E44" s="17"/>
      <c r="G44" s="17"/>
      <c r="H44" s="17"/>
      <c r="I44" s="17"/>
      <c r="J44" s="17"/>
      <c r="L44" s="24"/>
      <c r="M44" s="14"/>
    </row>
    <row r="45" spans="2:13" x14ac:dyDescent="0.35">
      <c r="B45" s="17"/>
      <c r="C45" s="17"/>
      <c r="D45" s="17"/>
      <c r="E45" s="17"/>
      <c r="G45" s="17"/>
      <c r="H45" s="17"/>
      <c r="I45" s="17"/>
      <c r="J45" s="17"/>
    </row>
    <row r="46" spans="2:13" x14ac:dyDescent="0.35">
      <c r="B46" s="17"/>
      <c r="C46" s="17"/>
      <c r="D46" s="17"/>
      <c r="E46" s="17"/>
      <c r="G46" s="17"/>
      <c r="H46" s="17"/>
      <c r="I46" s="17"/>
      <c r="J46" s="17"/>
    </row>
    <row r="47" spans="2:13" x14ac:dyDescent="0.35">
      <c r="B47" s="17"/>
      <c r="C47" s="17"/>
      <c r="D47" s="17"/>
      <c r="E47" s="17"/>
      <c r="G47" s="17"/>
      <c r="H47" s="17"/>
      <c r="I47" s="17"/>
      <c r="J47" s="17"/>
    </row>
    <row r="48" spans="2:13" x14ac:dyDescent="0.35">
      <c r="B48" s="17"/>
      <c r="C48" s="17"/>
      <c r="D48" s="17"/>
      <c r="E48" s="17"/>
      <c r="G48" s="17"/>
      <c r="H48" s="17"/>
      <c r="I48" s="17"/>
      <c r="J48" s="17"/>
    </row>
    <row r="49" spans="2:10" x14ac:dyDescent="0.35">
      <c r="B49" s="17"/>
      <c r="C49" s="17"/>
      <c r="D49" s="17"/>
      <c r="E49" s="17"/>
      <c r="G49" s="17"/>
      <c r="H49" s="17"/>
      <c r="I49" s="17"/>
      <c r="J49" s="17"/>
    </row>
    <row r="50" spans="2:10" x14ac:dyDescent="0.35">
      <c r="B50" s="17"/>
      <c r="C50" s="17"/>
      <c r="D50" s="17"/>
      <c r="E50" s="17"/>
      <c r="G50" s="17"/>
      <c r="H50" s="17"/>
      <c r="I50" s="17"/>
      <c r="J50" s="17"/>
    </row>
    <row r="51" spans="2:10" x14ac:dyDescent="0.35">
      <c r="B51" s="17"/>
      <c r="C51" s="17"/>
      <c r="D51" s="17"/>
      <c r="E51" s="17"/>
      <c r="G51" s="17"/>
      <c r="H51" s="17"/>
      <c r="I51" s="17"/>
      <c r="J51" s="17"/>
    </row>
    <row r="52" spans="2:10" x14ac:dyDescent="0.35">
      <c r="B52" s="17"/>
      <c r="C52" s="17"/>
      <c r="D52" s="17"/>
      <c r="E52" s="17"/>
      <c r="G52" s="17"/>
      <c r="H52" s="17"/>
      <c r="I52" s="17"/>
      <c r="J52" s="17"/>
    </row>
    <row r="53" spans="2:10" x14ac:dyDescent="0.35">
      <c r="B53" s="17"/>
      <c r="C53" s="17"/>
      <c r="D53" s="17"/>
      <c r="E53" s="17"/>
      <c r="G53" s="17"/>
      <c r="H53" s="17"/>
      <c r="I53" s="17"/>
      <c r="J53" s="17"/>
    </row>
    <row r="54" spans="2:10" x14ac:dyDescent="0.35">
      <c r="B54" s="17"/>
      <c r="C54" s="17"/>
      <c r="D54" s="17"/>
      <c r="E54" s="17"/>
      <c r="G54" s="17"/>
      <c r="H54" s="17"/>
      <c r="I54" s="17"/>
      <c r="J54" s="17"/>
    </row>
    <row r="55" spans="2:10" x14ac:dyDescent="0.35">
      <c r="B55" s="17"/>
      <c r="C55" s="17"/>
      <c r="D55" s="17"/>
      <c r="E55" s="17"/>
      <c r="G55" s="17"/>
      <c r="H55" s="17"/>
      <c r="I55" s="17"/>
      <c r="J55" s="17"/>
    </row>
    <row r="56" spans="2:10" x14ac:dyDescent="0.35">
      <c r="B56" s="17"/>
      <c r="C56" s="17"/>
      <c r="D56" s="17"/>
      <c r="E56" s="17"/>
      <c r="G56" s="17"/>
      <c r="H56" s="17"/>
      <c r="I56" s="17"/>
      <c r="J56" s="17"/>
    </row>
    <row r="57" spans="2:10" x14ac:dyDescent="0.35">
      <c r="B57" s="17"/>
      <c r="C57" s="17"/>
      <c r="D57" s="17"/>
      <c r="E57" s="17"/>
      <c r="G57" s="17"/>
      <c r="H57" s="17"/>
      <c r="I57" s="17"/>
      <c r="J57" s="17"/>
    </row>
    <row r="58" spans="2:10" x14ac:dyDescent="0.35">
      <c r="B58" s="17"/>
      <c r="C58" s="17"/>
      <c r="D58" s="17"/>
      <c r="E58" s="17"/>
      <c r="G58" s="17"/>
      <c r="H58" s="17"/>
      <c r="I58" s="17"/>
      <c r="J58" s="17"/>
    </row>
    <row r="59" spans="2:10" x14ac:dyDescent="0.35">
      <c r="B59" s="17"/>
      <c r="C59" s="17"/>
      <c r="D59" s="17"/>
      <c r="E59" s="17"/>
      <c r="G59" s="17"/>
      <c r="H59" s="17"/>
      <c r="I59" s="17"/>
      <c r="J59" s="17"/>
    </row>
    <row r="60" spans="2:10" x14ac:dyDescent="0.35">
      <c r="B60" s="17"/>
      <c r="C60" s="17"/>
      <c r="D60" s="17"/>
      <c r="E60" s="17"/>
      <c r="G60" s="17"/>
      <c r="H60" s="17"/>
      <c r="I60" s="17"/>
      <c r="J60" s="17"/>
    </row>
    <row r="61" spans="2:10" x14ac:dyDescent="0.35">
      <c r="B61" s="17"/>
      <c r="C61" s="17"/>
      <c r="D61" s="17"/>
      <c r="E61" s="17"/>
      <c r="G61" s="17"/>
      <c r="H61" s="17"/>
      <c r="I61" s="17"/>
      <c r="J61" s="17"/>
    </row>
    <row r="62" spans="2:10" x14ac:dyDescent="0.35">
      <c r="B62" s="17"/>
      <c r="C62" s="17"/>
      <c r="D62" s="17"/>
      <c r="E62" s="17"/>
      <c r="G62" s="17"/>
      <c r="H62" s="17"/>
      <c r="I62" s="17"/>
      <c r="J62" s="17"/>
    </row>
    <row r="63" spans="2:10" x14ac:dyDescent="0.35">
      <c r="B63" s="17"/>
      <c r="C63" s="17"/>
      <c r="D63" s="17"/>
      <c r="E63" s="17"/>
      <c r="G63" s="17"/>
      <c r="H63" s="17"/>
      <c r="I63" s="17"/>
      <c r="J63" s="17"/>
    </row>
    <row r="64" spans="2:10" x14ac:dyDescent="0.35">
      <c r="B64" s="17"/>
      <c r="C64" s="17"/>
      <c r="D64" s="17"/>
      <c r="E64" s="17"/>
      <c r="G64" s="17"/>
      <c r="H64" s="17"/>
      <c r="I64" s="17"/>
      <c r="J64" s="17"/>
    </row>
    <row r="65" spans="2:10" x14ac:dyDescent="0.35">
      <c r="B65" s="17"/>
      <c r="C65" s="17"/>
      <c r="D65" s="17"/>
      <c r="E65" s="17"/>
      <c r="G65" s="17"/>
      <c r="H65" s="17"/>
      <c r="I65" s="17"/>
      <c r="J65" s="17"/>
    </row>
    <row r="66" spans="2:10" x14ac:dyDescent="0.35">
      <c r="B66" s="17"/>
      <c r="C66" s="17"/>
      <c r="D66" s="17"/>
      <c r="E66" s="17"/>
      <c r="G66" s="17"/>
      <c r="H66" s="17"/>
      <c r="I66" s="17"/>
      <c r="J66" s="17"/>
    </row>
    <row r="67" spans="2:10" x14ac:dyDescent="0.35">
      <c r="B67" s="17"/>
      <c r="C67" s="17"/>
      <c r="D67" s="17"/>
      <c r="E67" s="17"/>
      <c r="G67" s="17"/>
      <c r="H67" s="17"/>
      <c r="I67" s="17"/>
      <c r="J67" s="17"/>
    </row>
    <row r="68" spans="2:10" x14ac:dyDescent="0.35">
      <c r="B68" s="17"/>
      <c r="C68" s="17"/>
      <c r="D68" s="17"/>
      <c r="E68" s="17"/>
      <c r="G68" s="17"/>
      <c r="H68" s="17"/>
      <c r="I68" s="17"/>
      <c r="J68" s="17"/>
    </row>
    <row r="69" spans="2:10" x14ac:dyDescent="0.35">
      <c r="B69" s="17"/>
      <c r="C69" s="17"/>
      <c r="D69" s="17"/>
      <c r="E69" s="17"/>
      <c r="G69" s="17"/>
      <c r="H69" s="17"/>
      <c r="I69" s="17"/>
      <c r="J69" s="17"/>
    </row>
    <row r="70" spans="2:10" x14ac:dyDescent="0.35">
      <c r="B70" s="17"/>
      <c r="C70" s="17"/>
      <c r="D70" s="17"/>
      <c r="E70" s="17"/>
      <c r="G70" s="17"/>
      <c r="H70" s="17"/>
      <c r="I70" s="17"/>
      <c r="J70" s="17"/>
    </row>
    <row r="71" spans="2:10" x14ac:dyDescent="0.35">
      <c r="B71" s="17"/>
      <c r="C71" s="17"/>
      <c r="D71" s="17"/>
      <c r="E71" s="17"/>
      <c r="G71" s="17"/>
      <c r="H71" s="17"/>
      <c r="I71" s="17"/>
      <c r="J71" s="17"/>
    </row>
    <row r="72" spans="2:10" x14ac:dyDescent="0.35">
      <c r="B72" s="17"/>
      <c r="C72" s="17"/>
      <c r="D72" s="17"/>
      <c r="E72" s="17"/>
      <c r="G72" s="17"/>
      <c r="H72" s="17"/>
      <c r="I72" s="17"/>
      <c r="J72" s="17"/>
    </row>
    <row r="73" spans="2:10" x14ac:dyDescent="0.35">
      <c r="B73" s="17"/>
      <c r="C73" s="17"/>
      <c r="D73" s="17"/>
      <c r="E73" s="17"/>
      <c r="G73" s="17"/>
      <c r="H73" s="17"/>
      <c r="I73" s="17"/>
      <c r="J73" s="17"/>
    </row>
    <row r="74" spans="2:10" x14ac:dyDescent="0.35">
      <c r="B74" s="17"/>
      <c r="C74" s="17"/>
      <c r="D74" s="17"/>
      <c r="E74" s="17"/>
      <c r="G74" s="17"/>
      <c r="H74" s="17"/>
      <c r="I74" s="17"/>
      <c r="J74" s="17"/>
    </row>
    <row r="75" spans="2:10" x14ac:dyDescent="0.35">
      <c r="B75" s="17"/>
      <c r="C75" s="17"/>
      <c r="D75" s="17"/>
      <c r="E75" s="17"/>
      <c r="G75" s="17"/>
      <c r="H75" s="17"/>
      <c r="I75" s="17"/>
      <c r="J75" s="17"/>
    </row>
    <row r="76" spans="2:10" x14ac:dyDescent="0.35">
      <c r="B76" s="17"/>
      <c r="C76" s="17"/>
      <c r="D76" s="17"/>
      <c r="E76" s="17"/>
      <c r="G76" s="17"/>
      <c r="H76" s="17"/>
      <c r="I76" s="17"/>
      <c r="J76" s="17"/>
    </row>
    <row r="77" spans="2:10" x14ac:dyDescent="0.35">
      <c r="B77" s="17"/>
      <c r="C77" s="17"/>
      <c r="D77" s="17"/>
      <c r="E77" s="17"/>
      <c r="G77" s="17"/>
      <c r="H77" s="17"/>
      <c r="I77" s="17"/>
      <c r="J77" s="17"/>
    </row>
    <row r="78" spans="2:10" x14ac:dyDescent="0.35">
      <c r="B78" s="17"/>
      <c r="C78" s="17"/>
      <c r="D78" s="17"/>
      <c r="E78" s="17"/>
      <c r="G78" s="17"/>
      <c r="H78" s="17"/>
      <c r="I78" s="17"/>
      <c r="J78" s="17"/>
    </row>
    <row r="79" spans="2:10" x14ac:dyDescent="0.35">
      <c r="B79" s="17"/>
      <c r="C79" s="17"/>
      <c r="D79" s="17"/>
      <c r="E79" s="17"/>
      <c r="G79" s="17"/>
      <c r="H79" s="17"/>
      <c r="I79" s="17"/>
      <c r="J79" s="17"/>
    </row>
    <row r="80" spans="2:10" x14ac:dyDescent="0.35">
      <c r="B80" s="17"/>
      <c r="C80" s="17"/>
      <c r="D80" s="17"/>
      <c r="E80" s="17"/>
      <c r="G80" s="17"/>
      <c r="H80" s="17"/>
      <c r="I80" s="17"/>
      <c r="J80" s="17"/>
    </row>
    <row r="81" spans="2:10" x14ac:dyDescent="0.35">
      <c r="B81" s="17"/>
      <c r="C81" s="17"/>
      <c r="D81" s="17"/>
      <c r="E81" s="17"/>
      <c r="G81" s="17"/>
      <c r="H81" s="17"/>
      <c r="I81" s="17"/>
      <c r="J81" s="17"/>
    </row>
    <row r="82" spans="2:10" x14ac:dyDescent="0.35">
      <c r="B82" s="17"/>
      <c r="C82" s="17"/>
      <c r="D82" s="17"/>
      <c r="E82" s="17"/>
      <c r="G82" s="17"/>
      <c r="H82" s="17"/>
      <c r="I82" s="17"/>
      <c r="J82" s="17"/>
    </row>
    <row r="83" spans="2:10" x14ac:dyDescent="0.35">
      <c r="B83" s="17"/>
      <c r="C83" s="17"/>
      <c r="D83" s="17"/>
      <c r="E83" s="17"/>
      <c r="G83" s="17"/>
      <c r="H83" s="17"/>
      <c r="I83" s="17"/>
      <c r="J83" s="17"/>
    </row>
    <row r="84" spans="2:10" x14ac:dyDescent="0.35">
      <c r="B84" s="17"/>
      <c r="C84" s="17"/>
      <c r="D84" s="17"/>
      <c r="E84" s="17"/>
      <c r="G84" s="17"/>
      <c r="H84" s="17"/>
      <c r="I84" s="17"/>
      <c r="J84" s="17"/>
    </row>
    <row r="85" spans="2:10" x14ac:dyDescent="0.35">
      <c r="B85" s="17"/>
      <c r="C85" s="17"/>
      <c r="D85" s="17"/>
      <c r="E85" s="17"/>
      <c r="G85" s="17"/>
      <c r="H85" s="17"/>
      <c r="I85" s="17"/>
      <c r="J85" s="17"/>
    </row>
    <row r="86" spans="2:10" x14ac:dyDescent="0.35">
      <c r="B86" s="17"/>
      <c r="C86" s="17"/>
      <c r="D86" s="17"/>
      <c r="E86" s="17"/>
      <c r="G86" s="17"/>
      <c r="H86" s="17"/>
      <c r="I86" s="17"/>
      <c r="J86" s="17"/>
    </row>
    <row r="87" spans="2:10" x14ac:dyDescent="0.35">
      <c r="B87" s="17"/>
      <c r="C87" s="17"/>
      <c r="D87" s="17"/>
      <c r="E87" s="17"/>
      <c r="G87" s="17"/>
      <c r="H87" s="17"/>
      <c r="I87" s="17"/>
      <c r="J87" s="17"/>
    </row>
  </sheetData>
  <mergeCells count="11">
    <mergeCell ref="V7:Z7"/>
    <mergeCell ref="F1:K1"/>
    <mergeCell ref="G26:J26"/>
    <mergeCell ref="B26:E26"/>
    <mergeCell ref="L25:M25"/>
    <mergeCell ref="M26:Q27"/>
    <mergeCell ref="A25:J25"/>
    <mergeCell ref="B7:F7"/>
    <mergeCell ref="G7:K7"/>
    <mergeCell ref="L7:P7"/>
    <mergeCell ref="Q7:U7"/>
  </mergeCells>
  <conditionalFormatting sqref="C3">
    <cfRule type="cellIs" dxfId="15" priority="25" operator="notEqual">
      <formula>MAX($E$9:$E$23)</formula>
    </cfRule>
  </conditionalFormatting>
  <conditionalFormatting sqref="M16">
    <cfRule type="containsBlanks" dxfId="14" priority="9">
      <formula>LEN(TRIM(M16))=0</formula>
    </cfRule>
    <cfRule type="cellIs" dxfId="13" priority="10" operator="equal">
      <formula>0</formula>
    </cfRule>
    <cfRule type="containsBlanks" dxfId="12" priority="11">
      <formula>LEN(TRIM(M16))=0</formula>
    </cfRule>
    <cfRule type="cellIs" dxfId="11" priority="12" operator="equal">
      <formula>0</formula>
    </cfRule>
  </conditionalFormatting>
  <dataValidations count="1">
    <dataValidation type="list" allowBlank="1" showInputMessage="1" showErrorMessage="1" sqref="Z9:Z23 U9:U23 P9:P23 F9:F23 K9:K23" xr:uid="{C983D6A1-B7AC-4F71-ACF9-14A6E07220EF}">
      <formula1>"green,red,yellow,blue,orange,cyan,black,white,magenta,pink"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4329F-F28D-44E9-9243-26BA50085626}">
  <dimension ref="A1:AD76"/>
  <sheetViews>
    <sheetView zoomScale="90" zoomScaleNormal="90" workbookViewId="0">
      <selection activeCell="Q23" sqref="Q23"/>
    </sheetView>
  </sheetViews>
  <sheetFormatPr defaultColWidth="9.1796875" defaultRowHeight="14.5" x14ac:dyDescent="0.35"/>
  <cols>
    <col min="1" max="1" width="4.1796875" style="1" customWidth="1"/>
    <col min="2" max="2" width="9.1796875" style="1"/>
    <col min="3" max="23" width="6.7265625" style="1" customWidth="1"/>
    <col min="24" max="16384" width="9.1796875" style="1"/>
  </cols>
  <sheetData>
    <row r="1" spans="1:30" ht="15" thickBot="1" x14ac:dyDescent="0.4">
      <c r="A1" s="170"/>
      <c r="B1" s="170"/>
      <c r="C1" s="170" t="s">
        <v>4</v>
      </c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</row>
    <row r="2" spans="1:30" ht="15" thickBot="1" x14ac:dyDescent="0.4">
      <c r="A2" s="170"/>
      <c r="B2" s="170"/>
      <c r="C2" s="134" t="str">
        <f>Neu!$B4</f>
        <v>HH</v>
      </c>
      <c r="D2" s="105">
        <f>Neu!$B5</f>
        <v>0</v>
      </c>
      <c r="E2" s="105">
        <f>Neu!$B6</f>
        <v>0</v>
      </c>
      <c r="F2" s="105">
        <f>Neu!$B7</f>
        <v>0</v>
      </c>
      <c r="G2" s="105">
        <f>Neu!$B8</f>
        <v>0</v>
      </c>
      <c r="H2" s="105">
        <f>Neu!$B9</f>
        <v>0</v>
      </c>
      <c r="I2" s="105">
        <f>Neu!$B10</f>
        <v>0</v>
      </c>
      <c r="J2" s="105">
        <f>Neu!$B11</f>
        <v>0</v>
      </c>
      <c r="K2" s="105">
        <f>Neu!$B12</f>
        <v>0</v>
      </c>
      <c r="L2" s="105">
        <f>Neu!$B13</f>
        <v>0</v>
      </c>
      <c r="M2" s="105">
        <f>Neu!$B14</f>
        <v>0</v>
      </c>
      <c r="N2" s="105">
        <f>Neu!$B15</f>
        <v>0</v>
      </c>
      <c r="O2" s="105">
        <f>Neu!$B16</f>
        <v>0</v>
      </c>
      <c r="P2" s="105">
        <f>Neu!$B17</f>
        <v>0</v>
      </c>
      <c r="Q2" s="105">
        <f>Neu!$B18</f>
        <v>0</v>
      </c>
      <c r="R2" s="105">
        <f>Neu!$B19</f>
        <v>0</v>
      </c>
      <c r="S2" s="105">
        <f>Neu!$B20</f>
        <v>0</v>
      </c>
      <c r="T2" s="105">
        <f>Neu!$B21</f>
        <v>0</v>
      </c>
      <c r="U2" s="105">
        <f>Neu!$B22</f>
        <v>0</v>
      </c>
      <c r="V2" s="105">
        <f>Neu!$B23</f>
        <v>0</v>
      </c>
      <c r="W2" s="106">
        <f>Neu!$B24</f>
        <v>0</v>
      </c>
    </row>
    <row r="3" spans="1:30" ht="14.25" customHeight="1" x14ac:dyDescent="0.35">
      <c r="A3" s="171" t="s">
        <v>5</v>
      </c>
      <c r="B3" s="169" t="str">
        <f>Neu!B4</f>
        <v>HH</v>
      </c>
      <c r="C3" s="119"/>
      <c r="D3" s="120"/>
      <c r="E3" s="120"/>
      <c r="F3" s="120"/>
      <c r="G3" s="120"/>
      <c r="H3" s="121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1"/>
      <c r="T3" s="120"/>
      <c r="U3" s="120"/>
      <c r="V3" s="120"/>
      <c r="W3" s="122"/>
      <c r="X3" s="143" t="s">
        <v>155</v>
      </c>
      <c r="Y3" s="1" t="s">
        <v>158</v>
      </c>
      <c r="Z3" s="69"/>
      <c r="AA3" s="69"/>
      <c r="AB3" s="69"/>
      <c r="AC3" s="69"/>
      <c r="AD3" s="69"/>
    </row>
    <row r="4" spans="1:30" ht="14.25" customHeight="1" x14ac:dyDescent="0.35">
      <c r="A4" s="171"/>
      <c r="B4" s="167"/>
      <c r="C4" s="123"/>
      <c r="D4" s="117"/>
      <c r="E4" s="117"/>
      <c r="F4" s="117"/>
      <c r="G4" s="117"/>
      <c r="H4" s="108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08"/>
      <c r="T4" s="117"/>
      <c r="U4" s="117"/>
      <c r="V4" s="117"/>
      <c r="W4" s="124"/>
      <c r="X4" s="143" t="s">
        <v>156</v>
      </c>
      <c r="Y4" s="145">
        <f>MAX($C$3:$W$44)-(ROW(Y4)-4)*0.5</f>
        <v>0</v>
      </c>
      <c r="Z4" s="69"/>
      <c r="AA4" s="69"/>
      <c r="AB4" s="69"/>
      <c r="AC4" s="69"/>
      <c r="AD4" s="69"/>
    </row>
    <row r="5" spans="1:30" ht="14.25" customHeight="1" x14ac:dyDescent="0.35">
      <c r="A5" s="171"/>
      <c r="B5" s="166">
        <f>Neu!B5</f>
        <v>0</v>
      </c>
      <c r="C5" s="125"/>
      <c r="D5" s="114"/>
      <c r="E5" s="116"/>
      <c r="F5" s="116"/>
      <c r="G5" s="116"/>
      <c r="H5" s="109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09"/>
      <c r="T5" s="116"/>
      <c r="U5" s="116"/>
      <c r="V5" s="116"/>
      <c r="W5" s="126"/>
      <c r="X5" s="69"/>
      <c r="Y5" s="145">
        <f t="shared" ref="Y5:Y26" si="0">MAX($C$3:$W$44)-(ROW(Y5)-4)*0.5</f>
        <v>-0.5</v>
      </c>
      <c r="Z5" s="69"/>
      <c r="AA5" s="69"/>
      <c r="AB5" s="69"/>
      <c r="AC5" s="69"/>
      <c r="AD5" s="69"/>
    </row>
    <row r="6" spans="1:30" ht="14.25" customHeight="1" x14ac:dyDescent="0.35">
      <c r="A6" s="171"/>
      <c r="B6" s="167"/>
      <c r="C6" s="127"/>
      <c r="D6" s="118"/>
      <c r="E6" s="102"/>
      <c r="F6" s="102"/>
      <c r="G6" s="102"/>
      <c r="H6" s="103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3"/>
      <c r="T6" s="102"/>
      <c r="U6" s="102"/>
      <c r="V6" s="102"/>
      <c r="W6" s="104"/>
      <c r="X6" s="69"/>
      <c r="Y6" s="145">
        <f t="shared" si="0"/>
        <v>-1</v>
      </c>
      <c r="Z6" s="69"/>
      <c r="AA6" s="69"/>
      <c r="AB6" s="69"/>
      <c r="AC6" s="69"/>
      <c r="AD6" s="69"/>
    </row>
    <row r="7" spans="1:30" ht="14.25" customHeight="1" x14ac:dyDescent="0.35">
      <c r="A7" s="171"/>
      <c r="B7" s="166">
        <f>Neu!B6</f>
        <v>0</v>
      </c>
      <c r="C7" s="125"/>
      <c r="D7" s="116"/>
      <c r="E7" s="114"/>
      <c r="F7" s="116"/>
      <c r="G7" s="116"/>
      <c r="H7" s="109"/>
      <c r="I7" s="116"/>
      <c r="J7" s="116"/>
      <c r="K7" s="116"/>
      <c r="L7" s="116"/>
      <c r="M7" s="116"/>
      <c r="N7" s="116"/>
      <c r="O7" s="116"/>
      <c r="P7" s="116"/>
      <c r="Q7" s="116"/>
      <c r="R7" s="116"/>
      <c r="S7" s="109"/>
      <c r="T7" s="116"/>
      <c r="U7" s="116"/>
      <c r="V7" s="116"/>
      <c r="W7" s="126"/>
      <c r="X7" s="69"/>
      <c r="Y7" s="145">
        <f t="shared" si="0"/>
        <v>-1.5</v>
      </c>
      <c r="Z7" s="69"/>
      <c r="AA7" s="69"/>
      <c r="AB7" s="69"/>
      <c r="AC7" s="69"/>
      <c r="AD7" s="69"/>
    </row>
    <row r="8" spans="1:30" ht="14.25" customHeight="1" x14ac:dyDescent="0.35">
      <c r="A8" s="171"/>
      <c r="B8" s="167"/>
      <c r="C8" s="127"/>
      <c r="D8" s="102"/>
      <c r="E8" s="118"/>
      <c r="F8" s="102"/>
      <c r="G8" s="102"/>
      <c r="H8" s="103"/>
      <c r="I8" s="102"/>
      <c r="J8" s="102"/>
      <c r="K8" s="102"/>
      <c r="L8" s="102"/>
      <c r="M8" s="102"/>
      <c r="N8" s="102"/>
      <c r="O8" s="102"/>
      <c r="P8" s="102"/>
      <c r="Q8" s="102"/>
      <c r="R8" s="102"/>
      <c r="S8" s="103"/>
      <c r="T8" s="102"/>
      <c r="U8" s="102"/>
      <c r="V8" s="102"/>
      <c r="W8" s="104"/>
      <c r="X8" s="69"/>
      <c r="Y8" s="145">
        <f t="shared" si="0"/>
        <v>-2</v>
      </c>
      <c r="Z8" s="69"/>
      <c r="AA8" s="69"/>
      <c r="AB8" s="69"/>
      <c r="AC8" s="69"/>
      <c r="AD8" s="69"/>
    </row>
    <row r="9" spans="1:30" ht="14.25" customHeight="1" x14ac:dyDescent="0.35">
      <c r="A9" s="171"/>
      <c r="B9" s="166">
        <f>Neu!B7</f>
        <v>0</v>
      </c>
      <c r="C9" s="125"/>
      <c r="D9" s="116"/>
      <c r="E9" s="116"/>
      <c r="F9" s="114"/>
      <c r="G9" s="116"/>
      <c r="H9" s="109"/>
      <c r="I9" s="116"/>
      <c r="J9" s="116"/>
      <c r="K9" s="116"/>
      <c r="L9" s="116"/>
      <c r="M9" s="116"/>
      <c r="N9" s="116"/>
      <c r="O9" s="116"/>
      <c r="P9" s="116"/>
      <c r="Q9" s="116"/>
      <c r="R9" s="116"/>
      <c r="S9" s="109"/>
      <c r="T9" s="116"/>
      <c r="U9" s="116"/>
      <c r="V9" s="116"/>
      <c r="W9" s="126"/>
      <c r="X9" s="69"/>
      <c r="Y9" s="145">
        <f t="shared" si="0"/>
        <v>-2.5</v>
      </c>
      <c r="Z9" s="69"/>
      <c r="AA9" s="69"/>
      <c r="AB9" s="69"/>
      <c r="AC9" s="69"/>
      <c r="AD9" s="69"/>
    </row>
    <row r="10" spans="1:30" ht="14.25" customHeight="1" x14ac:dyDescent="0.35">
      <c r="A10" s="171"/>
      <c r="B10" s="167"/>
      <c r="C10" s="127"/>
      <c r="D10" s="102"/>
      <c r="E10" s="102"/>
      <c r="F10" s="118"/>
      <c r="G10" s="102"/>
      <c r="H10" s="103"/>
      <c r="I10" s="102"/>
      <c r="J10" s="102"/>
      <c r="K10" s="102"/>
      <c r="L10" s="102"/>
      <c r="M10" s="102"/>
      <c r="N10" s="102"/>
      <c r="O10" s="102"/>
      <c r="P10" s="102"/>
      <c r="Q10" s="102"/>
      <c r="R10" s="102"/>
      <c r="S10" s="103"/>
      <c r="T10" s="102"/>
      <c r="U10" s="102"/>
      <c r="V10" s="102"/>
      <c r="W10" s="104"/>
      <c r="X10" s="69"/>
      <c r="Y10" s="145">
        <f t="shared" si="0"/>
        <v>-3</v>
      </c>
      <c r="Z10" s="69"/>
      <c r="AA10" s="69"/>
      <c r="AB10" s="69"/>
      <c r="AC10" s="69"/>
      <c r="AD10" s="69"/>
    </row>
    <row r="11" spans="1:30" ht="14.25" customHeight="1" x14ac:dyDescent="0.35">
      <c r="A11" s="171"/>
      <c r="B11" s="166">
        <f>Neu!B8</f>
        <v>0</v>
      </c>
      <c r="C11" s="125"/>
      <c r="D11" s="116"/>
      <c r="E11" s="116"/>
      <c r="F11" s="116"/>
      <c r="G11" s="114"/>
      <c r="H11" s="109"/>
      <c r="I11" s="116"/>
      <c r="J11" s="116"/>
      <c r="K11" s="116"/>
      <c r="L11" s="116"/>
      <c r="M11" s="116"/>
      <c r="N11" s="116"/>
      <c r="O11" s="116"/>
      <c r="P11" s="116"/>
      <c r="Q11" s="116"/>
      <c r="R11" s="116"/>
      <c r="S11" s="109"/>
      <c r="T11" s="116"/>
      <c r="U11" s="116"/>
      <c r="V11" s="116"/>
      <c r="W11" s="126"/>
      <c r="X11" s="69"/>
      <c r="Y11" s="145">
        <f t="shared" si="0"/>
        <v>-3.5</v>
      </c>
      <c r="Z11" s="69"/>
      <c r="AA11" s="69"/>
      <c r="AB11" s="69"/>
      <c r="AC11" s="69"/>
      <c r="AD11" s="69"/>
    </row>
    <row r="12" spans="1:30" ht="14.25" customHeight="1" x14ac:dyDescent="0.35">
      <c r="A12" s="171"/>
      <c r="B12" s="167"/>
      <c r="C12" s="127"/>
      <c r="D12" s="102"/>
      <c r="E12" s="102"/>
      <c r="F12" s="102"/>
      <c r="G12" s="118"/>
      <c r="H12" s="103"/>
      <c r="I12" s="102"/>
      <c r="J12" s="102"/>
      <c r="K12" s="102"/>
      <c r="L12" s="102"/>
      <c r="M12" s="102"/>
      <c r="N12" s="102"/>
      <c r="O12" s="102"/>
      <c r="P12" s="102"/>
      <c r="Q12" s="102"/>
      <c r="R12" s="102"/>
      <c r="S12" s="103"/>
      <c r="T12" s="102"/>
      <c r="U12" s="102"/>
      <c r="V12" s="102"/>
      <c r="W12" s="104"/>
      <c r="X12" s="69"/>
      <c r="Y12" s="145">
        <f t="shared" si="0"/>
        <v>-4</v>
      </c>
      <c r="Z12" s="69"/>
      <c r="AA12" s="69"/>
      <c r="AB12" s="69"/>
      <c r="AC12" s="69"/>
      <c r="AD12" s="69"/>
    </row>
    <row r="13" spans="1:30" ht="14.25" customHeight="1" x14ac:dyDescent="0.35">
      <c r="A13" s="171"/>
      <c r="B13" s="166">
        <f>Neu!B9</f>
        <v>0</v>
      </c>
      <c r="C13" s="125"/>
      <c r="D13" s="116"/>
      <c r="E13" s="116"/>
      <c r="F13" s="116"/>
      <c r="G13" s="116"/>
      <c r="H13" s="107"/>
      <c r="I13" s="116"/>
      <c r="J13" s="116"/>
      <c r="K13" s="116"/>
      <c r="L13" s="116"/>
      <c r="M13" s="116"/>
      <c r="N13" s="116"/>
      <c r="O13" s="116"/>
      <c r="P13" s="116"/>
      <c r="Q13" s="116"/>
      <c r="R13" s="116"/>
      <c r="S13" s="109"/>
      <c r="T13" s="116"/>
      <c r="U13" s="116"/>
      <c r="V13" s="116"/>
      <c r="W13" s="126"/>
      <c r="X13" s="69"/>
      <c r="Y13" s="145">
        <f t="shared" si="0"/>
        <v>-4.5</v>
      </c>
      <c r="Z13" s="69"/>
      <c r="AA13" s="69"/>
      <c r="AB13" s="69"/>
      <c r="AC13" s="69"/>
      <c r="AD13" s="69"/>
    </row>
    <row r="14" spans="1:30" ht="14.25" customHeight="1" x14ac:dyDescent="0.35">
      <c r="A14" s="171"/>
      <c r="B14" s="167"/>
      <c r="C14" s="128"/>
      <c r="D14" s="117"/>
      <c r="E14" s="117"/>
      <c r="F14" s="117"/>
      <c r="G14" s="117"/>
      <c r="H14" s="110"/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08"/>
      <c r="T14" s="117"/>
      <c r="U14" s="117"/>
      <c r="V14" s="117"/>
      <c r="W14" s="124"/>
      <c r="X14" s="69"/>
      <c r="Y14" s="145">
        <f t="shared" si="0"/>
        <v>-5</v>
      </c>
      <c r="Z14" s="69"/>
      <c r="AA14" s="69"/>
      <c r="AB14" s="69"/>
      <c r="AC14" s="69"/>
      <c r="AD14" s="69"/>
    </row>
    <row r="15" spans="1:30" ht="14.25" customHeight="1" x14ac:dyDescent="0.35">
      <c r="A15" s="171"/>
      <c r="B15" s="166">
        <f>Neu!B10</f>
        <v>0</v>
      </c>
      <c r="C15" s="125"/>
      <c r="D15" s="116"/>
      <c r="E15" s="116"/>
      <c r="F15" s="116"/>
      <c r="G15" s="116"/>
      <c r="H15" s="109"/>
      <c r="I15" s="114"/>
      <c r="J15" s="116"/>
      <c r="K15" s="116"/>
      <c r="L15" s="116"/>
      <c r="M15" s="116"/>
      <c r="N15" s="116"/>
      <c r="O15" s="116"/>
      <c r="P15" s="116"/>
      <c r="Q15" s="116"/>
      <c r="R15" s="116"/>
      <c r="S15" s="109"/>
      <c r="T15" s="116"/>
      <c r="U15" s="116"/>
      <c r="V15" s="116"/>
      <c r="W15" s="126"/>
      <c r="X15" s="69"/>
      <c r="Y15" s="145">
        <f t="shared" si="0"/>
        <v>-5.5</v>
      </c>
      <c r="Z15" s="69"/>
      <c r="AA15" s="69"/>
      <c r="AB15" s="69"/>
      <c r="AC15" s="69"/>
      <c r="AD15" s="69"/>
    </row>
    <row r="16" spans="1:30" ht="14.25" customHeight="1" x14ac:dyDescent="0.35">
      <c r="A16" s="171"/>
      <c r="B16" s="167"/>
      <c r="C16" s="127"/>
      <c r="D16" s="102"/>
      <c r="E16" s="102"/>
      <c r="F16" s="102"/>
      <c r="G16" s="102"/>
      <c r="H16" s="103"/>
      <c r="I16" s="118"/>
      <c r="J16" s="102"/>
      <c r="K16" s="102"/>
      <c r="L16" s="102"/>
      <c r="M16" s="102"/>
      <c r="N16" s="102"/>
      <c r="O16" s="102"/>
      <c r="P16" s="102"/>
      <c r="Q16" s="102"/>
      <c r="R16" s="102"/>
      <c r="S16" s="103"/>
      <c r="T16" s="102"/>
      <c r="U16" s="102"/>
      <c r="V16" s="102"/>
      <c r="W16" s="104"/>
      <c r="X16" s="69"/>
      <c r="Y16" s="145">
        <f t="shared" si="0"/>
        <v>-6</v>
      </c>
      <c r="Z16" s="69"/>
      <c r="AA16" s="69"/>
      <c r="AB16" s="69"/>
      <c r="AC16" s="69"/>
      <c r="AD16" s="69"/>
    </row>
    <row r="17" spans="1:30" ht="14.25" customHeight="1" x14ac:dyDescent="0.35">
      <c r="A17" s="171"/>
      <c r="B17" s="166">
        <f>Neu!B11</f>
        <v>0</v>
      </c>
      <c r="C17" s="125"/>
      <c r="D17" s="116"/>
      <c r="E17" s="116"/>
      <c r="F17" s="116"/>
      <c r="G17" s="116"/>
      <c r="H17" s="109"/>
      <c r="I17" s="116"/>
      <c r="J17" s="114"/>
      <c r="K17" s="116"/>
      <c r="L17" s="116"/>
      <c r="M17" s="116"/>
      <c r="N17" s="116"/>
      <c r="O17" s="116"/>
      <c r="P17" s="116"/>
      <c r="Q17" s="116"/>
      <c r="R17" s="116"/>
      <c r="S17" s="109"/>
      <c r="T17" s="116"/>
      <c r="U17" s="116"/>
      <c r="V17" s="116"/>
      <c r="W17" s="126"/>
      <c r="X17" s="69"/>
      <c r="Y17" s="145">
        <f t="shared" si="0"/>
        <v>-6.5</v>
      </c>
      <c r="Z17" s="69"/>
      <c r="AA17" s="69"/>
      <c r="AB17" s="69"/>
      <c r="AC17" s="69"/>
      <c r="AD17" s="69"/>
    </row>
    <row r="18" spans="1:30" ht="14.25" customHeight="1" x14ac:dyDescent="0.35">
      <c r="A18" s="171"/>
      <c r="B18" s="167"/>
      <c r="C18" s="127"/>
      <c r="D18" s="102"/>
      <c r="E18" s="102"/>
      <c r="F18" s="102"/>
      <c r="G18" s="102"/>
      <c r="H18" s="103"/>
      <c r="I18" s="102"/>
      <c r="J18" s="118"/>
      <c r="K18" s="102"/>
      <c r="L18" s="102"/>
      <c r="M18" s="102"/>
      <c r="N18" s="102"/>
      <c r="O18" s="102"/>
      <c r="P18" s="102"/>
      <c r="Q18" s="102"/>
      <c r="R18" s="102"/>
      <c r="S18" s="103"/>
      <c r="T18" s="102"/>
      <c r="U18" s="102"/>
      <c r="V18" s="102"/>
      <c r="W18" s="104"/>
      <c r="X18" s="69"/>
      <c r="Y18" s="145">
        <f t="shared" si="0"/>
        <v>-7</v>
      </c>
      <c r="Z18" s="69"/>
      <c r="AA18" s="69"/>
      <c r="AB18" s="69"/>
      <c r="AC18" s="69"/>
      <c r="AD18" s="69"/>
    </row>
    <row r="19" spans="1:30" ht="14.25" customHeight="1" x14ac:dyDescent="0.35">
      <c r="A19" s="171"/>
      <c r="B19" s="166">
        <f>Neu!B12</f>
        <v>0</v>
      </c>
      <c r="C19" s="125"/>
      <c r="D19" s="116"/>
      <c r="E19" s="116"/>
      <c r="F19" s="116"/>
      <c r="G19" s="116"/>
      <c r="H19" s="109"/>
      <c r="I19" s="116"/>
      <c r="J19" s="116"/>
      <c r="K19" s="114"/>
      <c r="L19" s="116"/>
      <c r="M19" s="116"/>
      <c r="N19" s="116"/>
      <c r="O19" s="116"/>
      <c r="P19" s="116"/>
      <c r="Q19" s="116"/>
      <c r="R19" s="116"/>
      <c r="S19" s="109"/>
      <c r="T19" s="116"/>
      <c r="U19" s="116"/>
      <c r="V19" s="116"/>
      <c r="W19" s="126"/>
      <c r="X19" s="69"/>
      <c r="Y19" s="145">
        <f t="shared" si="0"/>
        <v>-7.5</v>
      </c>
      <c r="Z19" s="69"/>
      <c r="AA19" s="69"/>
      <c r="AB19" s="69"/>
      <c r="AC19" s="69"/>
      <c r="AD19" s="69"/>
    </row>
    <row r="20" spans="1:30" ht="14.25" customHeight="1" x14ac:dyDescent="0.35">
      <c r="A20" s="171"/>
      <c r="B20" s="167"/>
      <c r="C20" s="127"/>
      <c r="D20" s="102"/>
      <c r="E20" s="102"/>
      <c r="F20" s="102"/>
      <c r="G20" s="102"/>
      <c r="H20" s="103"/>
      <c r="I20" s="102"/>
      <c r="J20" s="102"/>
      <c r="K20" s="118"/>
      <c r="L20" s="102"/>
      <c r="M20" s="102"/>
      <c r="N20" s="102"/>
      <c r="O20" s="102"/>
      <c r="P20" s="102"/>
      <c r="Q20" s="102"/>
      <c r="R20" s="102"/>
      <c r="S20" s="103"/>
      <c r="T20" s="102"/>
      <c r="U20" s="102"/>
      <c r="V20" s="102"/>
      <c r="W20" s="104"/>
      <c r="X20" s="69"/>
      <c r="Y20" s="145">
        <f t="shared" si="0"/>
        <v>-8</v>
      </c>
      <c r="Z20" s="69"/>
      <c r="AA20" s="69"/>
      <c r="AB20" s="69"/>
      <c r="AC20" s="69"/>
      <c r="AD20" s="69"/>
    </row>
    <row r="21" spans="1:30" ht="14.25" customHeight="1" x14ac:dyDescent="0.35">
      <c r="A21" s="171"/>
      <c r="B21" s="166">
        <f>Neu!B13</f>
        <v>0</v>
      </c>
      <c r="C21" s="125"/>
      <c r="D21" s="116"/>
      <c r="E21" s="116"/>
      <c r="F21" s="116"/>
      <c r="G21" s="116"/>
      <c r="H21" s="109"/>
      <c r="I21" s="116"/>
      <c r="J21" s="116"/>
      <c r="K21" s="116"/>
      <c r="L21" s="114"/>
      <c r="M21" s="116"/>
      <c r="N21" s="116"/>
      <c r="O21" s="116"/>
      <c r="P21" s="116"/>
      <c r="Q21" s="116"/>
      <c r="R21" s="116"/>
      <c r="S21" s="109"/>
      <c r="T21" s="116"/>
      <c r="U21" s="116"/>
      <c r="V21" s="116"/>
      <c r="W21" s="126"/>
      <c r="X21" s="69"/>
      <c r="Y21" s="145">
        <f t="shared" si="0"/>
        <v>-8.5</v>
      </c>
      <c r="Z21" s="69"/>
      <c r="AA21" s="69"/>
      <c r="AB21" s="69"/>
      <c r="AC21" s="69"/>
      <c r="AD21" s="69"/>
    </row>
    <row r="22" spans="1:30" ht="14.25" customHeight="1" x14ac:dyDescent="0.35">
      <c r="A22" s="171"/>
      <c r="B22" s="167"/>
      <c r="C22" s="127"/>
      <c r="D22" s="102"/>
      <c r="E22" s="102"/>
      <c r="F22" s="102"/>
      <c r="G22" s="102"/>
      <c r="H22" s="103"/>
      <c r="I22" s="102"/>
      <c r="J22" s="102"/>
      <c r="K22" s="102"/>
      <c r="L22" s="118"/>
      <c r="M22" s="102"/>
      <c r="N22" s="102"/>
      <c r="O22" s="102"/>
      <c r="P22" s="102"/>
      <c r="Q22" s="102"/>
      <c r="R22" s="102"/>
      <c r="S22" s="103"/>
      <c r="T22" s="102"/>
      <c r="U22" s="102"/>
      <c r="V22" s="102"/>
      <c r="W22" s="104"/>
      <c r="X22" s="69"/>
      <c r="Y22" s="145">
        <f t="shared" si="0"/>
        <v>-9</v>
      </c>
      <c r="Z22" s="69"/>
      <c r="AA22" s="69"/>
      <c r="AB22" s="69"/>
      <c r="AC22" s="69"/>
      <c r="AD22" s="69"/>
    </row>
    <row r="23" spans="1:30" ht="14.25" customHeight="1" x14ac:dyDescent="0.35">
      <c r="A23" s="171"/>
      <c r="B23" s="166">
        <f>Neu!B14</f>
        <v>0</v>
      </c>
      <c r="C23" s="125"/>
      <c r="D23" s="116"/>
      <c r="E23" s="116"/>
      <c r="F23" s="116"/>
      <c r="G23" s="116"/>
      <c r="H23" s="109"/>
      <c r="I23" s="116"/>
      <c r="J23" s="116"/>
      <c r="K23" s="116"/>
      <c r="L23" s="116"/>
      <c r="M23" s="114"/>
      <c r="N23" s="116"/>
      <c r="O23" s="116"/>
      <c r="P23" s="116"/>
      <c r="Q23" s="116"/>
      <c r="R23" s="116"/>
      <c r="S23" s="109"/>
      <c r="T23" s="116"/>
      <c r="U23" s="116"/>
      <c r="V23" s="116"/>
      <c r="W23" s="126"/>
      <c r="X23" s="69"/>
      <c r="Y23" s="145">
        <f t="shared" si="0"/>
        <v>-9.5</v>
      </c>
      <c r="Z23" s="69"/>
      <c r="AA23" s="69"/>
      <c r="AB23" s="69"/>
      <c r="AC23" s="69"/>
      <c r="AD23" s="69"/>
    </row>
    <row r="24" spans="1:30" ht="14.25" customHeight="1" x14ac:dyDescent="0.35">
      <c r="A24" s="171"/>
      <c r="B24" s="167"/>
      <c r="C24" s="128"/>
      <c r="D24" s="117"/>
      <c r="E24" s="117"/>
      <c r="F24" s="117"/>
      <c r="G24" s="117"/>
      <c r="H24" s="108"/>
      <c r="I24" s="117"/>
      <c r="J24" s="117"/>
      <c r="K24" s="117"/>
      <c r="L24" s="117"/>
      <c r="M24" s="115"/>
      <c r="N24" s="117"/>
      <c r="O24" s="117"/>
      <c r="P24" s="117"/>
      <c r="Q24" s="117"/>
      <c r="R24" s="117"/>
      <c r="S24" s="108"/>
      <c r="T24" s="117"/>
      <c r="U24" s="117"/>
      <c r="V24" s="117"/>
      <c r="W24" s="124"/>
      <c r="X24" s="69"/>
      <c r="Y24" s="145">
        <f t="shared" si="0"/>
        <v>-10</v>
      </c>
      <c r="Z24" s="69"/>
      <c r="AA24" s="69"/>
      <c r="AB24" s="69"/>
      <c r="AC24" s="69"/>
      <c r="AD24" s="69"/>
    </row>
    <row r="25" spans="1:30" ht="14.25" customHeight="1" x14ac:dyDescent="0.35">
      <c r="A25" s="171"/>
      <c r="B25" s="166">
        <f>Neu!B15</f>
        <v>0</v>
      </c>
      <c r="C25" s="125"/>
      <c r="D25" s="116"/>
      <c r="E25" s="116"/>
      <c r="F25" s="116"/>
      <c r="G25" s="116"/>
      <c r="H25" s="109"/>
      <c r="I25" s="116"/>
      <c r="J25" s="116"/>
      <c r="K25" s="116"/>
      <c r="L25" s="116"/>
      <c r="M25" s="116"/>
      <c r="N25" s="114"/>
      <c r="O25" s="116"/>
      <c r="P25" s="116"/>
      <c r="Q25" s="116"/>
      <c r="R25" s="116"/>
      <c r="S25" s="109"/>
      <c r="T25" s="116"/>
      <c r="U25" s="116"/>
      <c r="V25" s="116"/>
      <c r="W25" s="126"/>
      <c r="X25" s="69"/>
      <c r="Y25" s="145">
        <f t="shared" si="0"/>
        <v>-10.5</v>
      </c>
      <c r="Z25" s="69"/>
      <c r="AA25" s="69"/>
      <c r="AB25" s="69"/>
      <c r="AC25" s="69"/>
      <c r="AD25" s="69"/>
    </row>
    <row r="26" spans="1:30" ht="14.25" customHeight="1" x14ac:dyDescent="0.35">
      <c r="A26" s="171"/>
      <c r="B26" s="167"/>
      <c r="C26" s="127"/>
      <c r="D26" s="102"/>
      <c r="E26" s="102"/>
      <c r="F26" s="102"/>
      <c r="G26" s="102"/>
      <c r="H26" s="103"/>
      <c r="I26" s="102"/>
      <c r="J26" s="102"/>
      <c r="K26" s="102"/>
      <c r="L26" s="102"/>
      <c r="M26" s="102"/>
      <c r="N26" s="118"/>
      <c r="O26" s="102"/>
      <c r="P26" s="102"/>
      <c r="Q26" s="102"/>
      <c r="R26" s="102"/>
      <c r="S26" s="103"/>
      <c r="T26" s="102"/>
      <c r="U26" s="102"/>
      <c r="V26" s="102"/>
      <c r="W26" s="104"/>
      <c r="X26" s="69"/>
      <c r="Y26" s="145">
        <f t="shared" si="0"/>
        <v>-11</v>
      </c>
      <c r="Z26" s="69"/>
      <c r="AA26" s="69"/>
      <c r="AB26" s="69"/>
      <c r="AC26" s="69"/>
      <c r="AD26" s="69"/>
    </row>
    <row r="27" spans="1:30" ht="14.25" customHeight="1" x14ac:dyDescent="0.35">
      <c r="A27" s="171"/>
      <c r="B27" s="166">
        <f>Neu!B16</f>
        <v>0</v>
      </c>
      <c r="C27" s="125"/>
      <c r="D27" s="116"/>
      <c r="E27" s="116"/>
      <c r="F27" s="116"/>
      <c r="G27" s="116"/>
      <c r="H27" s="109"/>
      <c r="I27" s="116"/>
      <c r="J27" s="116"/>
      <c r="K27" s="116"/>
      <c r="L27" s="116"/>
      <c r="M27" s="116"/>
      <c r="N27" s="116"/>
      <c r="O27" s="114"/>
      <c r="P27" s="116"/>
      <c r="Q27" s="116"/>
      <c r="R27" s="116"/>
      <c r="S27" s="109"/>
      <c r="T27" s="116"/>
      <c r="U27" s="116"/>
      <c r="V27" s="116"/>
      <c r="W27" s="126"/>
      <c r="X27" s="69"/>
      <c r="Y27" s="69"/>
      <c r="Z27" s="69"/>
      <c r="AA27" s="69"/>
      <c r="AB27" s="69"/>
      <c r="AC27" s="69"/>
      <c r="AD27" s="69"/>
    </row>
    <row r="28" spans="1:30" ht="14.25" customHeight="1" x14ac:dyDescent="0.35">
      <c r="A28" s="171"/>
      <c r="B28" s="167"/>
      <c r="C28" s="127"/>
      <c r="D28" s="102"/>
      <c r="E28" s="102"/>
      <c r="F28" s="102"/>
      <c r="G28" s="102"/>
      <c r="H28" s="103"/>
      <c r="I28" s="102"/>
      <c r="J28" s="102"/>
      <c r="K28" s="102"/>
      <c r="L28" s="102"/>
      <c r="M28" s="102"/>
      <c r="N28" s="102"/>
      <c r="O28" s="118"/>
      <c r="P28" s="102"/>
      <c r="Q28" s="102"/>
      <c r="R28" s="102"/>
      <c r="S28" s="103"/>
      <c r="T28" s="102"/>
      <c r="U28" s="102"/>
      <c r="V28" s="102"/>
      <c r="W28" s="104"/>
      <c r="X28" s="69"/>
      <c r="Y28" s="69"/>
      <c r="Z28" s="69"/>
      <c r="AA28" s="69"/>
      <c r="AB28" s="69"/>
      <c r="AC28" s="69"/>
      <c r="AD28" s="69"/>
    </row>
    <row r="29" spans="1:30" ht="14.25" customHeight="1" x14ac:dyDescent="0.35">
      <c r="A29" s="171"/>
      <c r="B29" s="166">
        <f>Neu!B17</f>
        <v>0</v>
      </c>
      <c r="C29" s="125"/>
      <c r="D29" s="116"/>
      <c r="E29" s="116"/>
      <c r="F29" s="116"/>
      <c r="G29" s="116"/>
      <c r="H29" s="109"/>
      <c r="I29" s="116"/>
      <c r="J29" s="116"/>
      <c r="K29" s="116"/>
      <c r="L29" s="116"/>
      <c r="M29" s="116"/>
      <c r="N29" s="116"/>
      <c r="O29" s="116"/>
      <c r="P29" s="114"/>
      <c r="Q29" s="116"/>
      <c r="R29" s="116"/>
      <c r="S29" s="109"/>
      <c r="T29" s="116"/>
      <c r="U29" s="116"/>
      <c r="V29" s="116"/>
      <c r="W29" s="126"/>
      <c r="X29" s="69"/>
      <c r="Y29" s="69"/>
      <c r="Z29" s="69"/>
      <c r="AA29" s="69"/>
      <c r="AB29" s="69"/>
      <c r="AC29" s="69"/>
      <c r="AD29" s="69"/>
    </row>
    <row r="30" spans="1:30" ht="14.25" customHeight="1" x14ac:dyDescent="0.35">
      <c r="A30" s="171"/>
      <c r="B30" s="167"/>
      <c r="C30" s="128"/>
      <c r="D30" s="117"/>
      <c r="E30" s="117"/>
      <c r="F30" s="117"/>
      <c r="G30" s="117"/>
      <c r="H30" s="108"/>
      <c r="I30" s="117"/>
      <c r="J30" s="117"/>
      <c r="K30" s="117"/>
      <c r="L30" s="117"/>
      <c r="M30" s="117"/>
      <c r="N30" s="117"/>
      <c r="O30" s="117"/>
      <c r="P30" s="115"/>
      <c r="Q30" s="117"/>
      <c r="R30" s="117"/>
      <c r="S30" s="108"/>
      <c r="T30" s="117"/>
      <c r="U30" s="117"/>
      <c r="V30" s="117"/>
      <c r="W30" s="124"/>
      <c r="X30" s="69"/>
      <c r="Y30" s="69"/>
      <c r="Z30" s="69"/>
      <c r="AA30" s="69"/>
      <c r="AB30" s="69"/>
      <c r="AC30" s="69"/>
      <c r="AD30" s="69"/>
    </row>
    <row r="31" spans="1:30" ht="14.25" customHeight="1" x14ac:dyDescent="0.35">
      <c r="A31" s="171"/>
      <c r="B31" s="166">
        <f>Neu!B18</f>
        <v>0</v>
      </c>
      <c r="C31" s="125"/>
      <c r="D31" s="116"/>
      <c r="E31" s="116"/>
      <c r="F31" s="116"/>
      <c r="G31" s="116"/>
      <c r="H31" s="109"/>
      <c r="I31" s="116"/>
      <c r="J31" s="116"/>
      <c r="K31" s="116"/>
      <c r="L31" s="116"/>
      <c r="M31" s="116"/>
      <c r="N31" s="116"/>
      <c r="O31" s="116"/>
      <c r="P31" s="116"/>
      <c r="Q31" s="114"/>
      <c r="R31" s="116"/>
      <c r="S31" s="109"/>
      <c r="T31" s="116"/>
      <c r="U31" s="116"/>
      <c r="V31" s="116"/>
      <c r="W31" s="126"/>
      <c r="X31" s="69"/>
      <c r="Y31" s="69"/>
      <c r="Z31" s="69"/>
      <c r="AA31" s="69"/>
      <c r="AB31" s="69"/>
      <c r="AC31" s="69"/>
      <c r="AD31" s="69"/>
    </row>
    <row r="32" spans="1:30" ht="14.25" customHeight="1" x14ac:dyDescent="0.35">
      <c r="A32" s="171"/>
      <c r="B32" s="167"/>
      <c r="C32" s="127"/>
      <c r="D32" s="102"/>
      <c r="E32" s="102"/>
      <c r="F32" s="102"/>
      <c r="G32" s="102"/>
      <c r="H32" s="103"/>
      <c r="I32" s="102"/>
      <c r="J32" s="102"/>
      <c r="K32" s="102"/>
      <c r="L32" s="102"/>
      <c r="M32" s="102"/>
      <c r="N32" s="102"/>
      <c r="O32" s="102"/>
      <c r="P32" s="102"/>
      <c r="Q32" s="118"/>
      <c r="R32" s="102"/>
      <c r="S32" s="103"/>
      <c r="T32" s="102"/>
      <c r="U32" s="102"/>
      <c r="V32" s="102"/>
      <c r="W32" s="104"/>
      <c r="X32" s="69"/>
      <c r="Y32" s="69"/>
      <c r="Z32" s="69"/>
      <c r="AA32" s="69"/>
      <c r="AB32" s="69"/>
      <c r="AC32" s="69"/>
      <c r="AD32" s="69"/>
    </row>
    <row r="33" spans="1:30" ht="14.25" customHeight="1" x14ac:dyDescent="0.35">
      <c r="A33" s="171"/>
      <c r="B33" s="166">
        <f>Neu!B19</f>
        <v>0</v>
      </c>
      <c r="C33" s="125"/>
      <c r="D33" s="116"/>
      <c r="E33" s="116"/>
      <c r="F33" s="116"/>
      <c r="G33" s="116"/>
      <c r="H33" s="109"/>
      <c r="I33" s="116"/>
      <c r="J33" s="116"/>
      <c r="K33" s="116"/>
      <c r="L33" s="116"/>
      <c r="M33" s="116"/>
      <c r="N33" s="116"/>
      <c r="O33" s="116"/>
      <c r="P33" s="116"/>
      <c r="Q33" s="116"/>
      <c r="R33" s="114"/>
      <c r="S33" s="109"/>
      <c r="T33" s="116"/>
      <c r="U33" s="116"/>
      <c r="V33" s="116"/>
      <c r="W33" s="126"/>
      <c r="X33" s="69"/>
      <c r="Y33" s="69"/>
      <c r="Z33" s="69"/>
      <c r="AA33" s="69"/>
      <c r="AB33" s="69"/>
      <c r="AC33" s="69"/>
      <c r="AD33" s="69"/>
    </row>
    <row r="34" spans="1:30" ht="14.25" customHeight="1" x14ac:dyDescent="0.35">
      <c r="A34" s="171"/>
      <c r="B34" s="167"/>
      <c r="C34" s="127"/>
      <c r="D34" s="102"/>
      <c r="E34" s="102"/>
      <c r="F34" s="102"/>
      <c r="G34" s="102"/>
      <c r="H34" s="103"/>
      <c r="I34" s="102"/>
      <c r="J34" s="102"/>
      <c r="K34" s="102"/>
      <c r="L34" s="102"/>
      <c r="M34" s="102"/>
      <c r="N34" s="102"/>
      <c r="O34" s="102"/>
      <c r="P34" s="102"/>
      <c r="Q34" s="102"/>
      <c r="R34" s="118"/>
      <c r="S34" s="103"/>
      <c r="T34" s="102"/>
      <c r="U34" s="102"/>
      <c r="V34" s="102"/>
      <c r="W34" s="104"/>
      <c r="X34" s="69"/>
      <c r="Y34" s="69"/>
      <c r="Z34" s="69"/>
      <c r="AA34" s="69"/>
      <c r="AB34" s="69"/>
      <c r="AC34" s="69"/>
      <c r="AD34" s="69"/>
    </row>
    <row r="35" spans="1:30" ht="14.25" customHeight="1" x14ac:dyDescent="0.35">
      <c r="A35" s="171"/>
      <c r="B35" s="166">
        <f>Neu!B20</f>
        <v>0</v>
      </c>
      <c r="C35" s="125"/>
      <c r="D35" s="116"/>
      <c r="E35" s="116"/>
      <c r="F35" s="116"/>
      <c r="G35" s="116"/>
      <c r="H35" s="109"/>
      <c r="I35" s="116"/>
      <c r="J35" s="116"/>
      <c r="K35" s="116"/>
      <c r="L35" s="116"/>
      <c r="M35" s="116"/>
      <c r="N35" s="116"/>
      <c r="O35" s="116"/>
      <c r="P35" s="116"/>
      <c r="Q35" s="116"/>
      <c r="R35" s="116"/>
      <c r="S35" s="107"/>
      <c r="T35" s="116"/>
      <c r="U35" s="116"/>
      <c r="V35" s="116"/>
      <c r="W35" s="126"/>
      <c r="X35" s="69"/>
      <c r="Y35" s="69"/>
      <c r="Z35" s="69"/>
      <c r="AA35" s="69"/>
      <c r="AB35" s="69"/>
      <c r="AC35" s="69"/>
      <c r="AD35" s="69"/>
    </row>
    <row r="36" spans="1:30" ht="14.25" customHeight="1" x14ac:dyDescent="0.35">
      <c r="A36" s="171"/>
      <c r="B36" s="167"/>
      <c r="C36" s="127"/>
      <c r="D36" s="102"/>
      <c r="E36" s="102"/>
      <c r="F36" s="102"/>
      <c r="G36" s="102"/>
      <c r="H36" s="103"/>
      <c r="I36" s="102"/>
      <c r="J36" s="102"/>
      <c r="K36" s="102"/>
      <c r="L36" s="102"/>
      <c r="M36" s="102"/>
      <c r="N36" s="102"/>
      <c r="O36" s="102"/>
      <c r="P36" s="102"/>
      <c r="Q36" s="102"/>
      <c r="R36" s="102"/>
      <c r="S36" s="111"/>
      <c r="T36" s="102"/>
      <c r="U36" s="102"/>
      <c r="V36" s="102"/>
      <c r="W36" s="104"/>
      <c r="X36" s="69"/>
      <c r="Y36" s="69"/>
      <c r="Z36" s="69"/>
      <c r="AA36" s="69"/>
      <c r="AB36" s="69"/>
      <c r="AC36" s="69"/>
      <c r="AD36" s="69"/>
    </row>
    <row r="37" spans="1:30" ht="14.25" customHeight="1" x14ac:dyDescent="0.35">
      <c r="A37" s="171"/>
      <c r="B37" s="166">
        <f>Neu!B21</f>
        <v>0</v>
      </c>
      <c r="C37" s="125"/>
      <c r="D37" s="116"/>
      <c r="E37" s="116"/>
      <c r="F37" s="116"/>
      <c r="G37" s="116"/>
      <c r="H37" s="109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09"/>
      <c r="T37" s="114"/>
      <c r="U37" s="116"/>
      <c r="V37" s="116"/>
      <c r="W37" s="126"/>
      <c r="X37" s="69"/>
      <c r="Y37" s="69"/>
      <c r="Z37" s="69"/>
      <c r="AA37" s="69"/>
      <c r="AB37" s="69"/>
      <c r="AC37" s="69"/>
      <c r="AD37" s="69"/>
    </row>
    <row r="38" spans="1:30" ht="14.25" customHeight="1" x14ac:dyDescent="0.35">
      <c r="A38" s="171"/>
      <c r="B38" s="167"/>
      <c r="C38" s="128"/>
      <c r="D38" s="117"/>
      <c r="E38" s="117"/>
      <c r="F38" s="117"/>
      <c r="G38" s="117"/>
      <c r="H38" s="108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08"/>
      <c r="T38" s="115"/>
      <c r="U38" s="117"/>
      <c r="V38" s="117"/>
      <c r="W38" s="124"/>
      <c r="X38" s="69"/>
      <c r="Y38" s="69"/>
      <c r="Z38" s="69"/>
      <c r="AA38" s="69"/>
      <c r="AB38" s="69"/>
      <c r="AC38" s="69"/>
      <c r="AD38" s="69"/>
    </row>
    <row r="39" spans="1:30" ht="14.25" customHeight="1" x14ac:dyDescent="0.35">
      <c r="A39" s="171"/>
      <c r="B39" s="166">
        <f>Neu!B22</f>
        <v>0</v>
      </c>
      <c r="C39" s="125"/>
      <c r="D39" s="116"/>
      <c r="E39" s="116"/>
      <c r="F39" s="116"/>
      <c r="G39" s="116"/>
      <c r="H39" s="109"/>
      <c r="I39" s="116"/>
      <c r="J39" s="116"/>
      <c r="K39" s="116"/>
      <c r="L39" s="116"/>
      <c r="M39" s="116"/>
      <c r="N39" s="116"/>
      <c r="O39" s="116"/>
      <c r="P39" s="116"/>
      <c r="Q39" s="116"/>
      <c r="R39" s="116"/>
      <c r="S39" s="109"/>
      <c r="T39" s="116"/>
      <c r="U39" s="114"/>
      <c r="V39" s="116"/>
      <c r="W39" s="126"/>
      <c r="X39" s="69"/>
      <c r="Y39" s="69"/>
      <c r="Z39" s="69"/>
      <c r="AA39" s="69"/>
      <c r="AB39" s="69"/>
      <c r="AC39" s="69"/>
      <c r="AD39" s="69"/>
    </row>
    <row r="40" spans="1:30" ht="14.25" customHeight="1" x14ac:dyDescent="0.35">
      <c r="A40" s="171"/>
      <c r="B40" s="167"/>
      <c r="C40" s="127"/>
      <c r="D40" s="102"/>
      <c r="E40" s="102"/>
      <c r="F40" s="102"/>
      <c r="G40" s="102"/>
      <c r="H40" s="103"/>
      <c r="I40" s="102"/>
      <c r="J40" s="102"/>
      <c r="K40" s="102"/>
      <c r="L40" s="102"/>
      <c r="M40" s="102"/>
      <c r="N40" s="102"/>
      <c r="O40" s="102"/>
      <c r="P40" s="102"/>
      <c r="Q40" s="102"/>
      <c r="R40" s="102"/>
      <c r="S40" s="103"/>
      <c r="T40" s="102"/>
      <c r="U40" s="118"/>
      <c r="V40" s="102"/>
      <c r="W40" s="104"/>
      <c r="X40" s="69"/>
      <c r="Y40" s="69"/>
      <c r="Z40" s="69"/>
      <c r="AA40" s="69"/>
      <c r="AB40" s="69"/>
      <c r="AC40" s="69"/>
      <c r="AD40" s="69"/>
    </row>
    <row r="41" spans="1:30" ht="14.25" customHeight="1" x14ac:dyDescent="0.35">
      <c r="A41" s="171"/>
      <c r="B41" s="166">
        <f>Neu!B23</f>
        <v>0</v>
      </c>
      <c r="C41" s="125"/>
      <c r="D41" s="116"/>
      <c r="E41" s="116"/>
      <c r="F41" s="116"/>
      <c r="G41" s="116"/>
      <c r="H41" s="109"/>
      <c r="I41" s="116"/>
      <c r="J41" s="116"/>
      <c r="K41" s="116"/>
      <c r="L41" s="116"/>
      <c r="M41" s="116"/>
      <c r="N41" s="116"/>
      <c r="O41" s="116"/>
      <c r="P41" s="116"/>
      <c r="Q41" s="116"/>
      <c r="R41" s="116"/>
      <c r="S41" s="109"/>
      <c r="T41" s="116"/>
      <c r="U41" s="116"/>
      <c r="V41" s="114"/>
      <c r="W41" s="126"/>
      <c r="X41" s="69"/>
      <c r="Y41" s="69"/>
      <c r="Z41" s="69"/>
      <c r="AA41" s="69"/>
      <c r="AB41" s="69"/>
      <c r="AC41" s="69"/>
      <c r="AD41" s="69"/>
    </row>
    <row r="42" spans="1:30" ht="14.25" customHeight="1" x14ac:dyDescent="0.35">
      <c r="A42" s="171"/>
      <c r="B42" s="167"/>
      <c r="C42" s="127"/>
      <c r="D42" s="102"/>
      <c r="E42" s="102"/>
      <c r="F42" s="102"/>
      <c r="G42" s="102"/>
      <c r="H42" s="103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3"/>
      <c r="T42" s="102"/>
      <c r="U42" s="102"/>
      <c r="V42" s="118"/>
      <c r="W42" s="104"/>
      <c r="X42" s="69"/>
      <c r="Y42" s="69"/>
      <c r="Z42" s="69"/>
      <c r="AA42" s="69"/>
      <c r="AB42" s="69"/>
      <c r="AC42" s="69"/>
      <c r="AD42" s="69"/>
    </row>
    <row r="43" spans="1:30" ht="14.25" customHeight="1" x14ac:dyDescent="0.35">
      <c r="A43" s="171"/>
      <c r="B43" s="166">
        <f>Neu!B24</f>
        <v>0</v>
      </c>
      <c r="C43" s="125"/>
      <c r="D43" s="116"/>
      <c r="E43" s="116"/>
      <c r="F43" s="116"/>
      <c r="G43" s="116"/>
      <c r="H43" s="109"/>
      <c r="I43" s="116"/>
      <c r="J43" s="116"/>
      <c r="K43" s="116"/>
      <c r="L43" s="116"/>
      <c r="M43" s="116"/>
      <c r="N43" s="116"/>
      <c r="O43" s="116"/>
      <c r="P43" s="116"/>
      <c r="Q43" s="116"/>
      <c r="R43" s="116"/>
      <c r="S43" s="109"/>
      <c r="T43" s="116"/>
      <c r="U43" s="116"/>
      <c r="V43" s="116"/>
      <c r="W43" s="129"/>
      <c r="X43" s="69"/>
      <c r="Y43" s="69"/>
      <c r="Z43" s="69"/>
      <c r="AA43" s="69"/>
      <c r="AB43" s="69"/>
      <c r="AC43" s="69"/>
      <c r="AD43" s="69"/>
    </row>
    <row r="44" spans="1:30" ht="14.25" customHeight="1" thickBot="1" x14ac:dyDescent="0.4">
      <c r="A44" s="113"/>
      <c r="B44" s="168"/>
      <c r="C44" s="130"/>
      <c r="D44" s="131"/>
      <c r="E44" s="131"/>
      <c r="F44" s="131"/>
      <c r="G44" s="131"/>
      <c r="H44" s="132"/>
      <c r="I44" s="131"/>
      <c r="J44" s="131"/>
      <c r="K44" s="131"/>
      <c r="L44" s="131"/>
      <c r="M44" s="131"/>
      <c r="N44" s="131"/>
      <c r="O44" s="131"/>
      <c r="P44" s="131"/>
      <c r="Q44" s="131"/>
      <c r="R44" s="131"/>
      <c r="S44" s="132"/>
      <c r="T44" s="131"/>
      <c r="U44" s="131"/>
      <c r="V44" s="131"/>
      <c r="W44" s="133"/>
      <c r="X44" s="69"/>
      <c r="Y44" s="69"/>
      <c r="Z44" s="69"/>
      <c r="AA44" s="69"/>
      <c r="AB44" s="69"/>
      <c r="AC44" s="69"/>
      <c r="AD44" s="69"/>
    </row>
    <row r="45" spans="1:30" x14ac:dyDescent="0.35"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  <c r="AA45" s="69"/>
      <c r="AB45" s="69"/>
      <c r="AC45" s="69"/>
      <c r="AD45" s="69"/>
    </row>
    <row r="46" spans="1:30" x14ac:dyDescent="0.35"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  <c r="AA46" s="69"/>
      <c r="AB46" s="69"/>
      <c r="AC46" s="69"/>
      <c r="AD46" s="69"/>
    </row>
    <row r="47" spans="1:30" x14ac:dyDescent="0.35"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  <c r="AA47" s="69"/>
      <c r="AB47" s="69"/>
      <c r="AC47" s="69"/>
      <c r="AD47" s="69"/>
    </row>
    <row r="48" spans="1:30" x14ac:dyDescent="0.35"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  <c r="AA48" s="69"/>
      <c r="AB48" s="69"/>
      <c r="AC48" s="69"/>
      <c r="AD48" s="69"/>
    </row>
    <row r="49" spans="3:30" x14ac:dyDescent="0.35"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  <c r="AA49" s="69"/>
      <c r="AB49" s="69"/>
      <c r="AC49" s="69"/>
      <c r="AD49" s="69"/>
    </row>
    <row r="50" spans="3:30" x14ac:dyDescent="0.35"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  <c r="AA50" s="69"/>
      <c r="AB50" s="69"/>
      <c r="AC50" s="69"/>
      <c r="AD50" s="69"/>
    </row>
    <row r="51" spans="3:30" x14ac:dyDescent="0.35"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  <c r="AA51" s="69"/>
      <c r="AB51" s="69"/>
      <c r="AC51" s="69"/>
      <c r="AD51" s="69"/>
    </row>
    <row r="52" spans="3:30" x14ac:dyDescent="0.35"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  <c r="AA52" s="69"/>
      <c r="AB52" s="69"/>
      <c r="AC52" s="69"/>
      <c r="AD52" s="69"/>
    </row>
    <row r="53" spans="3:30" x14ac:dyDescent="0.35"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</row>
    <row r="54" spans="3:30" x14ac:dyDescent="0.35"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</row>
    <row r="55" spans="3:30" x14ac:dyDescent="0.35"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</row>
    <row r="56" spans="3:30" x14ac:dyDescent="0.35"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</row>
    <row r="57" spans="3:30" x14ac:dyDescent="0.35"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  <c r="AA57" s="69"/>
      <c r="AB57" s="69"/>
      <c r="AC57" s="69"/>
      <c r="AD57" s="69"/>
    </row>
    <row r="58" spans="3:30" x14ac:dyDescent="0.35"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  <c r="AA58" s="69"/>
      <c r="AB58" s="69"/>
      <c r="AC58" s="69"/>
      <c r="AD58" s="69"/>
    </row>
    <row r="59" spans="3:30" x14ac:dyDescent="0.35"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  <c r="AA59" s="69"/>
      <c r="AB59" s="69"/>
      <c r="AC59" s="69"/>
      <c r="AD59" s="69"/>
    </row>
    <row r="60" spans="3:30" x14ac:dyDescent="0.35"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  <c r="AA60" s="69"/>
      <c r="AB60" s="69"/>
      <c r="AC60" s="69"/>
      <c r="AD60" s="69"/>
    </row>
    <row r="61" spans="3:30" x14ac:dyDescent="0.35"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  <c r="AA61" s="69"/>
      <c r="AB61" s="69"/>
      <c r="AC61" s="69"/>
      <c r="AD61" s="69"/>
    </row>
    <row r="62" spans="3:30" x14ac:dyDescent="0.35"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  <c r="AA62" s="69"/>
      <c r="AB62" s="69"/>
      <c r="AC62" s="69"/>
      <c r="AD62" s="69"/>
    </row>
    <row r="63" spans="3:30" x14ac:dyDescent="0.35"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</row>
    <row r="64" spans="3:30" x14ac:dyDescent="0.35"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</row>
    <row r="65" spans="3:30" x14ac:dyDescent="0.35"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</row>
    <row r="66" spans="3:30" x14ac:dyDescent="0.35"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</row>
    <row r="67" spans="3:30" x14ac:dyDescent="0.35"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</row>
    <row r="68" spans="3:30" x14ac:dyDescent="0.35"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</row>
    <row r="69" spans="3:30" x14ac:dyDescent="0.35"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</row>
    <row r="70" spans="3:30" x14ac:dyDescent="0.35"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</row>
    <row r="71" spans="3:30" x14ac:dyDescent="0.35"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  <c r="AA71" s="69"/>
      <c r="AB71" s="69"/>
      <c r="AC71" s="69"/>
      <c r="AD71" s="69"/>
    </row>
    <row r="72" spans="3:30" x14ac:dyDescent="0.35"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  <c r="AA72" s="69"/>
      <c r="AB72" s="69"/>
      <c r="AC72" s="69"/>
      <c r="AD72" s="69"/>
    </row>
    <row r="73" spans="3:30" x14ac:dyDescent="0.35"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  <c r="AA73" s="69"/>
      <c r="AB73" s="69"/>
      <c r="AC73" s="69"/>
      <c r="AD73" s="69"/>
    </row>
    <row r="74" spans="3:30" x14ac:dyDescent="0.35"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  <c r="AA74" s="69"/>
      <c r="AB74" s="69"/>
      <c r="AC74" s="69"/>
      <c r="AD74" s="69"/>
    </row>
    <row r="75" spans="3:30" x14ac:dyDescent="0.35"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  <c r="AA75" s="69"/>
      <c r="AB75" s="69"/>
      <c r="AC75" s="69"/>
      <c r="AD75" s="69"/>
    </row>
    <row r="76" spans="3:30" x14ac:dyDescent="0.35"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  <c r="AA76" s="69"/>
      <c r="AB76" s="69"/>
      <c r="AC76" s="69"/>
      <c r="AD76" s="69"/>
    </row>
  </sheetData>
  <mergeCells count="24">
    <mergeCell ref="B3:B4"/>
    <mergeCell ref="B5:B6"/>
    <mergeCell ref="A1:B2"/>
    <mergeCell ref="A3:A43"/>
    <mergeCell ref="C1:W1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37:B38"/>
    <mergeCell ref="B39:B40"/>
    <mergeCell ref="B41:B42"/>
    <mergeCell ref="B43:B44"/>
    <mergeCell ref="B27:B28"/>
    <mergeCell ref="B29:B30"/>
    <mergeCell ref="B31:B32"/>
    <mergeCell ref="B33:B34"/>
    <mergeCell ref="B35:B36"/>
  </mergeCells>
  <conditionalFormatting sqref="B3 B5 B7 B9 B11 B13 B15 B17 B19 B21 B23 B25 B27 B29 B31 B33 B35 B37 B39 B41 B43">
    <cfRule type="cellIs" dxfId="10" priority="4" operator="equal">
      <formula>0</formula>
    </cfRule>
  </conditionalFormatting>
  <conditionalFormatting sqref="C2:W2">
    <cfRule type="cellIs" dxfId="9" priority="5" operator="equal">
      <formula>0</formula>
    </cfRule>
  </conditionalFormatting>
  <conditionalFormatting sqref="C3:W44">
    <cfRule type="colorScale" priority="7">
      <colorScale>
        <cfvo type="min"/>
        <cfvo type="max"/>
        <color rgb="FFFCFCFF"/>
        <color rgb="FFF8696B"/>
      </colorScale>
    </cfRule>
  </conditionalFormatting>
  <conditionalFormatting sqref="Y1:Y2 Y4:Y36">
    <cfRule type="cellIs" dxfId="8" priority="1" operator="lessThan">
      <formula>0</formula>
    </cfRule>
  </conditionalFormatting>
  <conditionalFormatting sqref="Y1:Y1048576">
    <cfRule type="colorScale" priority="2">
      <colorScale>
        <cfvo type="num" val="MIN($C$3:$W$44)"/>
        <cfvo type="num" val="MAX($C$3:$W$44)"/>
        <color rgb="FFFCFCFF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9FC84-85A9-4A71-9226-899257429447}">
  <dimension ref="A1:AD76"/>
  <sheetViews>
    <sheetView zoomScale="90" zoomScaleNormal="90" workbookViewId="0">
      <selection activeCell="G24" sqref="G24"/>
    </sheetView>
  </sheetViews>
  <sheetFormatPr defaultColWidth="9.1796875" defaultRowHeight="14.5" x14ac:dyDescent="0.35"/>
  <cols>
    <col min="1" max="1" width="4.1796875" style="1" customWidth="1"/>
    <col min="2" max="2" width="9.1796875" style="1"/>
    <col min="3" max="23" width="6.7265625" style="1" customWidth="1"/>
    <col min="24" max="16384" width="9.1796875" style="1"/>
  </cols>
  <sheetData>
    <row r="1" spans="1:30" ht="15" thickBot="1" x14ac:dyDescent="0.4">
      <c r="A1" s="170"/>
      <c r="B1" s="170"/>
      <c r="C1" s="170" t="s">
        <v>4</v>
      </c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</row>
    <row r="2" spans="1:30" ht="15" thickBot="1" x14ac:dyDescent="0.4">
      <c r="A2" s="170"/>
      <c r="B2" s="170"/>
      <c r="C2" s="134" t="str">
        <f>Neu!$B4</f>
        <v>HH</v>
      </c>
      <c r="D2" s="105">
        <f>Neu!$B5</f>
        <v>0</v>
      </c>
      <c r="E2" s="105">
        <f>Neu!$B6</f>
        <v>0</v>
      </c>
      <c r="F2" s="105">
        <f>Neu!$B7</f>
        <v>0</v>
      </c>
      <c r="G2" s="105">
        <f>Neu!$B8</f>
        <v>0</v>
      </c>
      <c r="H2" s="105">
        <f>Neu!$B9</f>
        <v>0</v>
      </c>
      <c r="I2" s="105">
        <f>Neu!$B10</f>
        <v>0</v>
      </c>
      <c r="J2" s="105">
        <f>Neu!$B11</f>
        <v>0</v>
      </c>
      <c r="K2" s="105">
        <f>Neu!$B12</f>
        <v>0</v>
      </c>
      <c r="L2" s="105">
        <f>Neu!$B13</f>
        <v>0</v>
      </c>
      <c r="M2" s="105">
        <f>Neu!$B14</f>
        <v>0</v>
      </c>
      <c r="N2" s="105">
        <f>Neu!$B15</f>
        <v>0</v>
      </c>
      <c r="O2" s="105">
        <f>Neu!$B16</f>
        <v>0</v>
      </c>
      <c r="P2" s="105">
        <f>Neu!$B17</f>
        <v>0</v>
      </c>
      <c r="Q2" s="105">
        <f>Neu!$B18</f>
        <v>0</v>
      </c>
      <c r="R2" s="105">
        <f>Neu!$B19</f>
        <v>0</v>
      </c>
      <c r="S2" s="105">
        <f>Neu!$B20</f>
        <v>0</v>
      </c>
      <c r="T2" s="105">
        <f>Neu!$B21</f>
        <v>0</v>
      </c>
      <c r="U2" s="105">
        <f>Neu!$B22</f>
        <v>0</v>
      </c>
      <c r="V2" s="105">
        <f>Neu!$B23</f>
        <v>0</v>
      </c>
      <c r="W2" s="106">
        <f>Neu!$B24</f>
        <v>0</v>
      </c>
    </row>
    <row r="3" spans="1:30" ht="14.25" customHeight="1" x14ac:dyDescent="0.35">
      <c r="A3" s="171" t="s">
        <v>5</v>
      </c>
      <c r="B3" s="169" t="str">
        <f>Neu!B4</f>
        <v>HH</v>
      </c>
      <c r="C3" s="138"/>
      <c r="D3" s="120"/>
      <c r="E3" s="120"/>
      <c r="F3" s="120"/>
      <c r="G3" s="121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2"/>
      <c r="X3" s="143" t="s">
        <v>155</v>
      </c>
      <c r="Y3" s="1" t="s">
        <v>158</v>
      </c>
      <c r="Z3" s="69"/>
      <c r="AA3" s="69"/>
      <c r="AB3" s="69"/>
      <c r="AC3" s="69"/>
      <c r="AD3" s="69"/>
    </row>
    <row r="4" spans="1:30" ht="14.25" customHeight="1" x14ac:dyDescent="0.35">
      <c r="A4" s="171"/>
      <c r="B4" s="167"/>
      <c r="C4" s="137"/>
      <c r="D4" s="102"/>
      <c r="E4" s="102"/>
      <c r="F4" s="102"/>
      <c r="G4" s="103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4"/>
      <c r="X4" s="143" t="s">
        <v>156</v>
      </c>
      <c r="Y4" s="145">
        <f>MAX($C$3:$W$44)-(ROW(Y4)-4)*10</f>
        <v>0</v>
      </c>
      <c r="Z4" s="69"/>
      <c r="AA4" s="69"/>
      <c r="AB4" s="69"/>
      <c r="AC4" s="69"/>
      <c r="AD4" s="69"/>
    </row>
    <row r="5" spans="1:30" ht="14.25" customHeight="1" x14ac:dyDescent="0.35">
      <c r="A5" s="171"/>
      <c r="B5" s="166">
        <f>Neu!B5</f>
        <v>0</v>
      </c>
      <c r="C5" s="112"/>
      <c r="D5" s="114"/>
      <c r="E5" s="116"/>
      <c r="F5" s="116"/>
      <c r="G5" s="109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26"/>
      <c r="X5" s="69"/>
      <c r="Y5" s="145">
        <f t="shared" ref="Y5:Y32" si="0">MAX($C$3:$W$44)-(ROW(Y5)-4)*10</f>
        <v>-10</v>
      </c>
      <c r="Z5" s="69"/>
      <c r="AA5" s="69"/>
      <c r="AB5" s="69"/>
      <c r="AC5" s="69"/>
      <c r="AD5" s="69"/>
    </row>
    <row r="6" spans="1:30" ht="14.25" customHeight="1" x14ac:dyDescent="0.35">
      <c r="A6" s="171"/>
      <c r="B6" s="167"/>
      <c r="C6" s="135"/>
      <c r="D6" s="118"/>
      <c r="E6" s="102"/>
      <c r="F6" s="102"/>
      <c r="G6" s="103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4"/>
      <c r="X6" s="69"/>
      <c r="Y6" s="145">
        <f t="shared" si="0"/>
        <v>-20</v>
      </c>
      <c r="Z6" s="69"/>
      <c r="AA6" s="69"/>
      <c r="AB6" s="69"/>
      <c r="AC6" s="69"/>
      <c r="AD6" s="69"/>
    </row>
    <row r="7" spans="1:30" ht="14.25" customHeight="1" x14ac:dyDescent="0.35">
      <c r="A7" s="171"/>
      <c r="B7" s="166">
        <f>Neu!B6</f>
        <v>0</v>
      </c>
      <c r="C7" s="112"/>
      <c r="D7" s="116"/>
      <c r="E7" s="114"/>
      <c r="F7" s="116"/>
      <c r="G7" s="109"/>
      <c r="H7" s="116"/>
      <c r="I7" s="116"/>
      <c r="J7" s="116"/>
      <c r="K7" s="116"/>
      <c r="L7" s="116"/>
      <c r="M7" s="116"/>
      <c r="N7" s="116"/>
      <c r="O7" s="116"/>
      <c r="P7" s="116"/>
      <c r="Q7" s="116"/>
      <c r="R7" s="116"/>
      <c r="S7" s="116"/>
      <c r="T7" s="116"/>
      <c r="U7" s="116"/>
      <c r="V7" s="116"/>
      <c r="W7" s="126"/>
      <c r="X7" s="69"/>
      <c r="Y7" s="145">
        <f t="shared" si="0"/>
        <v>-30</v>
      </c>
      <c r="Z7" s="69"/>
      <c r="AA7" s="69"/>
      <c r="AB7" s="69"/>
      <c r="AC7" s="69"/>
      <c r="AD7" s="69"/>
    </row>
    <row r="8" spans="1:30" ht="14.25" customHeight="1" x14ac:dyDescent="0.35">
      <c r="A8" s="171"/>
      <c r="B8" s="167"/>
      <c r="C8" s="135"/>
      <c r="D8" s="102"/>
      <c r="E8" s="118"/>
      <c r="F8" s="102"/>
      <c r="G8" s="103"/>
      <c r="H8" s="102"/>
      <c r="I8" s="102"/>
      <c r="J8" s="102"/>
      <c r="K8" s="102"/>
      <c r="L8" s="102"/>
      <c r="M8" s="102"/>
      <c r="N8" s="102"/>
      <c r="O8" s="102"/>
      <c r="P8" s="102"/>
      <c r="Q8" s="102"/>
      <c r="R8" s="102"/>
      <c r="S8" s="102"/>
      <c r="T8" s="102"/>
      <c r="U8" s="102"/>
      <c r="V8" s="102"/>
      <c r="W8" s="104"/>
      <c r="X8" s="69"/>
      <c r="Y8" s="145">
        <f t="shared" si="0"/>
        <v>-40</v>
      </c>
      <c r="Z8" s="69"/>
      <c r="AA8" s="69"/>
      <c r="AB8" s="69"/>
      <c r="AC8" s="69"/>
      <c r="AD8" s="69"/>
    </row>
    <row r="9" spans="1:30" ht="14.25" customHeight="1" x14ac:dyDescent="0.35">
      <c r="A9" s="171"/>
      <c r="B9" s="166">
        <f>Neu!B7</f>
        <v>0</v>
      </c>
      <c r="C9" s="112"/>
      <c r="D9" s="116"/>
      <c r="E9" s="116"/>
      <c r="F9" s="114"/>
      <c r="G9" s="109"/>
      <c r="H9" s="116"/>
      <c r="I9" s="116"/>
      <c r="J9" s="116"/>
      <c r="K9" s="116"/>
      <c r="L9" s="116"/>
      <c r="M9" s="116"/>
      <c r="N9" s="116"/>
      <c r="O9" s="116"/>
      <c r="P9" s="116"/>
      <c r="Q9" s="116"/>
      <c r="R9" s="116"/>
      <c r="S9" s="116"/>
      <c r="T9" s="116"/>
      <c r="U9" s="116"/>
      <c r="V9" s="116"/>
      <c r="W9" s="126"/>
      <c r="X9" s="69"/>
      <c r="Y9" s="145">
        <f t="shared" si="0"/>
        <v>-50</v>
      </c>
      <c r="Z9" s="69"/>
      <c r="AA9" s="69"/>
      <c r="AB9" s="69"/>
      <c r="AC9" s="69"/>
      <c r="AD9" s="69"/>
    </row>
    <row r="10" spans="1:30" ht="14.25" customHeight="1" x14ac:dyDescent="0.35">
      <c r="A10" s="171"/>
      <c r="B10" s="167"/>
      <c r="C10" s="135"/>
      <c r="D10" s="102"/>
      <c r="E10" s="102"/>
      <c r="F10" s="118"/>
      <c r="G10" s="103"/>
      <c r="H10" s="102"/>
      <c r="I10" s="102"/>
      <c r="J10" s="102"/>
      <c r="K10" s="102"/>
      <c r="L10" s="102"/>
      <c r="M10" s="102"/>
      <c r="N10" s="102"/>
      <c r="O10" s="102"/>
      <c r="P10" s="102"/>
      <c r="Q10" s="102"/>
      <c r="R10" s="102"/>
      <c r="S10" s="102"/>
      <c r="T10" s="102"/>
      <c r="U10" s="102"/>
      <c r="V10" s="102"/>
      <c r="W10" s="104"/>
      <c r="X10" s="69"/>
      <c r="Y10" s="145">
        <f t="shared" si="0"/>
        <v>-60</v>
      </c>
      <c r="Z10" s="69"/>
      <c r="AA10" s="69"/>
      <c r="AB10" s="69"/>
      <c r="AC10" s="69"/>
      <c r="AD10" s="69"/>
    </row>
    <row r="11" spans="1:30" ht="14.25" customHeight="1" x14ac:dyDescent="0.35">
      <c r="A11" s="171"/>
      <c r="B11" s="166">
        <f>Neu!B8</f>
        <v>0</v>
      </c>
      <c r="C11" s="112"/>
      <c r="D11" s="116"/>
      <c r="E11" s="116"/>
      <c r="F11" s="116"/>
      <c r="G11" s="107"/>
      <c r="H11" s="116"/>
      <c r="I11" s="116"/>
      <c r="J11" s="116"/>
      <c r="K11" s="116"/>
      <c r="L11" s="116"/>
      <c r="M11" s="116"/>
      <c r="N11" s="116"/>
      <c r="O11" s="116"/>
      <c r="P11" s="116"/>
      <c r="Q11" s="116"/>
      <c r="R11" s="116"/>
      <c r="S11" s="116"/>
      <c r="T11" s="116"/>
      <c r="U11" s="116"/>
      <c r="V11" s="116"/>
      <c r="W11" s="126"/>
      <c r="X11" s="69"/>
      <c r="Y11" s="145">
        <f t="shared" si="0"/>
        <v>-70</v>
      </c>
      <c r="Z11" s="69"/>
      <c r="AA11" s="69"/>
      <c r="AB11" s="69"/>
      <c r="AC11" s="69"/>
      <c r="AD11" s="69"/>
    </row>
    <row r="12" spans="1:30" ht="14.25" customHeight="1" x14ac:dyDescent="0.35">
      <c r="A12" s="171"/>
      <c r="B12" s="167"/>
      <c r="C12" s="136"/>
      <c r="D12" s="117"/>
      <c r="E12" s="117"/>
      <c r="F12" s="117"/>
      <c r="G12" s="110"/>
      <c r="H12" s="117"/>
      <c r="I12" s="117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24"/>
      <c r="X12" s="69"/>
      <c r="Y12" s="145">
        <f t="shared" si="0"/>
        <v>-80</v>
      </c>
      <c r="Z12" s="69"/>
      <c r="AA12" s="69"/>
      <c r="AB12" s="69"/>
      <c r="AC12" s="69"/>
      <c r="AD12" s="69"/>
    </row>
    <row r="13" spans="1:30" ht="14.25" customHeight="1" x14ac:dyDescent="0.35">
      <c r="A13" s="171"/>
      <c r="B13" s="166">
        <f>Neu!B9</f>
        <v>0</v>
      </c>
      <c r="C13" s="112"/>
      <c r="D13" s="116"/>
      <c r="E13" s="116"/>
      <c r="F13" s="116"/>
      <c r="G13" s="109"/>
      <c r="H13" s="114"/>
      <c r="I13" s="116"/>
      <c r="J13" s="116"/>
      <c r="K13" s="116"/>
      <c r="L13" s="116"/>
      <c r="M13" s="116"/>
      <c r="N13" s="116"/>
      <c r="O13" s="116"/>
      <c r="P13" s="116"/>
      <c r="Q13" s="116"/>
      <c r="R13" s="116"/>
      <c r="S13" s="116"/>
      <c r="T13" s="116"/>
      <c r="U13" s="116"/>
      <c r="V13" s="116"/>
      <c r="W13" s="126"/>
      <c r="X13" s="69"/>
      <c r="Y13" s="145">
        <f t="shared" si="0"/>
        <v>-90</v>
      </c>
      <c r="Z13" s="69"/>
      <c r="AA13" s="69"/>
      <c r="AB13" s="69"/>
      <c r="AC13" s="69"/>
      <c r="AD13" s="69"/>
    </row>
    <row r="14" spans="1:30" ht="14.25" customHeight="1" x14ac:dyDescent="0.35">
      <c r="A14" s="171"/>
      <c r="B14" s="167"/>
      <c r="C14" s="135"/>
      <c r="D14" s="102"/>
      <c r="E14" s="102"/>
      <c r="F14" s="102"/>
      <c r="G14" s="103"/>
      <c r="H14" s="118"/>
      <c r="I14" s="102"/>
      <c r="J14" s="102"/>
      <c r="K14" s="102"/>
      <c r="L14" s="102"/>
      <c r="M14" s="102"/>
      <c r="N14" s="102"/>
      <c r="O14" s="102"/>
      <c r="P14" s="102"/>
      <c r="Q14" s="102"/>
      <c r="R14" s="102"/>
      <c r="S14" s="102"/>
      <c r="T14" s="102"/>
      <c r="U14" s="102"/>
      <c r="V14" s="102"/>
      <c r="W14" s="104"/>
      <c r="X14" s="69"/>
      <c r="Y14" s="145">
        <f t="shared" si="0"/>
        <v>-100</v>
      </c>
      <c r="Z14" s="69"/>
      <c r="AA14" s="69"/>
      <c r="AB14" s="69"/>
      <c r="AC14" s="69"/>
      <c r="AD14" s="69"/>
    </row>
    <row r="15" spans="1:30" ht="14.25" customHeight="1" x14ac:dyDescent="0.35">
      <c r="A15" s="171"/>
      <c r="B15" s="166">
        <f>Neu!B10</f>
        <v>0</v>
      </c>
      <c r="C15" s="112"/>
      <c r="D15" s="116"/>
      <c r="E15" s="116"/>
      <c r="F15" s="116"/>
      <c r="G15" s="109"/>
      <c r="H15" s="116"/>
      <c r="I15" s="114"/>
      <c r="J15" s="116"/>
      <c r="K15" s="116"/>
      <c r="L15" s="116"/>
      <c r="M15" s="116"/>
      <c r="N15" s="116"/>
      <c r="O15" s="116"/>
      <c r="P15" s="116"/>
      <c r="Q15" s="116"/>
      <c r="R15" s="116"/>
      <c r="S15" s="116"/>
      <c r="T15" s="116"/>
      <c r="U15" s="116"/>
      <c r="V15" s="116"/>
      <c r="W15" s="126"/>
      <c r="X15" s="69"/>
      <c r="Y15" s="145">
        <f t="shared" si="0"/>
        <v>-110</v>
      </c>
      <c r="Z15" s="69"/>
      <c r="AA15" s="69"/>
      <c r="AB15" s="69"/>
      <c r="AC15" s="69"/>
      <c r="AD15" s="69"/>
    </row>
    <row r="16" spans="1:30" ht="14.25" customHeight="1" x14ac:dyDescent="0.35">
      <c r="A16" s="171"/>
      <c r="B16" s="167"/>
      <c r="C16" s="135"/>
      <c r="D16" s="102"/>
      <c r="E16" s="102"/>
      <c r="F16" s="102"/>
      <c r="G16" s="103"/>
      <c r="H16" s="102"/>
      <c r="I16" s="118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4"/>
      <c r="X16" s="69"/>
      <c r="Y16" s="145">
        <f t="shared" si="0"/>
        <v>-120</v>
      </c>
      <c r="Z16" s="69"/>
      <c r="AA16" s="69"/>
      <c r="AB16" s="69"/>
      <c r="AC16" s="69"/>
      <c r="AD16" s="69"/>
    </row>
    <row r="17" spans="1:30" ht="14.25" customHeight="1" x14ac:dyDescent="0.35">
      <c r="A17" s="171"/>
      <c r="B17" s="166">
        <f>Neu!B11</f>
        <v>0</v>
      </c>
      <c r="C17" s="112"/>
      <c r="D17" s="116"/>
      <c r="E17" s="116"/>
      <c r="F17" s="116"/>
      <c r="G17" s="109"/>
      <c r="H17" s="116"/>
      <c r="I17" s="116"/>
      <c r="J17" s="114"/>
      <c r="K17" s="116"/>
      <c r="L17" s="116"/>
      <c r="M17" s="116"/>
      <c r="N17" s="116"/>
      <c r="O17" s="116"/>
      <c r="P17" s="116"/>
      <c r="Q17" s="116"/>
      <c r="R17" s="116"/>
      <c r="S17" s="116"/>
      <c r="T17" s="116"/>
      <c r="U17" s="116"/>
      <c r="V17" s="116"/>
      <c r="W17" s="126"/>
      <c r="X17" s="69"/>
      <c r="Y17" s="145">
        <f t="shared" si="0"/>
        <v>-130</v>
      </c>
      <c r="Z17" s="69"/>
      <c r="AA17" s="69"/>
      <c r="AB17" s="69"/>
      <c r="AC17" s="69"/>
      <c r="AD17" s="69"/>
    </row>
    <row r="18" spans="1:30" ht="14.25" customHeight="1" x14ac:dyDescent="0.35">
      <c r="A18" s="171"/>
      <c r="B18" s="167"/>
      <c r="C18" s="135"/>
      <c r="D18" s="102"/>
      <c r="E18" s="102"/>
      <c r="F18" s="102"/>
      <c r="G18" s="103"/>
      <c r="H18" s="102"/>
      <c r="I18" s="102"/>
      <c r="J18" s="118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2"/>
      <c r="W18" s="104"/>
      <c r="X18" s="69"/>
      <c r="Y18" s="145">
        <f t="shared" si="0"/>
        <v>-140</v>
      </c>
      <c r="Z18" s="69"/>
      <c r="AA18" s="69"/>
      <c r="AB18" s="69"/>
      <c r="AC18" s="69"/>
      <c r="AD18" s="69"/>
    </row>
    <row r="19" spans="1:30" ht="14.25" customHeight="1" x14ac:dyDescent="0.35">
      <c r="A19" s="171"/>
      <c r="B19" s="166">
        <f>Neu!B12</f>
        <v>0</v>
      </c>
      <c r="C19" s="112"/>
      <c r="D19" s="116"/>
      <c r="E19" s="116"/>
      <c r="F19" s="116"/>
      <c r="G19" s="109"/>
      <c r="H19" s="116"/>
      <c r="I19" s="116"/>
      <c r="J19" s="116"/>
      <c r="K19" s="114"/>
      <c r="L19" s="116"/>
      <c r="M19" s="116"/>
      <c r="N19" s="116"/>
      <c r="O19" s="116"/>
      <c r="P19" s="116"/>
      <c r="Q19" s="116"/>
      <c r="R19" s="116"/>
      <c r="S19" s="116"/>
      <c r="T19" s="116"/>
      <c r="U19" s="116"/>
      <c r="V19" s="116"/>
      <c r="W19" s="126"/>
      <c r="X19" s="69"/>
      <c r="Y19" s="145">
        <f t="shared" si="0"/>
        <v>-150</v>
      </c>
      <c r="Z19" s="69"/>
      <c r="AA19" s="69"/>
      <c r="AB19" s="69"/>
      <c r="AC19" s="69"/>
      <c r="AD19" s="69"/>
    </row>
    <row r="20" spans="1:30" ht="14.25" customHeight="1" x14ac:dyDescent="0.35">
      <c r="A20" s="171"/>
      <c r="B20" s="167"/>
      <c r="C20" s="135"/>
      <c r="D20" s="102"/>
      <c r="E20" s="102"/>
      <c r="F20" s="102"/>
      <c r="G20" s="103"/>
      <c r="H20" s="102"/>
      <c r="I20" s="102"/>
      <c r="J20" s="102"/>
      <c r="K20" s="118"/>
      <c r="L20" s="102"/>
      <c r="M20" s="102"/>
      <c r="N20" s="102"/>
      <c r="O20" s="102"/>
      <c r="P20" s="102"/>
      <c r="Q20" s="102"/>
      <c r="R20" s="102"/>
      <c r="S20" s="102"/>
      <c r="T20" s="102"/>
      <c r="U20" s="102"/>
      <c r="V20" s="102"/>
      <c r="W20" s="104"/>
      <c r="X20" s="69"/>
      <c r="Y20" s="145">
        <f t="shared" si="0"/>
        <v>-160</v>
      </c>
      <c r="Z20" s="69"/>
      <c r="AA20" s="69"/>
      <c r="AB20" s="69"/>
      <c r="AC20" s="69"/>
      <c r="AD20" s="69"/>
    </row>
    <row r="21" spans="1:30" ht="14.25" customHeight="1" x14ac:dyDescent="0.35">
      <c r="A21" s="171"/>
      <c r="B21" s="166">
        <f>Neu!B13</f>
        <v>0</v>
      </c>
      <c r="C21" s="112"/>
      <c r="D21" s="116"/>
      <c r="E21" s="116"/>
      <c r="F21" s="116"/>
      <c r="G21" s="109"/>
      <c r="H21" s="116"/>
      <c r="I21" s="116"/>
      <c r="J21" s="116"/>
      <c r="K21" s="116"/>
      <c r="L21" s="114"/>
      <c r="M21" s="116"/>
      <c r="N21" s="116"/>
      <c r="O21" s="116"/>
      <c r="P21" s="116"/>
      <c r="Q21" s="116"/>
      <c r="R21" s="116"/>
      <c r="S21" s="116"/>
      <c r="T21" s="116"/>
      <c r="U21" s="116"/>
      <c r="V21" s="116"/>
      <c r="W21" s="126"/>
      <c r="X21" s="69"/>
      <c r="Y21" s="145">
        <f t="shared" si="0"/>
        <v>-170</v>
      </c>
      <c r="Z21" s="69"/>
      <c r="AA21" s="69"/>
      <c r="AB21" s="69"/>
      <c r="AC21" s="69"/>
      <c r="AD21" s="69"/>
    </row>
    <row r="22" spans="1:30" ht="14.25" customHeight="1" x14ac:dyDescent="0.35">
      <c r="A22" s="171"/>
      <c r="B22" s="167"/>
      <c r="C22" s="135"/>
      <c r="D22" s="102"/>
      <c r="E22" s="102"/>
      <c r="F22" s="102"/>
      <c r="G22" s="103"/>
      <c r="H22" s="102"/>
      <c r="I22" s="102"/>
      <c r="J22" s="102"/>
      <c r="K22" s="102"/>
      <c r="L22" s="118"/>
      <c r="M22" s="102"/>
      <c r="N22" s="102"/>
      <c r="O22" s="102"/>
      <c r="P22" s="102"/>
      <c r="Q22" s="102"/>
      <c r="R22" s="102"/>
      <c r="S22" s="102"/>
      <c r="T22" s="102"/>
      <c r="U22" s="102"/>
      <c r="V22" s="102"/>
      <c r="W22" s="104"/>
      <c r="X22" s="69"/>
      <c r="Y22" s="145">
        <f t="shared" si="0"/>
        <v>-180</v>
      </c>
      <c r="Z22" s="69"/>
      <c r="AA22" s="69"/>
      <c r="AB22" s="69"/>
      <c r="AC22" s="69"/>
      <c r="AD22" s="69"/>
    </row>
    <row r="23" spans="1:30" ht="14.25" customHeight="1" x14ac:dyDescent="0.35">
      <c r="A23" s="171"/>
      <c r="B23" s="166">
        <f>Neu!B14</f>
        <v>0</v>
      </c>
      <c r="C23" s="112"/>
      <c r="D23" s="116"/>
      <c r="E23" s="116"/>
      <c r="F23" s="116"/>
      <c r="G23" s="109"/>
      <c r="H23" s="116"/>
      <c r="I23" s="116"/>
      <c r="J23" s="116"/>
      <c r="K23" s="116"/>
      <c r="L23" s="116"/>
      <c r="M23" s="114"/>
      <c r="N23" s="116"/>
      <c r="O23" s="116"/>
      <c r="P23" s="116"/>
      <c r="Q23" s="116"/>
      <c r="R23" s="116"/>
      <c r="S23" s="116"/>
      <c r="T23" s="116"/>
      <c r="U23" s="116"/>
      <c r="V23" s="116"/>
      <c r="W23" s="126"/>
      <c r="X23" s="69"/>
      <c r="Y23" s="145">
        <f t="shared" si="0"/>
        <v>-190</v>
      </c>
      <c r="Z23" s="69"/>
      <c r="AA23" s="69"/>
      <c r="AB23" s="69"/>
      <c r="AC23" s="69"/>
      <c r="AD23" s="69"/>
    </row>
    <row r="24" spans="1:30" ht="14.25" customHeight="1" x14ac:dyDescent="0.35">
      <c r="A24" s="171"/>
      <c r="B24" s="167"/>
      <c r="C24" s="136"/>
      <c r="D24" s="117"/>
      <c r="E24" s="117"/>
      <c r="F24" s="117"/>
      <c r="G24" s="108"/>
      <c r="H24" s="117"/>
      <c r="I24" s="117"/>
      <c r="J24" s="117"/>
      <c r="K24" s="117"/>
      <c r="L24" s="117"/>
      <c r="M24" s="115"/>
      <c r="N24" s="117"/>
      <c r="O24" s="117"/>
      <c r="P24" s="117"/>
      <c r="Q24" s="117"/>
      <c r="R24" s="117"/>
      <c r="S24" s="117"/>
      <c r="T24" s="117"/>
      <c r="U24" s="117"/>
      <c r="V24" s="117"/>
      <c r="W24" s="124"/>
      <c r="X24" s="69"/>
      <c r="Y24" s="145">
        <f t="shared" si="0"/>
        <v>-200</v>
      </c>
      <c r="Z24" s="69"/>
      <c r="AA24" s="69"/>
      <c r="AB24" s="69"/>
      <c r="AC24" s="69"/>
      <c r="AD24" s="69"/>
    </row>
    <row r="25" spans="1:30" ht="14.25" customHeight="1" x14ac:dyDescent="0.35">
      <c r="A25" s="171"/>
      <c r="B25" s="166">
        <f>Neu!B15</f>
        <v>0</v>
      </c>
      <c r="C25" s="112"/>
      <c r="D25" s="116"/>
      <c r="E25" s="116"/>
      <c r="F25" s="116"/>
      <c r="G25" s="109"/>
      <c r="H25" s="116"/>
      <c r="I25" s="116"/>
      <c r="J25" s="116"/>
      <c r="K25" s="116"/>
      <c r="L25" s="116"/>
      <c r="M25" s="116"/>
      <c r="N25" s="114"/>
      <c r="O25" s="116"/>
      <c r="P25" s="116"/>
      <c r="Q25" s="116"/>
      <c r="R25" s="116"/>
      <c r="S25" s="116"/>
      <c r="T25" s="116"/>
      <c r="U25" s="116"/>
      <c r="V25" s="116"/>
      <c r="W25" s="126"/>
      <c r="X25" s="69"/>
      <c r="Y25" s="145">
        <f t="shared" si="0"/>
        <v>-210</v>
      </c>
      <c r="Z25" s="69"/>
      <c r="AA25" s="69"/>
      <c r="AB25" s="69"/>
      <c r="AC25" s="69"/>
      <c r="AD25" s="69"/>
    </row>
    <row r="26" spans="1:30" ht="14.25" customHeight="1" x14ac:dyDescent="0.35">
      <c r="A26" s="171"/>
      <c r="B26" s="167"/>
      <c r="C26" s="135"/>
      <c r="D26" s="102"/>
      <c r="E26" s="102"/>
      <c r="F26" s="102"/>
      <c r="G26" s="103"/>
      <c r="H26" s="102"/>
      <c r="I26" s="102"/>
      <c r="J26" s="102"/>
      <c r="K26" s="102"/>
      <c r="L26" s="102"/>
      <c r="M26" s="102"/>
      <c r="N26" s="118"/>
      <c r="O26" s="102"/>
      <c r="P26" s="102"/>
      <c r="Q26" s="102"/>
      <c r="R26" s="102"/>
      <c r="S26" s="102"/>
      <c r="T26" s="102"/>
      <c r="U26" s="102"/>
      <c r="V26" s="102"/>
      <c r="W26" s="104"/>
      <c r="X26" s="69"/>
      <c r="Y26" s="145">
        <f t="shared" si="0"/>
        <v>-220</v>
      </c>
      <c r="Z26" s="69"/>
      <c r="AA26" s="69"/>
      <c r="AB26" s="69"/>
      <c r="AC26" s="69"/>
      <c r="AD26" s="69"/>
    </row>
    <row r="27" spans="1:30" ht="14.25" customHeight="1" x14ac:dyDescent="0.35">
      <c r="A27" s="171"/>
      <c r="B27" s="166">
        <f>Neu!B16</f>
        <v>0</v>
      </c>
      <c r="C27" s="112"/>
      <c r="D27" s="116"/>
      <c r="E27" s="116"/>
      <c r="F27" s="116"/>
      <c r="G27" s="109"/>
      <c r="H27" s="116"/>
      <c r="I27" s="116"/>
      <c r="J27" s="116"/>
      <c r="K27" s="116"/>
      <c r="L27" s="116"/>
      <c r="M27" s="116"/>
      <c r="N27" s="116"/>
      <c r="O27" s="114"/>
      <c r="P27" s="116"/>
      <c r="Q27" s="116"/>
      <c r="R27" s="116"/>
      <c r="S27" s="116"/>
      <c r="T27" s="116"/>
      <c r="U27" s="116"/>
      <c r="V27" s="116"/>
      <c r="W27" s="126"/>
      <c r="X27" s="69"/>
      <c r="Y27" s="145">
        <f t="shared" si="0"/>
        <v>-230</v>
      </c>
      <c r="Z27" s="69"/>
      <c r="AA27" s="69"/>
      <c r="AB27" s="69"/>
      <c r="AC27" s="69"/>
      <c r="AD27" s="69"/>
    </row>
    <row r="28" spans="1:30" ht="14.25" customHeight="1" x14ac:dyDescent="0.35">
      <c r="A28" s="171"/>
      <c r="B28" s="167"/>
      <c r="C28" s="135"/>
      <c r="D28" s="102"/>
      <c r="E28" s="102"/>
      <c r="F28" s="102"/>
      <c r="G28" s="103"/>
      <c r="H28" s="102"/>
      <c r="I28" s="102"/>
      <c r="J28" s="102"/>
      <c r="K28" s="102"/>
      <c r="L28" s="102"/>
      <c r="M28" s="102"/>
      <c r="N28" s="102"/>
      <c r="O28" s="118"/>
      <c r="P28" s="102"/>
      <c r="Q28" s="102"/>
      <c r="R28" s="102"/>
      <c r="S28" s="102"/>
      <c r="T28" s="102"/>
      <c r="U28" s="102"/>
      <c r="V28" s="102"/>
      <c r="W28" s="104"/>
      <c r="X28" s="69"/>
      <c r="Y28" s="145">
        <f t="shared" si="0"/>
        <v>-240</v>
      </c>
      <c r="Z28" s="69"/>
      <c r="AA28" s="69"/>
      <c r="AB28" s="69"/>
      <c r="AC28" s="69"/>
      <c r="AD28" s="69"/>
    </row>
    <row r="29" spans="1:30" ht="14.25" customHeight="1" x14ac:dyDescent="0.35">
      <c r="A29" s="171"/>
      <c r="B29" s="166">
        <f>Neu!B17</f>
        <v>0</v>
      </c>
      <c r="C29" s="112"/>
      <c r="D29" s="116"/>
      <c r="E29" s="116"/>
      <c r="F29" s="116"/>
      <c r="G29" s="109"/>
      <c r="H29" s="116"/>
      <c r="I29" s="116"/>
      <c r="J29" s="116"/>
      <c r="K29" s="116"/>
      <c r="L29" s="116"/>
      <c r="M29" s="116"/>
      <c r="N29" s="116"/>
      <c r="O29" s="116"/>
      <c r="P29" s="114"/>
      <c r="Q29" s="116"/>
      <c r="R29" s="116"/>
      <c r="S29" s="116"/>
      <c r="T29" s="116"/>
      <c r="U29" s="116"/>
      <c r="V29" s="116"/>
      <c r="W29" s="126"/>
      <c r="X29" s="69"/>
      <c r="Y29" s="145">
        <f t="shared" si="0"/>
        <v>-250</v>
      </c>
      <c r="Z29" s="69"/>
      <c r="AA29" s="69"/>
      <c r="AB29" s="69"/>
      <c r="AC29" s="69"/>
      <c r="AD29" s="69"/>
    </row>
    <row r="30" spans="1:30" ht="14.25" customHeight="1" x14ac:dyDescent="0.35">
      <c r="A30" s="171"/>
      <c r="B30" s="167"/>
      <c r="C30" s="135"/>
      <c r="D30" s="102"/>
      <c r="E30" s="102"/>
      <c r="F30" s="102"/>
      <c r="G30" s="103"/>
      <c r="H30" s="102"/>
      <c r="I30" s="102"/>
      <c r="J30" s="102"/>
      <c r="K30" s="102"/>
      <c r="L30" s="102"/>
      <c r="M30" s="102"/>
      <c r="N30" s="102"/>
      <c r="O30" s="102"/>
      <c r="P30" s="118"/>
      <c r="Q30" s="102"/>
      <c r="R30" s="102"/>
      <c r="S30" s="102"/>
      <c r="T30" s="102"/>
      <c r="U30" s="102"/>
      <c r="V30" s="102"/>
      <c r="W30" s="104"/>
      <c r="X30" s="69"/>
      <c r="Y30" s="145">
        <f t="shared" si="0"/>
        <v>-260</v>
      </c>
      <c r="Z30" s="69"/>
      <c r="AA30" s="69"/>
      <c r="AB30" s="69"/>
      <c r="AC30" s="69"/>
      <c r="AD30" s="69"/>
    </row>
    <row r="31" spans="1:30" ht="14.25" customHeight="1" x14ac:dyDescent="0.35">
      <c r="A31" s="171"/>
      <c r="B31" s="166">
        <f>Neu!B18</f>
        <v>0</v>
      </c>
      <c r="C31" s="112"/>
      <c r="D31" s="116"/>
      <c r="E31" s="116"/>
      <c r="F31" s="116"/>
      <c r="G31" s="109"/>
      <c r="H31" s="116"/>
      <c r="I31" s="116"/>
      <c r="J31" s="116"/>
      <c r="K31" s="116"/>
      <c r="L31" s="116"/>
      <c r="M31" s="116"/>
      <c r="N31" s="116"/>
      <c r="O31" s="116"/>
      <c r="P31" s="116"/>
      <c r="Q31" s="114"/>
      <c r="R31" s="116"/>
      <c r="S31" s="116"/>
      <c r="T31" s="116"/>
      <c r="U31" s="116"/>
      <c r="V31" s="116"/>
      <c r="W31" s="126"/>
      <c r="X31" s="69"/>
      <c r="Y31" s="145">
        <f t="shared" si="0"/>
        <v>-270</v>
      </c>
      <c r="Z31" s="69"/>
      <c r="AA31" s="69"/>
      <c r="AB31" s="69"/>
      <c r="AC31" s="69"/>
      <c r="AD31" s="69"/>
    </row>
    <row r="32" spans="1:30" ht="14.25" customHeight="1" x14ac:dyDescent="0.35">
      <c r="A32" s="171"/>
      <c r="B32" s="167"/>
      <c r="C32" s="135"/>
      <c r="D32" s="102"/>
      <c r="E32" s="102"/>
      <c r="F32" s="102"/>
      <c r="G32" s="103"/>
      <c r="H32" s="102"/>
      <c r="I32" s="102"/>
      <c r="J32" s="102"/>
      <c r="K32" s="102"/>
      <c r="L32" s="102"/>
      <c r="M32" s="102"/>
      <c r="N32" s="102"/>
      <c r="O32" s="102"/>
      <c r="P32" s="102"/>
      <c r="Q32" s="118"/>
      <c r="R32" s="102"/>
      <c r="S32" s="102"/>
      <c r="T32" s="102"/>
      <c r="U32" s="102"/>
      <c r="V32" s="102"/>
      <c r="W32" s="104"/>
      <c r="X32" s="69"/>
      <c r="Y32" s="145">
        <f t="shared" si="0"/>
        <v>-280</v>
      </c>
      <c r="Z32" s="69"/>
      <c r="AA32" s="69"/>
      <c r="AB32" s="69"/>
      <c r="AC32" s="69"/>
      <c r="AD32" s="69"/>
    </row>
    <row r="33" spans="1:30" ht="14.25" customHeight="1" x14ac:dyDescent="0.35">
      <c r="A33" s="171"/>
      <c r="B33" s="166">
        <f>Neu!B19</f>
        <v>0</v>
      </c>
      <c r="C33" s="112"/>
      <c r="D33" s="116"/>
      <c r="E33" s="116"/>
      <c r="F33" s="116"/>
      <c r="G33" s="109"/>
      <c r="H33" s="116"/>
      <c r="I33" s="116"/>
      <c r="J33" s="116"/>
      <c r="K33" s="116"/>
      <c r="L33" s="116"/>
      <c r="M33" s="116"/>
      <c r="N33" s="116"/>
      <c r="O33" s="116"/>
      <c r="P33" s="116"/>
      <c r="Q33" s="116"/>
      <c r="R33" s="114"/>
      <c r="S33" s="116"/>
      <c r="T33" s="116"/>
      <c r="U33" s="116"/>
      <c r="V33" s="116"/>
      <c r="W33" s="126"/>
      <c r="X33" s="69"/>
      <c r="Y33" s="69"/>
      <c r="Z33" s="69"/>
      <c r="AA33" s="69"/>
      <c r="AB33" s="69"/>
      <c r="AC33" s="69"/>
      <c r="AD33" s="69"/>
    </row>
    <row r="34" spans="1:30" ht="14.25" customHeight="1" x14ac:dyDescent="0.35">
      <c r="A34" s="171"/>
      <c r="B34" s="167"/>
      <c r="C34" s="135"/>
      <c r="D34" s="102"/>
      <c r="E34" s="102"/>
      <c r="F34" s="102"/>
      <c r="G34" s="103"/>
      <c r="H34" s="102"/>
      <c r="I34" s="102"/>
      <c r="J34" s="102"/>
      <c r="K34" s="102"/>
      <c r="L34" s="102"/>
      <c r="M34" s="102"/>
      <c r="N34" s="102"/>
      <c r="O34" s="102"/>
      <c r="P34" s="102"/>
      <c r="Q34" s="102"/>
      <c r="R34" s="118"/>
      <c r="S34" s="102"/>
      <c r="T34" s="102"/>
      <c r="U34" s="102"/>
      <c r="V34" s="102"/>
      <c r="W34" s="104"/>
      <c r="X34" s="69"/>
      <c r="Y34" s="69"/>
      <c r="Z34" s="69"/>
      <c r="AA34" s="69"/>
      <c r="AB34" s="69"/>
      <c r="AC34" s="69"/>
      <c r="AD34" s="69"/>
    </row>
    <row r="35" spans="1:30" ht="14.25" customHeight="1" x14ac:dyDescent="0.35">
      <c r="A35" s="171"/>
      <c r="B35" s="166">
        <f>Neu!B20</f>
        <v>0</v>
      </c>
      <c r="C35" s="112"/>
      <c r="D35" s="116"/>
      <c r="E35" s="116"/>
      <c r="F35" s="116"/>
      <c r="G35" s="109"/>
      <c r="H35" s="116"/>
      <c r="I35" s="116"/>
      <c r="J35" s="116"/>
      <c r="K35" s="116"/>
      <c r="L35" s="116"/>
      <c r="M35" s="116"/>
      <c r="N35" s="116"/>
      <c r="O35" s="116"/>
      <c r="P35" s="116"/>
      <c r="Q35" s="116"/>
      <c r="R35" s="116"/>
      <c r="S35" s="114"/>
      <c r="T35" s="116"/>
      <c r="U35" s="116"/>
      <c r="V35" s="116"/>
      <c r="W35" s="126"/>
      <c r="X35" s="69"/>
      <c r="Y35" s="69"/>
      <c r="Z35" s="69"/>
      <c r="AA35" s="69"/>
      <c r="AB35" s="69"/>
      <c r="AC35" s="69"/>
      <c r="AD35" s="69"/>
    </row>
    <row r="36" spans="1:30" ht="14.25" customHeight="1" x14ac:dyDescent="0.35">
      <c r="A36" s="171"/>
      <c r="B36" s="167"/>
      <c r="C36" s="136"/>
      <c r="D36" s="117"/>
      <c r="E36" s="117"/>
      <c r="F36" s="117"/>
      <c r="G36" s="108"/>
      <c r="H36" s="117"/>
      <c r="I36" s="117"/>
      <c r="J36" s="117"/>
      <c r="K36" s="117"/>
      <c r="L36" s="117"/>
      <c r="M36" s="117"/>
      <c r="N36" s="117"/>
      <c r="O36" s="117"/>
      <c r="P36" s="117"/>
      <c r="Q36" s="117"/>
      <c r="R36" s="117"/>
      <c r="S36" s="115"/>
      <c r="T36" s="117"/>
      <c r="U36" s="117"/>
      <c r="V36" s="117"/>
      <c r="W36" s="124"/>
      <c r="X36" s="69"/>
      <c r="Y36" s="69"/>
      <c r="Z36" s="69"/>
      <c r="AA36" s="69"/>
      <c r="AB36" s="69"/>
      <c r="AC36" s="69"/>
      <c r="AD36" s="69"/>
    </row>
    <row r="37" spans="1:30" ht="14.25" customHeight="1" x14ac:dyDescent="0.35">
      <c r="A37" s="171"/>
      <c r="B37" s="166">
        <f>Neu!B21</f>
        <v>0</v>
      </c>
      <c r="C37" s="112"/>
      <c r="D37" s="116"/>
      <c r="E37" s="116"/>
      <c r="F37" s="116"/>
      <c r="G37" s="109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4"/>
      <c r="U37" s="116"/>
      <c r="V37" s="116"/>
      <c r="W37" s="126"/>
      <c r="X37" s="69"/>
      <c r="Y37" s="69"/>
      <c r="Z37" s="69"/>
      <c r="AA37" s="69"/>
      <c r="AB37" s="69"/>
      <c r="AC37" s="69"/>
      <c r="AD37" s="69"/>
    </row>
    <row r="38" spans="1:30" ht="14.25" customHeight="1" x14ac:dyDescent="0.35">
      <c r="A38" s="171"/>
      <c r="B38" s="167"/>
      <c r="C38" s="135"/>
      <c r="D38" s="102"/>
      <c r="E38" s="102"/>
      <c r="F38" s="102"/>
      <c r="G38" s="103"/>
      <c r="H38" s="102"/>
      <c r="I38" s="102"/>
      <c r="J38" s="102"/>
      <c r="K38" s="102"/>
      <c r="L38" s="102"/>
      <c r="M38" s="102"/>
      <c r="N38" s="102"/>
      <c r="O38" s="102"/>
      <c r="P38" s="102"/>
      <c r="Q38" s="102"/>
      <c r="R38" s="102"/>
      <c r="S38" s="102"/>
      <c r="T38" s="118"/>
      <c r="U38" s="102"/>
      <c r="V38" s="102"/>
      <c r="W38" s="104"/>
      <c r="X38" s="69"/>
      <c r="Y38" s="69"/>
      <c r="Z38" s="69"/>
      <c r="AA38" s="69"/>
      <c r="AB38" s="69"/>
      <c r="AC38" s="69"/>
      <c r="AD38" s="69"/>
    </row>
    <row r="39" spans="1:30" ht="14.25" customHeight="1" x14ac:dyDescent="0.35">
      <c r="A39" s="171"/>
      <c r="B39" s="166">
        <f>Neu!B22</f>
        <v>0</v>
      </c>
      <c r="C39" s="112"/>
      <c r="D39" s="116"/>
      <c r="E39" s="116"/>
      <c r="F39" s="116"/>
      <c r="G39" s="109"/>
      <c r="H39" s="116"/>
      <c r="I39" s="116"/>
      <c r="J39" s="116"/>
      <c r="K39" s="116"/>
      <c r="L39" s="116"/>
      <c r="M39" s="116"/>
      <c r="N39" s="116"/>
      <c r="O39" s="116"/>
      <c r="P39" s="116"/>
      <c r="Q39" s="116"/>
      <c r="R39" s="116"/>
      <c r="S39" s="116"/>
      <c r="T39" s="116"/>
      <c r="U39" s="114"/>
      <c r="V39" s="116"/>
      <c r="W39" s="126"/>
      <c r="X39" s="69"/>
      <c r="Y39" s="69"/>
      <c r="Z39" s="69"/>
      <c r="AA39" s="69"/>
      <c r="AB39" s="69"/>
      <c r="AC39" s="69"/>
      <c r="AD39" s="69"/>
    </row>
    <row r="40" spans="1:30" ht="14.25" customHeight="1" x14ac:dyDescent="0.35">
      <c r="A40" s="171"/>
      <c r="B40" s="167"/>
      <c r="C40" s="135"/>
      <c r="D40" s="102"/>
      <c r="E40" s="102"/>
      <c r="F40" s="102"/>
      <c r="G40" s="103"/>
      <c r="H40" s="102"/>
      <c r="I40" s="102"/>
      <c r="J40" s="102"/>
      <c r="K40" s="102"/>
      <c r="L40" s="102"/>
      <c r="M40" s="102"/>
      <c r="N40" s="102"/>
      <c r="O40" s="102"/>
      <c r="P40" s="102"/>
      <c r="Q40" s="102"/>
      <c r="R40" s="102"/>
      <c r="S40" s="102"/>
      <c r="T40" s="102"/>
      <c r="U40" s="118"/>
      <c r="V40" s="102"/>
      <c r="W40" s="104"/>
      <c r="X40" s="69"/>
      <c r="Y40" s="69"/>
      <c r="Z40" s="69"/>
      <c r="AA40" s="69"/>
      <c r="AB40" s="69"/>
      <c r="AC40" s="69"/>
      <c r="AD40" s="69"/>
    </row>
    <row r="41" spans="1:30" ht="14.25" customHeight="1" x14ac:dyDescent="0.35">
      <c r="A41" s="171"/>
      <c r="B41" s="166">
        <f>Neu!B23</f>
        <v>0</v>
      </c>
      <c r="C41" s="112"/>
      <c r="D41" s="116"/>
      <c r="E41" s="116"/>
      <c r="F41" s="116"/>
      <c r="G41" s="109"/>
      <c r="H41" s="116"/>
      <c r="I41" s="116"/>
      <c r="J41" s="116"/>
      <c r="K41" s="116"/>
      <c r="L41" s="116"/>
      <c r="M41" s="116"/>
      <c r="N41" s="116"/>
      <c r="O41" s="116"/>
      <c r="P41" s="116"/>
      <c r="Q41" s="116"/>
      <c r="R41" s="116"/>
      <c r="S41" s="116"/>
      <c r="T41" s="116"/>
      <c r="U41" s="116"/>
      <c r="V41" s="114"/>
      <c r="W41" s="126"/>
      <c r="X41" s="69"/>
      <c r="Y41" s="69"/>
      <c r="Z41" s="69"/>
      <c r="AA41" s="69"/>
      <c r="AB41" s="69"/>
      <c r="AC41" s="69"/>
      <c r="AD41" s="69"/>
    </row>
    <row r="42" spans="1:30" ht="14.25" customHeight="1" x14ac:dyDescent="0.35">
      <c r="A42" s="171"/>
      <c r="B42" s="167"/>
      <c r="C42" s="135"/>
      <c r="D42" s="102"/>
      <c r="E42" s="102"/>
      <c r="F42" s="102"/>
      <c r="G42" s="103"/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18"/>
      <c r="W42" s="104"/>
      <c r="X42" s="69"/>
      <c r="Y42" s="69"/>
      <c r="Z42" s="69"/>
      <c r="AA42" s="69"/>
      <c r="AB42" s="69"/>
      <c r="AC42" s="69"/>
      <c r="AD42" s="69"/>
    </row>
    <row r="43" spans="1:30" ht="14.25" customHeight="1" x14ac:dyDescent="0.35">
      <c r="A43" s="171"/>
      <c r="B43" s="166">
        <f>Neu!B24</f>
        <v>0</v>
      </c>
      <c r="C43" s="112"/>
      <c r="D43" s="116"/>
      <c r="E43" s="116"/>
      <c r="F43" s="116"/>
      <c r="G43" s="109"/>
      <c r="H43" s="116"/>
      <c r="I43" s="116"/>
      <c r="J43" s="116"/>
      <c r="K43" s="116"/>
      <c r="L43" s="116"/>
      <c r="M43" s="116"/>
      <c r="N43" s="116"/>
      <c r="O43" s="116"/>
      <c r="P43" s="116"/>
      <c r="Q43" s="116"/>
      <c r="R43" s="116"/>
      <c r="S43" s="116"/>
      <c r="T43" s="116"/>
      <c r="U43" s="116"/>
      <c r="V43" s="116"/>
      <c r="W43" s="129"/>
      <c r="X43" s="69"/>
      <c r="Y43" s="69"/>
      <c r="Z43" s="69"/>
      <c r="AA43" s="69"/>
      <c r="AB43" s="69"/>
      <c r="AC43" s="69"/>
      <c r="AD43" s="69"/>
    </row>
    <row r="44" spans="1:30" ht="14.25" customHeight="1" thickBot="1" x14ac:dyDescent="0.4">
      <c r="A44" s="113"/>
      <c r="B44" s="168"/>
      <c r="C44" s="139"/>
      <c r="D44" s="131"/>
      <c r="E44" s="131"/>
      <c r="F44" s="131"/>
      <c r="G44" s="132"/>
      <c r="H44" s="131"/>
      <c r="I44" s="131"/>
      <c r="J44" s="131"/>
      <c r="K44" s="131"/>
      <c r="L44" s="131"/>
      <c r="M44" s="131"/>
      <c r="N44" s="131"/>
      <c r="O44" s="131"/>
      <c r="P44" s="131"/>
      <c r="Q44" s="131"/>
      <c r="R44" s="131"/>
      <c r="S44" s="131"/>
      <c r="T44" s="131"/>
      <c r="U44" s="131"/>
      <c r="V44" s="131"/>
      <c r="W44" s="133"/>
      <c r="X44" s="69"/>
      <c r="Y44" s="69"/>
      <c r="Z44" s="69"/>
      <c r="AA44" s="69"/>
      <c r="AB44" s="69"/>
      <c r="AC44" s="69"/>
      <c r="AD44" s="69"/>
    </row>
    <row r="45" spans="1:30" x14ac:dyDescent="0.35"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  <c r="AA45" s="69"/>
      <c r="AB45" s="69"/>
      <c r="AC45" s="69"/>
      <c r="AD45" s="69"/>
    </row>
    <row r="46" spans="1:30" x14ac:dyDescent="0.35"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  <c r="AA46" s="69"/>
      <c r="AB46" s="69"/>
      <c r="AC46" s="69"/>
      <c r="AD46" s="69"/>
    </row>
    <row r="47" spans="1:30" x14ac:dyDescent="0.35"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  <c r="AA47" s="69"/>
      <c r="AB47" s="69"/>
      <c r="AC47" s="69"/>
      <c r="AD47" s="69"/>
    </row>
    <row r="48" spans="1:30" x14ac:dyDescent="0.35"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  <c r="AA48" s="69"/>
      <c r="AB48" s="69"/>
      <c r="AC48" s="69"/>
      <c r="AD48" s="69"/>
    </row>
    <row r="49" spans="3:30" x14ac:dyDescent="0.35"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  <c r="AA49" s="69"/>
      <c r="AB49" s="69"/>
      <c r="AC49" s="69"/>
      <c r="AD49" s="69"/>
    </row>
    <row r="50" spans="3:30" x14ac:dyDescent="0.35"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  <c r="AA50" s="69"/>
      <c r="AB50" s="69"/>
      <c r="AC50" s="69"/>
      <c r="AD50" s="69"/>
    </row>
    <row r="51" spans="3:30" x14ac:dyDescent="0.35"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  <c r="AA51" s="69"/>
      <c r="AB51" s="69"/>
      <c r="AC51" s="69"/>
      <c r="AD51" s="69"/>
    </row>
    <row r="52" spans="3:30" x14ac:dyDescent="0.35"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  <c r="AA52" s="69"/>
      <c r="AB52" s="69"/>
      <c r="AC52" s="69"/>
      <c r="AD52" s="69"/>
    </row>
    <row r="53" spans="3:30" x14ac:dyDescent="0.35"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</row>
    <row r="54" spans="3:30" x14ac:dyDescent="0.35"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</row>
    <row r="55" spans="3:30" x14ac:dyDescent="0.35"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</row>
    <row r="56" spans="3:30" x14ac:dyDescent="0.35"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</row>
    <row r="57" spans="3:30" x14ac:dyDescent="0.35"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  <c r="AA57" s="69"/>
      <c r="AB57" s="69"/>
      <c r="AC57" s="69"/>
      <c r="AD57" s="69"/>
    </row>
    <row r="58" spans="3:30" x14ac:dyDescent="0.35"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  <c r="AA58" s="69"/>
      <c r="AB58" s="69"/>
      <c r="AC58" s="69"/>
      <c r="AD58" s="69"/>
    </row>
    <row r="59" spans="3:30" x14ac:dyDescent="0.35"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  <c r="AA59" s="69"/>
      <c r="AB59" s="69"/>
      <c r="AC59" s="69"/>
      <c r="AD59" s="69"/>
    </row>
    <row r="60" spans="3:30" x14ac:dyDescent="0.35"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  <c r="AA60" s="69"/>
      <c r="AB60" s="69"/>
      <c r="AC60" s="69"/>
      <c r="AD60" s="69"/>
    </row>
    <row r="61" spans="3:30" x14ac:dyDescent="0.35"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  <c r="AA61" s="69"/>
      <c r="AB61" s="69"/>
      <c r="AC61" s="69"/>
      <c r="AD61" s="69"/>
    </row>
    <row r="62" spans="3:30" x14ac:dyDescent="0.35"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  <c r="AA62" s="69"/>
      <c r="AB62" s="69"/>
      <c r="AC62" s="69"/>
      <c r="AD62" s="69"/>
    </row>
    <row r="63" spans="3:30" x14ac:dyDescent="0.35"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</row>
    <row r="64" spans="3:30" x14ac:dyDescent="0.35"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</row>
    <row r="65" spans="3:30" x14ac:dyDescent="0.35"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</row>
    <row r="66" spans="3:30" x14ac:dyDescent="0.35"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</row>
    <row r="67" spans="3:30" x14ac:dyDescent="0.35"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</row>
    <row r="68" spans="3:30" x14ac:dyDescent="0.35"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</row>
    <row r="69" spans="3:30" x14ac:dyDescent="0.35"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</row>
    <row r="70" spans="3:30" x14ac:dyDescent="0.35"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</row>
    <row r="71" spans="3:30" x14ac:dyDescent="0.35"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  <c r="AA71" s="69"/>
      <c r="AB71" s="69"/>
      <c r="AC71" s="69"/>
      <c r="AD71" s="69"/>
    </row>
    <row r="72" spans="3:30" x14ac:dyDescent="0.35"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  <c r="AA72" s="69"/>
      <c r="AB72" s="69"/>
      <c r="AC72" s="69"/>
      <c r="AD72" s="69"/>
    </row>
    <row r="73" spans="3:30" x14ac:dyDescent="0.35"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  <c r="AA73" s="69"/>
      <c r="AB73" s="69"/>
      <c r="AC73" s="69"/>
      <c r="AD73" s="69"/>
    </row>
    <row r="74" spans="3:30" x14ac:dyDescent="0.35"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  <c r="AA74" s="69"/>
      <c r="AB74" s="69"/>
      <c r="AC74" s="69"/>
      <c r="AD74" s="69"/>
    </row>
    <row r="75" spans="3:30" x14ac:dyDescent="0.35"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  <c r="AA75" s="69"/>
      <c r="AB75" s="69"/>
      <c r="AC75" s="69"/>
      <c r="AD75" s="69"/>
    </row>
    <row r="76" spans="3:30" x14ac:dyDescent="0.35"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  <c r="AA76" s="69"/>
      <c r="AB76" s="69"/>
      <c r="AC76" s="69"/>
      <c r="AD76" s="69"/>
    </row>
  </sheetData>
  <mergeCells count="24">
    <mergeCell ref="B3:B4"/>
    <mergeCell ref="A1:B2"/>
    <mergeCell ref="A3:A43"/>
    <mergeCell ref="C1:W1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39:B40"/>
    <mergeCell ref="B41:B42"/>
    <mergeCell ref="B43:B44"/>
    <mergeCell ref="B29:B30"/>
    <mergeCell ref="B31:B32"/>
    <mergeCell ref="B33:B34"/>
    <mergeCell ref="B35:B36"/>
    <mergeCell ref="B37:B38"/>
  </mergeCells>
  <conditionalFormatting sqref="B3 B5 B7 B9 B11 B13 B15 B17 B19 B21 B23 B25 B27 B29 B31 B33 B35 B37 B39 B41 B43">
    <cfRule type="cellIs" dxfId="7" priority="12" operator="equal">
      <formula>0</formula>
    </cfRule>
  </conditionalFormatting>
  <conditionalFormatting sqref="C2:W2">
    <cfRule type="cellIs" dxfId="6" priority="13" operator="equal">
      <formula>0</formula>
    </cfRule>
  </conditionalFormatting>
  <conditionalFormatting sqref="C3:W44">
    <cfRule type="colorScale" priority="6">
      <colorScale>
        <cfvo type="num" val="-100"/>
        <cfvo type="num" val="-60"/>
        <cfvo type="num" val="20"/>
        <color theme="4" tint="0.39997558519241921"/>
        <color theme="0"/>
        <color rgb="FFFF6D6D"/>
      </colorScale>
    </cfRule>
  </conditionalFormatting>
  <conditionalFormatting sqref="Y1:Y2 Y4:Y36">
    <cfRule type="cellIs" dxfId="5" priority="1" operator="lessThan">
      <formula>-100</formula>
    </cfRule>
  </conditionalFormatting>
  <conditionalFormatting sqref="Y1:Y44">
    <cfRule type="colorScale" priority="5">
      <colorScale>
        <cfvo type="num" val="MIN($C$3:$W$44)"/>
        <cfvo type="num" val="MAX($C$3:$W$44)"/>
        <color rgb="FFFCFCFF"/>
        <color rgb="FFF8696B"/>
      </colorScale>
    </cfRule>
  </conditionalFormatting>
  <conditionalFormatting sqref="Y1:Y1048576">
    <cfRule type="colorScale" priority="4">
      <colorScale>
        <cfvo type="num" val="-100"/>
        <cfvo type="num" val="-60"/>
        <cfvo type="num" val="20"/>
        <color theme="4" tint="0.39997558519241921"/>
        <color theme="0"/>
        <color rgb="FFFF6D6D"/>
      </colorScale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27B1E-2E3C-4182-AD96-8589D9BFDEB3}">
  <dimension ref="A1:AL229"/>
  <sheetViews>
    <sheetView topLeftCell="D1" zoomScale="90" zoomScaleNormal="90" workbookViewId="0">
      <selection activeCell="U7" sqref="U7"/>
    </sheetView>
  </sheetViews>
  <sheetFormatPr defaultColWidth="9.1796875" defaultRowHeight="14.5" x14ac:dyDescent="0.35"/>
  <cols>
    <col min="1" max="1" width="4.1796875" style="1" customWidth="1"/>
    <col min="2" max="2" width="9.1796875" style="1"/>
    <col min="3" max="23" width="6.7265625" style="1" customWidth="1"/>
    <col min="24" max="26" width="5.7265625" style="1" customWidth="1"/>
    <col min="27" max="27" width="7.1796875" style="9" customWidth="1"/>
    <col min="28" max="28" width="7.453125" style="12" customWidth="1"/>
    <col min="29" max="29" width="6.54296875" style="9" customWidth="1"/>
    <col min="30" max="30" width="5.7265625" style="11" customWidth="1"/>
    <col min="31" max="31" width="5.7265625" style="13" customWidth="1"/>
    <col min="32" max="33" width="5.7265625" style="10" customWidth="1"/>
    <col min="34" max="34" width="5.7265625" style="11" customWidth="1"/>
    <col min="35" max="35" width="5.81640625" style="72" customWidth="1"/>
    <col min="36" max="36" width="7.453125" style="72" customWidth="1"/>
    <col min="37" max="16384" width="9.1796875" style="1"/>
  </cols>
  <sheetData>
    <row r="1" spans="1:38" ht="15" thickBot="1" x14ac:dyDescent="0.4">
      <c r="A1" s="170"/>
      <c r="B1" s="170"/>
      <c r="C1" s="175" t="s">
        <v>4</v>
      </c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AA1" s="173" t="s">
        <v>142</v>
      </c>
      <c r="AB1" s="174"/>
      <c r="AC1" s="71" t="s">
        <v>140</v>
      </c>
      <c r="AD1" s="4"/>
      <c r="AE1" s="172" t="s">
        <v>154</v>
      </c>
      <c r="AF1" s="172"/>
      <c r="AG1" s="172"/>
      <c r="AH1" s="172"/>
      <c r="AI1" s="172" t="s">
        <v>141</v>
      </c>
      <c r="AJ1" s="172"/>
    </row>
    <row r="2" spans="1:38" ht="15" thickBot="1" x14ac:dyDescent="0.4">
      <c r="A2" s="170"/>
      <c r="B2" s="170"/>
      <c r="C2" s="134" t="str">
        <f>Neu!$B4</f>
        <v>HH</v>
      </c>
      <c r="D2" s="105">
        <f>Neu!$B5</f>
        <v>0</v>
      </c>
      <c r="E2" s="105">
        <f>Neu!$B6</f>
        <v>0</v>
      </c>
      <c r="F2" s="105">
        <f>Neu!$B7</f>
        <v>0</v>
      </c>
      <c r="G2" s="105">
        <f>Neu!$B8</f>
        <v>0</v>
      </c>
      <c r="H2" s="105">
        <f>Neu!$B9</f>
        <v>0</v>
      </c>
      <c r="I2" s="105">
        <f>Neu!$B10</f>
        <v>0</v>
      </c>
      <c r="J2" s="105">
        <f>Neu!$B11</f>
        <v>0</v>
      </c>
      <c r="K2" s="105">
        <f>Neu!$B12</f>
        <v>0</v>
      </c>
      <c r="L2" s="105">
        <f>Neu!$B13</f>
        <v>0</v>
      </c>
      <c r="M2" s="105">
        <f>Neu!$B14</f>
        <v>0</v>
      </c>
      <c r="N2" s="105">
        <f>Neu!$B15</f>
        <v>0</v>
      </c>
      <c r="O2" s="105">
        <f>Neu!$B16</f>
        <v>0</v>
      </c>
      <c r="P2" s="105">
        <f>Neu!$B17</f>
        <v>0</v>
      </c>
      <c r="Q2" s="105">
        <f>Neu!$B18</f>
        <v>0</v>
      </c>
      <c r="R2" s="105">
        <f>Neu!$B19</f>
        <v>0</v>
      </c>
      <c r="S2" s="105">
        <f>Neu!$B20</f>
        <v>0</v>
      </c>
      <c r="T2" s="105">
        <f>Neu!$B21</f>
        <v>0</v>
      </c>
      <c r="U2" s="105">
        <f>Neu!$B22</f>
        <v>0</v>
      </c>
      <c r="V2" s="105">
        <f>Neu!$B23</f>
        <v>0</v>
      </c>
      <c r="W2" s="106">
        <f>Neu!$B24</f>
        <v>0</v>
      </c>
      <c r="AA2" s="4" t="s">
        <v>6</v>
      </c>
      <c r="AB2" s="4" t="s">
        <v>7</v>
      </c>
      <c r="AC2" s="4" t="s">
        <v>12</v>
      </c>
      <c r="AD2" s="4" t="s">
        <v>13</v>
      </c>
      <c r="AE2" s="4" t="s">
        <v>8</v>
      </c>
      <c r="AF2" s="4" t="s">
        <v>9</v>
      </c>
      <c r="AG2" s="4" t="s">
        <v>10</v>
      </c>
      <c r="AH2" s="4" t="s">
        <v>11</v>
      </c>
      <c r="AI2" s="4" t="s">
        <v>100</v>
      </c>
      <c r="AJ2" s="16" t="s">
        <v>143</v>
      </c>
    </row>
    <row r="3" spans="1:38" ht="14.25" customHeight="1" x14ac:dyDescent="0.35">
      <c r="A3" s="171" t="s">
        <v>5</v>
      </c>
      <c r="B3" s="169" t="str">
        <f>Neu!B4</f>
        <v>HH</v>
      </c>
      <c r="C3" s="119"/>
      <c r="D3" s="120"/>
      <c r="E3" s="120"/>
      <c r="F3" s="121"/>
      <c r="G3" s="120"/>
      <c r="H3" s="120"/>
      <c r="I3" s="120"/>
      <c r="J3" s="120"/>
      <c r="K3" s="121"/>
      <c r="L3" s="120"/>
      <c r="M3" s="120"/>
      <c r="N3" s="120"/>
      <c r="O3" s="120"/>
      <c r="P3" s="121"/>
      <c r="Q3" s="120"/>
      <c r="R3" s="120"/>
      <c r="S3" s="120"/>
      <c r="T3" s="120"/>
      <c r="U3" s="120"/>
      <c r="V3" s="120"/>
      <c r="W3" s="122"/>
      <c r="X3" s="70" t="s">
        <v>155</v>
      </c>
      <c r="Y3" s="1">
        <f>COUNTIF($C$3:$W$44,ROW(Z3)-2)</f>
        <v>0</v>
      </c>
      <c r="Z3" s="1" t="str">
        <f t="shared" ref="Z3:Z17" si="0">IF(ROW(AA3)-2&lt;=MAX($C$3:$W$44),ROW(AA3)-2,"")</f>
        <v/>
      </c>
      <c r="AA3" s="29"/>
      <c r="AB3" s="30"/>
      <c r="AC3" s="29"/>
      <c r="AD3" s="31"/>
      <c r="AE3" s="32"/>
      <c r="AF3" s="33"/>
      <c r="AG3" s="33"/>
      <c r="AH3" s="31"/>
      <c r="AK3" s="70"/>
    </row>
    <row r="4" spans="1:38" ht="14.25" customHeight="1" x14ac:dyDescent="0.35">
      <c r="A4" s="171"/>
      <c r="B4" s="167"/>
      <c r="C4" s="123"/>
      <c r="D4" s="117"/>
      <c r="E4" s="117"/>
      <c r="F4" s="108"/>
      <c r="G4" s="117"/>
      <c r="H4" s="117"/>
      <c r="I4" s="117"/>
      <c r="J4" s="117"/>
      <c r="K4" s="108"/>
      <c r="L4" s="117"/>
      <c r="M4" s="117"/>
      <c r="N4" s="117"/>
      <c r="O4" s="117"/>
      <c r="P4" s="108"/>
      <c r="Q4" s="117"/>
      <c r="R4" s="117"/>
      <c r="S4" s="117"/>
      <c r="T4" s="117"/>
      <c r="U4" s="117"/>
      <c r="V4" s="117"/>
      <c r="W4" s="124"/>
      <c r="X4" s="70" t="s">
        <v>156</v>
      </c>
      <c r="Y4" s="1">
        <f t="shared" ref="Y4:Y43" si="1">COUNTIF($C$3:$W$44,ROW(Z4)-2)</f>
        <v>0</v>
      </c>
      <c r="Z4" s="1" t="str">
        <f t="shared" si="0"/>
        <v/>
      </c>
      <c r="AK4" s="70"/>
    </row>
    <row r="5" spans="1:38" ht="14.25" customHeight="1" x14ac:dyDescent="0.35">
      <c r="A5" s="171"/>
      <c r="B5" s="166">
        <f>Neu!B5</f>
        <v>0</v>
      </c>
      <c r="C5" s="125"/>
      <c r="D5" s="114"/>
      <c r="E5" s="116"/>
      <c r="F5" s="109"/>
      <c r="G5" s="116"/>
      <c r="H5" s="116"/>
      <c r="I5" s="116"/>
      <c r="J5" s="116"/>
      <c r="K5" s="109"/>
      <c r="L5" s="116"/>
      <c r="M5" s="116"/>
      <c r="N5" s="116"/>
      <c r="O5" s="116"/>
      <c r="P5" s="109"/>
      <c r="Q5" s="116"/>
      <c r="R5" s="116"/>
      <c r="S5" s="116"/>
      <c r="T5" s="116"/>
      <c r="U5" s="116"/>
      <c r="V5" s="116"/>
      <c r="W5" s="126"/>
      <c r="Y5" s="1">
        <f t="shared" si="1"/>
        <v>0</v>
      </c>
      <c r="Z5" s="1" t="str">
        <f>IF(ROW(AA5)-2&lt;=MAX($C$3:$W$44),ROW(AA5)-2,"")</f>
        <v/>
      </c>
    </row>
    <row r="6" spans="1:38" ht="14.25" customHeight="1" x14ac:dyDescent="0.35">
      <c r="A6" s="171"/>
      <c r="B6" s="167"/>
      <c r="C6" s="127"/>
      <c r="D6" s="118"/>
      <c r="E6" s="102"/>
      <c r="F6" s="103"/>
      <c r="G6" s="102"/>
      <c r="H6" s="102"/>
      <c r="I6" s="102"/>
      <c r="J6" s="102"/>
      <c r="K6" s="103"/>
      <c r="L6" s="102"/>
      <c r="M6" s="102"/>
      <c r="N6" s="102"/>
      <c r="O6" s="102"/>
      <c r="P6" s="103"/>
      <c r="Q6" s="102"/>
      <c r="R6" s="102"/>
      <c r="S6" s="102"/>
      <c r="T6" s="102"/>
      <c r="U6" s="102"/>
      <c r="V6" s="102"/>
      <c r="W6" s="104"/>
      <c r="Y6" s="1">
        <f t="shared" si="1"/>
        <v>0</v>
      </c>
      <c r="Z6" s="1" t="str">
        <f>IF(ROW(AA6)-2&lt;=MAX($C$3:$W$44),ROW(AA6)-2,"")</f>
        <v/>
      </c>
    </row>
    <row r="7" spans="1:38" ht="14.25" customHeight="1" x14ac:dyDescent="0.35">
      <c r="A7" s="171"/>
      <c r="B7" s="166">
        <f>Neu!B6</f>
        <v>0</v>
      </c>
      <c r="C7" s="125"/>
      <c r="D7" s="116"/>
      <c r="E7" s="114"/>
      <c r="F7" s="109"/>
      <c r="G7" s="116"/>
      <c r="H7" s="116"/>
      <c r="I7" s="116"/>
      <c r="J7" s="116"/>
      <c r="K7" s="109"/>
      <c r="L7" s="116"/>
      <c r="M7" s="116"/>
      <c r="N7" s="116"/>
      <c r="O7" s="116"/>
      <c r="P7" s="109"/>
      <c r="Q7" s="116"/>
      <c r="R7" s="116"/>
      <c r="S7" s="116"/>
      <c r="T7" s="116"/>
      <c r="U7" s="116"/>
      <c r="V7" s="116"/>
      <c r="W7" s="126"/>
      <c r="Y7" s="1">
        <f t="shared" si="1"/>
        <v>0</v>
      </c>
      <c r="Z7" s="1" t="str">
        <f>IF(ROW(AA7)-2&lt;=MAX($C$3:$W$44),ROW(AA7)-2,"")</f>
        <v/>
      </c>
    </row>
    <row r="8" spans="1:38" ht="14.25" customHeight="1" x14ac:dyDescent="0.35">
      <c r="A8" s="171"/>
      <c r="B8" s="167"/>
      <c r="C8" s="127"/>
      <c r="D8" s="102"/>
      <c r="E8" s="118"/>
      <c r="F8" s="103"/>
      <c r="G8" s="102"/>
      <c r="H8" s="102"/>
      <c r="I8" s="102"/>
      <c r="J8" s="102"/>
      <c r="K8" s="103"/>
      <c r="L8" s="102"/>
      <c r="M8" s="102"/>
      <c r="N8" s="102"/>
      <c r="O8" s="102"/>
      <c r="P8" s="103"/>
      <c r="Q8" s="102"/>
      <c r="R8" s="102"/>
      <c r="S8" s="102"/>
      <c r="T8" s="102"/>
      <c r="U8" s="102"/>
      <c r="V8" s="102"/>
      <c r="W8" s="104"/>
      <c r="Y8" s="1">
        <f t="shared" si="1"/>
        <v>0</v>
      </c>
      <c r="Z8" s="1" t="str">
        <f>IF(ROW(AA8)-2&lt;=MAX($C$3:$W$44),ROW(AA8)-2,"")</f>
        <v/>
      </c>
    </row>
    <row r="9" spans="1:38" ht="14.25" customHeight="1" x14ac:dyDescent="0.35">
      <c r="A9" s="171"/>
      <c r="B9" s="166">
        <f>Neu!B7</f>
        <v>0</v>
      </c>
      <c r="C9" s="125"/>
      <c r="D9" s="116"/>
      <c r="E9" s="116"/>
      <c r="F9" s="107"/>
      <c r="G9" s="116"/>
      <c r="H9" s="116"/>
      <c r="I9" s="116"/>
      <c r="J9" s="116"/>
      <c r="K9" s="109"/>
      <c r="L9" s="116"/>
      <c r="M9" s="116"/>
      <c r="N9" s="116"/>
      <c r="O9" s="116"/>
      <c r="P9" s="109"/>
      <c r="Q9" s="116"/>
      <c r="R9" s="116"/>
      <c r="S9" s="116"/>
      <c r="T9" s="116"/>
      <c r="U9" s="116"/>
      <c r="V9" s="116"/>
      <c r="W9" s="126"/>
      <c r="Y9" s="1">
        <f t="shared" si="1"/>
        <v>0</v>
      </c>
      <c r="Z9" s="1" t="str">
        <f t="shared" si="0"/>
        <v/>
      </c>
      <c r="AK9" s="70" t="s">
        <v>152</v>
      </c>
    </row>
    <row r="10" spans="1:38" ht="14.25" customHeight="1" x14ac:dyDescent="0.35">
      <c r="A10" s="171"/>
      <c r="B10" s="167"/>
      <c r="C10" s="127"/>
      <c r="D10" s="102"/>
      <c r="E10" s="102"/>
      <c r="F10" s="111"/>
      <c r="G10" s="102"/>
      <c r="H10" s="102"/>
      <c r="I10" s="102"/>
      <c r="J10" s="102"/>
      <c r="K10" s="103"/>
      <c r="L10" s="102"/>
      <c r="M10" s="102"/>
      <c r="N10" s="102"/>
      <c r="O10" s="102"/>
      <c r="P10" s="103"/>
      <c r="Q10" s="102"/>
      <c r="R10" s="102"/>
      <c r="S10" s="102"/>
      <c r="T10" s="102"/>
      <c r="U10" s="102"/>
      <c r="V10" s="102"/>
      <c r="W10" s="104"/>
      <c r="Y10" s="1">
        <f t="shared" si="1"/>
        <v>0</v>
      </c>
      <c r="Z10" s="1" t="str">
        <f t="shared" si="0"/>
        <v/>
      </c>
      <c r="AL10" s="70"/>
    </row>
    <row r="11" spans="1:38" ht="14.25" customHeight="1" x14ac:dyDescent="0.35">
      <c r="A11" s="171"/>
      <c r="B11" s="166">
        <f>Neu!B8</f>
        <v>0</v>
      </c>
      <c r="C11" s="125"/>
      <c r="D11" s="116"/>
      <c r="E11" s="116"/>
      <c r="F11" s="109"/>
      <c r="G11" s="114"/>
      <c r="H11" s="116"/>
      <c r="I11" s="116"/>
      <c r="J11" s="116"/>
      <c r="K11" s="109"/>
      <c r="L11" s="116"/>
      <c r="M11" s="116"/>
      <c r="N11" s="116"/>
      <c r="O11" s="116"/>
      <c r="P11" s="109"/>
      <c r="Q11" s="116"/>
      <c r="R11" s="116"/>
      <c r="S11" s="116"/>
      <c r="T11" s="116"/>
      <c r="U11" s="116"/>
      <c r="V11" s="116"/>
      <c r="W11" s="126"/>
      <c r="Y11" s="1">
        <f t="shared" si="1"/>
        <v>0</v>
      </c>
      <c r="Z11" s="1" t="str">
        <f t="shared" si="0"/>
        <v/>
      </c>
    </row>
    <row r="12" spans="1:38" ht="14.25" customHeight="1" x14ac:dyDescent="0.35">
      <c r="A12" s="171"/>
      <c r="B12" s="167"/>
      <c r="C12" s="127"/>
      <c r="D12" s="102"/>
      <c r="E12" s="102"/>
      <c r="F12" s="103"/>
      <c r="G12" s="118"/>
      <c r="H12" s="102"/>
      <c r="I12" s="102"/>
      <c r="J12" s="102"/>
      <c r="K12" s="103"/>
      <c r="L12" s="102"/>
      <c r="M12" s="102"/>
      <c r="N12" s="102"/>
      <c r="O12" s="102"/>
      <c r="P12" s="103"/>
      <c r="Q12" s="102"/>
      <c r="R12" s="102"/>
      <c r="S12" s="102"/>
      <c r="T12" s="102"/>
      <c r="U12" s="102"/>
      <c r="V12" s="102"/>
      <c r="W12" s="104"/>
      <c r="Y12" s="1">
        <f t="shared" si="1"/>
        <v>0</v>
      </c>
      <c r="Z12" s="1" t="str">
        <f t="shared" si="0"/>
        <v/>
      </c>
    </row>
    <row r="13" spans="1:38" ht="14.25" customHeight="1" x14ac:dyDescent="0.35">
      <c r="A13" s="171"/>
      <c r="B13" s="166">
        <f>Neu!B9</f>
        <v>0</v>
      </c>
      <c r="C13" s="125"/>
      <c r="D13" s="116"/>
      <c r="E13" s="116"/>
      <c r="F13" s="109"/>
      <c r="G13" s="116"/>
      <c r="H13" s="114"/>
      <c r="I13" s="116"/>
      <c r="J13" s="116"/>
      <c r="K13" s="109"/>
      <c r="L13" s="116"/>
      <c r="M13" s="116"/>
      <c r="N13" s="116"/>
      <c r="O13" s="116"/>
      <c r="P13" s="109"/>
      <c r="Q13" s="116"/>
      <c r="R13" s="116"/>
      <c r="S13" s="116"/>
      <c r="T13" s="116"/>
      <c r="U13" s="116"/>
      <c r="V13" s="116"/>
      <c r="W13" s="126"/>
      <c r="Y13" s="1">
        <f t="shared" si="1"/>
        <v>0</v>
      </c>
      <c r="Z13" s="1" t="str">
        <f t="shared" si="0"/>
        <v/>
      </c>
      <c r="AK13" s="144" t="s">
        <v>157</v>
      </c>
    </row>
    <row r="14" spans="1:38" ht="14.25" customHeight="1" x14ac:dyDescent="0.35">
      <c r="A14" s="171"/>
      <c r="B14" s="167"/>
      <c r="C14" s="127"/>
      <c r="D14" s="102"/>
      <c r="E14" s="102"/>
      <c r="F14" s="103"/>
      <c r="G14" s="102"/>
      <c r="H14" s="118"/>
      <c r="I14" s="102"/>
      <c r="J14" s="102"/>
      <c r="K14" s="103"/>
      <c r="L14" s="102"/>
      <c r="M14" s="102"/>
      <c r="N14" s="102"/>
      <c r="O14" s="102"/>
      <c r="P14" s="103"/>
      <c r="Q14" s="102"/>
      <c r="R14" s="102"/>
      <c r="S14" s="102"/>
      <c r="T14" s="102"/>
      <c r="U14" s="102"/>
      <c r="V14" s="102"/>
      <c r="W14" s="104"/>
      <c r="Y14" s="1">
        <f t="shared" si="1"/>
        <v>0</v>
      </c>
      <c r="Z14" s="1" t="str">
        <f t="shared" si="0"/>
        <v/>
      </c>
    </row>
    <row r="15" spans="1:38" ht="14.25" customHeight="1" x14ac:dyDescent="0.35">
      <c r="A15" s="171"/>
      <c r="B15" s="166">
        <f>Neu!B10</f>
        <v>0</v>
      </c>
      <c r="C15" s="125"/>
      <c r="D15" s="116"/>
      <c r="E15" s="116"/>
      <c r="F15" s="109"/>
      <c r="G15" s="116"/>
      <c r="H15" s="116"/>
      <c r="I15" s="114"/>
      <c r="J15" s="116"/>
      <c r="K15" s="109"/>
      <c r="L15" s="116"/>
      <c r="M15" s="116"/>
      <c r="N15" s="116"/>
      <c r="O15" s="116"/>
      <c r="P15" s="109"/>
      <c r="Q15" s="116"/>
      <c r="R15" s="116"/>
      <c r="S15" s="116"/>
      <c r="T15" s="116"/>
      <c r="U15" s="116"/>
      <c r="V15" s="116"/>
      <c r="W15" s="126"/>
      <c r="Y15" s="1">
        <f t="shared" si="1"/>
        <v>0</v>
      </c>
      <c r="Z15" s="1" t="str">
        <f t="shared" si="0"/>
        <v/>
      </c>
    </row>
    <row r="16" spans="1:38" ht="14.25" customHeight="1" x14ac:dyDescent="0.35">
      <c r="A16" s="171"/>
      <c r="B16" s="167"/>
      <c r="C16" s="128"/>
      <c r="D16" s="117"/>
      <c r="E16" s="117"/>
      <c r="F16" s="108"/>
      <c r="G16" s="117"/>
      <c r="H16" s="117"/>
      <c r="I16" s="115"/>
      <c r="J16" s="117"/>
      <c r="K16" s="108"/>
      <c r="L16" s="117"/>
      <c r="M16" s="117"/>
      <c r="N16" s="117"/>
      <c r="O16" s="117"/>
      <c r="P16" s="108"/>
      <c r="Q16" s="117"/>
      <c r="R16" s="117"/>
      <c r="S16" s="117"/>
      <c r="T16" s="117"/>
      <c r="U16" s="117"/>
      <c r="V16" s="117"/>
      <c r="W16" s="124"/>
      <c r="Y16" s="1">
        <f t="shared" si="1"/>
        <v>0</v>
      </c>
      <c r="Z16" s="1" t="str">
        <f t="shared" si="0"/>
        <v/>
      </c>
    </row>
    <row r="17" spans="1:26" ht="14.25" customHeight="1" x14ac:dyDescent="0.35">
      <c r="A17" s="171"/>
      <c r="B17" s="166">
        <f>Neu!B11</f>
        <v>0</v>
      </c>
      <c r="C17" s="125"/>
      <c r="D17" s="116"/>
      <c r="E17" s="116"/>
      <c r="F17" s="109"/>
      <c r="G17" s="116"/>
      <c r="H17" s="116"/>
      <c r="I17" s="116"/>
      <c r="J17" s="114"/>
      <c r="K17" s="109"/>
      <c r="L17" s="116"/>
      <c r="M17" s="116"/>
      <c r="N17" s="116"/>
      <c r="O17" s="116"/>
      <c r="P17" s="109"/>
      <c r="Q17" s="116"/>
      <c r="R17" s="116"/>
      <c r="S17" s="116"/>
      <c r="T17" s="116"/>
      <c r="U17" s="116"/>
      <c r="V17" s="116"/>
      <c r="W17" s="126"/>
      <c r="Y17" s="1">
        <f t="shared" si="1"/>
        <v>0</v>
      </c>
      <c r="Z17" s="1" t="str">
        <f t="shared" si="0"/>
        <v/>
      </c>
    </row>
    <row r="18" spans="1:26" ht="14.25" customHeight="1" x14ac:dyDescent="0.35">
      <c r="A18" s="171"/>
      <c r="B18" s="167"/>
      <c r="C18" s="127"/>
      <c r="D18" s="102"/>
      <c r="E18" s="102"/>
      <c r="F18" s="103"/>
      <c r="G18" s="102"/>
      <c r="H18" s="102"/>
      <c r="I18" s="102"/>
      <c r="J18" s="118"/>
      <c r="K18" s="103"/>
      <c r="L18" s="102"/>
      <c r="M18" s="102"/>
      <c r="N18" s="102"/>
      <c r="O18" s="102"/>
      <c r="P18" s="103"/>
      <c r="Q18" s="102"/>
      <c r="R18" s="102"/>
      <c r="S18" s="102"/>
      <c r="T18" s="102"/>
      <c r="U18" s="102"/>
      <c r="V18" s="102"/>
      <c r="W18" s="104"/>
      <c r="Y18" s="1">
        <f t="shared" si="1"/>
        <v>0</v>
      </c>
      <c r="Z18" s="1" t="str">
        <f>IF(ROW(AA18)-2&lt;=MAX($C$3:$W$44),ROW(AA18)-2,"")</f>
        <v/>
      </c>
    </row>
    <row r="19" spans="1:26" ht="14.25" customHeight="1" x14ac:dyDescent="0.35">
      <c r="A19" s="171"/>
      <c r="B19" s="166">
        <f>Neu!B12</f>
        <v>0</v>
      </c>
      <c r="C19" s="125"/>
      <c r="D19" s="116"/>
      <c r="E19" s="116"/>
      <c r="F19" s="109"/>
      <c r="G19" s="116"/>
      <c r="H19" s="116"/>
      <c r="I19" s="116"/>
      <c r="J19" s="116"/>
      <c r="K19" s="107"/>
      <c r="L19" s="116"/>
      <c r="M19" s="116"/>
      <c r="N19" s="116"/>
      <c r="O19" s="116"/>
      <c r="P19" s="109"/>
      <c r="Q19" s="116"/>
      <c r="R19" s="116"/>
      <c r="S19" s="116"/>
      <c r="T19" s="116"/>
      <c r="U19" s="116"/>
      <c r="V19" s="116"/>
      <c r="W19" s="126"/>
      <c r="Y19" s="1">
        <f t="shared" si="1"/>
        <v>0</v>
      </c>
      <c r="Z19" s="1" t="str">
        <f t="shared" ref="Z19:Z82" si="2">IF(ROW(AA19)-2&lt;=MAX($C$3:$W$44),ROW(AA19)-2,"")</f>
        <v/>
      </c>
    </row>
    <row r="20" spans="1:26" ht="14.25" customHeight="1" x14ac:dyDescent="0.35">
      <c r="A20" s="171"/>
      <c r="B20" s="167"/>
      <c r="C20" s="127"/>
      <c r="D20" s="102"/>
      <c r="E20" s="102"/>
      <c r="F20" s="103"/>
      <c r="G20" s="102"/>
      <c r="H20" s="102"/>
      <c r="I20" s="102"/>
      <c r="J20" s="102"/>
      <c r="K20" s="111"/>
      <c r="L20" s="102"/>
      <c r="M20" s="102"/>
      <c r="N20" s="102"/>
      <c r="O20" s="102"/>
      <c r="P20" s="103"/>
      <c r="Q20" s="102"/>
      <c r="R20" s="102"/>
      <c r="S20" s="102"/>
      <c r="T20" s="102"/>
      <c r="U20" s="102"/>
      <c r="V20" s="102"/>
      <c r="W20" s="104"/>
      <c r="Y20" s="1">
        <f t="shared" si="1"/>
        <v>0</v>
      </c>
      <c r="Z20" s="1" t="str">
        <f t="shared" si="2"/>
        <v/>
      </c>
    </row>
    <row r="21" spans="1:26" ht="14.25" customHeight="1" x14ac:dyDescent="0.35">
      <c r="A21" s="171"/>
      <c r="B21" s="166">
        <f>Neu!B13</f>
        <v>0</v>
      </c>
      <c r="C21" s="125"/>
      <c r="D21" s="116"/>
      <c r="E21" s="116"/>
      <c r="F21" s="109"/>
      <c r="G21" s="116"/>
      <c r="H21" s="116"/>
      <c r="I21" s="116"/>
      <c r="J21" s="116"/>
      <c r="K21" s="109"/>
      <c r="L21" s="114"/>
      <c r="M21" s="116"/>
      <c r="N21" s="116"/>
      <c r="O21" s="116"/>
      <c r="P21" s="109"/>
      <c r="Q21" s="116"/>
      <c r="R21" s="116"/>
      <c r="S21" s="116"/>
      <c r="T21" s="116"/>
      <c r="U21" s="116"/>
      <c r="V21" s="116"/>
      <c r="W21" s="126"/>
      <c r="Y21" s="1">
        <f t="shared" si="1"/>
        <v>0</v>
      </c>
      <c r="Z21" s="1" t="str">
        <f t="shared" si="2"/>
        <v/>
      </c>
    </row>
    <row r="22" spans="1:26" ht="14.25" customHeight="1" x14ac:dyDescent="0.35">
      <c r="A22" s="171"/>
      <c r="B22" s="167"/>
      <c r="C22" s="127"/>
      <c r="D22" s="102"/>
      <c r="E22" s="102"/>
      <c r="F22" s="103"/>
      <c r="G22" s="102"/>
      <c r="H22" s="102"/>
      <c r="I22" s="102"/>
      <c r="J22" s="102"/>
      <c r="K22" s="103"/>
      <c r="L22" s="118"/>
      <c r="M22" s="102"/>
      <c r="N22" s="102"/>
      <c r="O22" s="102"/>
      <c r="P22" s="103"/>
      <c r="Q22" s="102"/>
      <c r="R22" s="102"/>
      <c r="S22" s="102"/>
      <c r="T22" s="102"/>
      <c r="U22" s="102"/>
      <c r="V22" s="102"/>
      <c r="W22" s="104"/>
      <c r="Y22" s="1">
        <f t="shared" si="1"/>
        <v>0</v>
      </c>
      <c r="Z22" s="1" t="str">
        <f t="shared" si="2"/>
        <v/>
      </c>
    </row>
    <row r="23" spans="1:26" ht="14.25" customHeight="1" x14ac:dyDescent="0.35">
      <c r="A23" s="171"/>
      <c r="B23" s="166">
        <f>Neu!B14</f>
        <v>0</v>
      </c>
      <c r="C23" s="125"/>
      <c r="D23" s="116"/>
      <c r="E23" s="116"/>
      <c r="F23" s="109"/>
      <c r="G23" s="116"/>
      <c r="H23" s="116"/>
      <c r="I23" s="116"/>
      <c r="J23" s="116"/>
      <c r="K23" s="109"/>
      <c r="L23" s="116"/>
      <c r="M23" s="114"/>
      <c r="N23" s="116"/>
      <c r="O23" s="116"/>
      <c r="P23" s="109"/>
      <c r="Q23" s="116"/>
      <c r="R23" s="116"/>
      <c r="S23" s="116"/>
      <c r="T23" s="116"/>
      <c r="U23" s="116"/>
      <c r="V23" s="116"/>
      <c r="W23" s="126"/>
      <c r="Y23" s="1">
        <f t="shared" si="1"/>
        <v>0</v>
      </c>
      <c r="Z23" s="1" t="str">
        <f t="shared" si="2"/>
        <v/>
      </c>
    </row>
    <row r="24" spans="1:26" ht="14.25" customHeight="1" x14ac:dyDescent="0.35">
      <c r="A24" s="171"/>
      <c r="B24" s="167"/>
      <c r="C24" s="128"/>
      <c r="D24" s="117"/>
      <c r="E24" s="117"/>
      <c r="F24" s="108"/>
      <c r="G24" s="117"/>
      <c r="H24" s="117"/>
      <c r="I24" s="117"/>
      <c r="J24" s="117"/>
      <c r="K24" s="108"/>
      <c r="L24" s="117"/>
      <c r="M24" s="115"/>
      <c r="N24" s="117"/>
      <c r="O24" s="117"/>
      <c r="P24" s="108"/>
      <c r="Q24" s="117"/>
      <c r="R24" s="117"/>
      <c r="S24" s="117"/>
      <c r="T24" s="117"/>
      <c r="U24" s="117"/>
      <c r="V24" s="117"/>
      <c r="W24" s="124"/>
      <c r="Y24" s="1">
        <f t="shared" si="1"/>
        <v>0</v>
      </c>
      <c r="Z24" s="1" t="str">
        <f t="shared" si="2"/>
        <v/>
      </c>
    </row>
    <row r="25" spans="1:26" ht="14.25" customHeight="1" x14ac:dyDescent="0.35">
      <c r="A25" s="171"/>
      <c r="B25" s="166">
        <f>Neu!B15</f>
        <v>0</v>
      </c>
      <c r="C25" s="125"/>
      <c r="D25" s="116"/>
      <c r="E25" s="116"/>
      <c r="F25" s="109"/>
      <c r="G25" s="116"/>
      <c r="H25" s="116"/>
      <c r="I25" s="116"/>
      <c r="J25" s="116"/>
      <c r="K25" s="109"/>
      <c r="L25" s="116"/>
      <c r="M25" s="116"/>
      <c r="N25" s="114"/>
      <c r="O25" s="116"/>
      <c r="P25" s="109"/>
      <c r="Q25" s="116"/>
      <c r="R25" s="116"/>
      <c r="S25" s="116"/>
      <c r="T25" s="116"/>
      <c r="U25" s="116"/>
      <c r="V25" s="116"/>
      <c r="W25" s="126"/>
      <c r="Y25" s="1">
        <f t="shared" si="1"/>
        <v>0</v>
      </c>
      <c r="Z25" s="1" t="str">
        <f t="shared" si="2"/>
        <v/>
      </c>
    </row>
    <row r="26" spans="1:26" ht="14.25" customHeight="1" x14ac:dyDescent="0.35">
      <c r="A26" s="171"/>
      <c r="B26" s="167"/>
      <c r="C26" s="127"/>
      <c r="D26" s="102"/>
      <c r="E26" s="102"/>
      <c r="F26" s="103"/>
      <c r="G26" s="102"/>
      <c r="H26" s="102"/>
      <c r="I26" s="102"/>
      <c r="J26" s="102"/>
      <c r="K26" s="103"/>
      <c r="L26" s="102"/>
      <c r="M26" s="102"/>
      <c r="N26" s="118"/>
      <c r="O26" s="102"/>
      <c r="P26" s="103"/>
      <c r="Q26" s="102"/>
      <c r="R26" s="102"/>
      <c r="S26" s="102"/>
      <c r="T26" s="102"/>
      <c r="U26" s="102"/>
      <c r="V26" s="102"/>
      <c r="W26" s="104"/>
      <c r="Y26" s="1">
        <f t="shared" si="1"/>
        <v>0</v>
      </c>
      <c r="Z26" s="1" t="str">
        <f t="shared" si="2"/>
        <v/>
      </c>
    </row>
    <row r="27" spans="1:26" ht="14.25" customHeight="1" x14ac:dyDescent="0.35">
      <c r="A27" s="171"/>
      <c r="B27" s="166">
        <f>Neu!B16</f>
        <v>0</v>
      </c>
      <c r="C27" s="125"/>
      <c r="D27" s="116"/>
      <c r="E27" s="116"/>
      <c r="F27" s="109"/>
      <c r="G27" s="116"/>
      <c r="H27" s="116"/>
      <c r="I27" s="116"/>
      <c r="J27" s="116"/>
      <c r="K27" s="109"/>
      <c r="L27" s="116"/>
      <c r="M27" s="116"/>
      <c r="N27" s="116"/>
      <c r="O27" s="114"/>
      <c r="P27" s="109"/>
      <c r="Q27" s="116"/>
      <c r="R27" s="116"/>
      <c r="S27" s="116"/>
      <c r="T27" s="116"/>
      <c r="U27" s="116"/>
      <c r="V27" s="116"/>
      <c r="W27" s="126"/>
      <c r="Y27" s="1">
        <f t="shared" si="1"/>
        <v>0</v>
      </c>
      <c r="Z27" s="1" t="str">
        <f t="shared" si="2"/>
        <v/>
      </c>
    </row>
    <row r="28" spans="1:26" ht="14.25" customHeight="1" x14ac:dyDescent="0.35">
      <c r="A28" s="171"/>
      <c r="B28" s="167"/>
      <c r="C28" s="127"/>
      <c r="D28" s="102"/>
      <c r="E28" s="102"/>
      <c r="F28" s="103"/>
      <c r="G28" s="102"/>
      <c r="H28" s="102"/>
      <c r="I28" s="102"/>
      <c r="J28" s="102"/>
      <c r="K28" s="103"/>
      <c r="L28" s="102"/>
      <c r="M28" s="102"/>
      <c r="N28" s="102"/>
      <c r="O28" s="118"/>
      <c r="P28" s="103"/>
      <c r="Q28" s="102"/>
      <c r="R28" s="102"/>
      <c r="S28" s="102"/>
      <c r="T28" s="102"/>
      <c r="U28" s="102"/>
      <c r="V28" s="102"/>
      <c r="W28" s="104"/>
      <c r="Y28" s="1">
        <f t="shared" si="1"/>
        <v>0</v>
      </c>
      <c r="Z28" s="1" t="str">
        <f t="shared" si="2"/>
        <v/>
      </c>
    </row>
    <row r="29" spans="1:26" ht="14.25" customHeight="1" x14ac:dyDescent="0.35">
      <c r="A29" s="171"/>
      <c r="B29" s="166">
        <f>Neu!B17</f>
        <v>0</v>
      </c>
      <c r="C29" s="125"/>
      <c r="D29" s="116"/>
      <c r="E29" s="116"/>
      <c r="F29" s="109"/>
      <c r="G29" s="116"/>
      <c r="H29" s="116"/>
      <c r="I29" s="116"/>
      <c r="J29" s="116"/>
      <c r="K29" s="109"/>
      <c r="L29" s="116"/>
      <c r="M29" s="116"/>
      <c r="N29" s="116"/>
      <c r="O29" s="116"/>
      <c r="P29" s="107"/>
      <c r="Q29" s="116"/>
      <c r="R29" s="116"/>
      <c r="S29" s="116"/>
      <c r="T29" s="116"/>
      <c r="U29" s="116"/>
      <c r="V29" s="116"/>
      <c r="W29" s="126"/>
      <c r="Y29" s="1">
        <f t="shared" si="1"/>
        <v>0</v>
      </c>
      <c r="Z29" s="1" t="str">
        <f t="shared" si="2"/>
        <v/>
      </c>
    </row>
    <row r="30" spans="1:26" ht="14.25" customHeight="1" x14ac:dyDescent="0.35">
      <c r="A30" s="171"/>
      <c r="B30" s="167"/>
      <c r="C30" s="127"/>
      <c r="D30" s="102"/>
      <c r="E30" s="102"/>
      <c r="F30" s="103"/>
      <c r="G30" s="102"/>
      <c r="H30" s="102"/>
      <c r="I30" s="102"/>
      <c r="J30" s="102"/>
      <c r="K30" s="103"/>
      <c r="L30" s="102"/>
      <c r="M30" s="102"/>
      <c r="N30" s="102"/>
      <c r="O30" s="102"/>
      <c r="P30" s="111"/>
      <c r="Q30" s="102"/>
      <c r="R30" s="102"/>
      <c r="S30" s="102"/>
      <c r="T30" s="102"/>
      <c r="U30" s="102"/>
      <c r="V30" s="102"/>
      <c r="W30" s="104"/>
      <c r="Y30" s="1">
        <f t="shared" si="1"/>
        <v>0</v>
      </c>
      <c r="Z30" s="1" t="str">
        <f t="shared" si="2"/>
        <v/>
      </c>
    </row>
    <row r="31" spans="1:26" ht="14.25" customHeight="1" x14ac:dyDescent="0.35">
      <c r="A31" s="171"/>
      <c r="B31" s="166">
        <f>Neu!B18</f>
        <v>0</v>
      </c>
      <c r="C31" s="125"/>
      <c r="D31" s="116"/>
      <c r="E31" s="116"/>
      <c r="F31" s="109"/>
      <c r="G31" s="116"/>
      <c r="H31" s="116"/>
      <c r="I31" s="116"/>
      <c r="J31" s="116"/>
      <c r="K31" s="109"/>
      <c r="L31" s="116"/>
      <c r="M31" s="116"/>
      <c r="N31" s="116"/>
      <c r="O31" s="116"/>
      <c r="P31" s="109"/>
      <c r="Q31" s="114"/>
      <c r="R31" s="116"/>
      <c r="S31" s="116"/>
      <c r="T31" s="116"/>
      <c r="U31" s="116"/>
      <c r="V31" s="116"/>
      <c r="W31" s="126"/>
      <c r="Y31" s="1">
        <f t="shared" si="1"/>
        <v>0</v>
      </c>
      <c r="Z31" s="1" t="str">
        <f t="shared" si="2"/>
        <v/>
      </c>
    </row>
    <row r="32" spans="1:26" ht="14.25" customHeight="1" x14ac:dyDescent="0.35">
      <c r="A32" s="171"/>
      <c r="B32" s="167"/>
      <c r="C32" s="128"/>
      <c r="D32" s="117"/>
      <c r="E32" s="117"/>
      <c r="F32" s="108"/>
      <c r="G32" s="117"/>
      <c r="H32" s="117"/>
      <c r="I32" s="117"/>
      <c r="J32" s="117"/>
      <c r="K32" s="108"/>
      <c r="L32" s="117"/>
      <c r="M32" s="117"/>
      <c r="N32" s="117"/>
      <c r="O32" s="117"/>
      <c r="P32" s="108"/>
      <c r="Q32" s="115"/>
      <c r="R32" s="117"/>
      <c r="S32" s="117"/>
      <c r="T32" s="117"/>
      <c r="U32" s="117"/>
      <c r="V32" s="117"/>
      <c r="W32" s="124"/>
      <c r="Y32" s="1">
        <f t="shared" si="1"/>
        <v>0</v>
      </c>
      <c r="Z32" s="1" t="str">
        <f t="shared" si="2"/>
        <v/>
      </c>
    </row>
    <row r="33" spans="1:26" ht="14.25" customHeight="1" x14ac:dyDescent="0.35">
      <c r="A33" s="171"/>
      <c r="B33" s="166">
        <f>Neu!B19</f>
        <v>0</v>
      </c>
      <c r="C33" s="125"/>
      <c r="D33" s="116"/>
      <c r="E33" s="116"/>
      <c r="F33" s="109"/>
      <c r="G33" s="116"/>
      <c r="H33" s="116"/>
      <c r="I33" s="116"/>
      <c r="J33" s="116"/>
      <c r="K33" s="109"/>
      <c r="L33" s="116"/>
      <c r="M33" s="116"/>
      <c r="N33" s="116"/>
      <c r="O33" s="116"/>
      <c r="P33" s="109"/>
      <c r="Q33" s="116"/>
      <c r="R33" s="114"/>
      <c r="S33" s="116"/>
      <c r="T33" s="116"/>
      <c r="U33" s="116"/>
      <c r="V33" s="116"/>
      <c r="W33" s="126"/>
      <c r="Y33" s="1">
        <f t="shared" si="1"/>
        <v>0</v>
      </c>
      <c r="Z33" s="1" t="str">
        <f t="shared" si="2"/>
        <v/>
      </c>
    </row>
    <row r="34" spans="1:26" ht="14.25" customHeight="1" x14ac:dyDescent="0.35">
      <c r="A34" s="171"/>
      <c r="B34" s="167"/>
      <c r="C34" s="127"/>
      <c r="D34" s="102"/>
      <c r="E34" s="102"/>
      <c r="F34" s="103"/>
      <c r="G34" s="102"/>
      <c r="H34" s="102"/>
      <c r="I34" s="102"/>
      <c r="J34" s="102"/>
      <c r="K34" s="103"/>
      <c r="L34" s="102"/>
      <c r="M34" s="102"/>
      <c r="N34" s="102"/>
      <c r="O34" s="102"/>
      <c r="P34" s="103"/>
      <c r="Q34" s="102"/>
      <c r="R34" s="118"/>
      <c r="S34" s="102"/>
      <c r="T34" s="102"/>
      <c r="U34" s="102"/>
      <c r="V34" s="102"/>
      <c r="W34" s="104"/>
      <c r="Y34" s="1">
        <f t="shared" si="1"/>
        <v>0</v>
      </c>
      <c r="Z34" s="1" t="str">
        <f t="shared" si="2"/>
        <v/>
      </c>
    </row>
    <row r="35" spans="1:26" ht="14.25" customHeight="1" x14ac:dyDescent="0.35">
      <c r="A35" s="171"/>
      <c r="B35" s="166">
        <f>Neu!B20</f>
        <v>0</v>
      </c>
      <c r="C35" s="125"/>
      <c r="D35" s="116"/>
      <c r="E35" s="116"/>
      <c r="F35" s="109"/>
      <c r="G35" s="116"/>
      <c r="H35" s="116"/>
      <c r="I35" s="116"/>
      <c r="J35" s="116"/>
      <c r="K35" s="109"/>
      <c r="L35" s="116"/>
      <c r="M35" s="116"/>
      <c r="N35" s="116"/>
      <c r="O35" s="116"/>
      <c r="P35" s="109"/>
      <c r="Q35" s="116"/>
      <c r="R35" s="116"/>
      <c r="S35" s="114"/>
      <c r="T35" s="116"/>
      <c r="U35" s="116"/>
      <c r="V35" s="116"/>
      <c r="W35" s="126"/>
      <c r="Y35" s="1">
        <f t="shared" si="1"/>
        <v>0</v>
      </c>
      <c r="Z35" s="1" t="str">
        <f t="shared" si="2"/>
        <v/>
      </c>
    </row>
    <row r="36" spans="1:26" ht="14.25" customHeight="1" x14ac:dyDescent="0.35">
      <c r="A36" s="171"/>
      <c r="B36" s="167"/>
      <c r="C36" s="127"/>
      <c r="D36" s="102"/>
      <c r="E36" s="102"/>
      <c r="F36" s="103"/>
      <c r="G36" s="102"/>
      <c r="H36" s="102"/>
      <c r="I36" s="102"/>
      <c r="J36" s="102"/>
      <c r="K36" s="103"/>
      <c r="L36" s="102"/>
      <c r="M36" s="102"/>
      <c r="N36" s="102"/>
      <c r="O36" s="102"/>
      <c r="P36" s="103"/>
      <c r="Q36" s="102"/>
      <c r="R36" s="102"/>
      <c r="S36" s="118"/>
      <c r="T36" s="102"/>
      <c r="U36" s="102"/>
      <c r="V36" s="102"/>
      <c r="W36" s="104"/>
      <c r="Y36" s="1">
        <f t="shared" si="1"/>
        <v>0</v>
      </c>
      <c r="Z36" s="1" t="str">
        <f t="shared" si="2"/>
        <v/>
      </c>
    </row>
    <row r="37" spans="1:26" ht="14.25" customHeight="1" x14ac:dyDescent="0.35">
      <c r="A37" s="171"/>
      <c r="B37" s="166">
        <f>Neu!B21</f>
        <v>0</v>
      </c>
      <c r="C37" s="125"/>
      <c r="D37" s="116"/>
      <c r="E37" s="116"/>
      <c r="F37" s="109"/>
      <c r="G37" s="116"/>
      <c r="H37" s="116"/>
      <c r="I37" s="116"/>
      <c r="J37" s="116"/>
      <c r="K37" s="109"/>
      <c r="L37" s="116"/>
      <c r="M37" s="116"/>
      <c r="N37" s="116"/>
      <c r="O37" s="116"/>
      <c r="P37" s="109"/>
      <c r="Q37" s="116"/>
      <c r="R37" s="116"/>
      <c r="S37" s="116"/>
      <c r="T37" s="114"/>
      <c r="U37" s="116"/>
      <c r="V37" s="116"/>
      <c r="W37" s="126"/>
      <c r="Y37" s="1">
        <f t="shared" si="1"/>
        <v>0</v>
      </c>
      <c r="Z37" s="1" t="str">
        <f t="shared" si="2"/>
        <v/>
      </c>
    </row>
    <row r="38" spans="1:26" ht="14.25" customHeight="1" x14ac:dyDescent="0.35">
      <c r="A38" s="171"/>
      <c r="B38" s="167"/>
      <c r="C38" s="127"/>
      <c r="D38" s="102"/>
      <c r="E38" s="102"/>
      <c r="F38" s="103"/>
      <c r="G38" s="102"/>
      <c r="H38" s="102"/>
      <c r="I38" s="102"/>
      <c r="J38" s="102"/>
      <c r="K38" s="103"/>
      <c r="L38" s="102"/>
      <c r="M38" s="102"/>
      <c r="N38" s="102"/>
      <c r="O38" s="102"/>
      <c r="P38" s="103"/>
      <c r="Q38" s="102"/>
      <c r="R38" s="102"/>
      <c r="S38" s="102"/>
      <c r="T38" s="118"/>
      <c r="U38" s="102"/>
      <c r="V38" s="102"/>
      <c r="W38" s="104"/>
      <c r="Y38" s="1">
        <f t="shared" si="1"/>
        <v>0</v>
      </c>
      <c r="Z38" s="1" t="str">
        <f t="shared" si="2"/>
        <v/>
      </c>
    </row>
    <row r="39" spans="1:26" ht="14.25" customHeight="1" x14ac:dyDescent="0.35">
      <c r="A39" s="171"/>
      <c r="B39" s="166">
        <f>Neu!B22</f>
        <v>0</v>
      </c>
      <c r="C39" s="125"/>
      <c r="D39" s="116"/>
      <c r="E39" s="116"/>
      <c r="F39" s="109"/>
      <c r="G39" s="116"/>
      <c r="H39" s="116"/>
      <c r="I39" s="116"/>
      <c r="J39" s="116"/>
      <c r="K39" s="109"/>
      <c r="L39" s="116"/>
      <c r="M39" s="116"/>
      <c r="N39" s="116"/>
      <c r="O39" s="116"/>
      <c r="P39" s="109"/>
      <c r="Q39" s="116"/>
      <c r="R39" s="116"/>
      <c r="S39" s="116"/>
      <c r="T39" s="116"/>
      <c r="U39" s="114"/>
      <c r="V39" s="116"/>
      <c r="W39" s="126"/>
      <c r="Y39" s="1">
        <f t="shared" si="1"/>
        <v>0</v>
      </c>
      <c r="Z39" s="1" t="str">
        <f t="shared" si="2"/>
        <v/>
      </c>
    </row>
    <row r="40" spans="1:26" ht="14.25" customHeight="1" x14ac:dyDescent="0.35">
      <c r="A40" s="171"/>
      <c r="B40" s="167"/>
      <c r="C40" s="127"/>
      <c r="D40" s="102"/>
      <c r="E40" s="102"/>
      <c r="F40" s="103"/>
      <c r="G40" s="102"/>
      <c r="H40" s="102"/>
      <c r="I40" s="102"/>
      <c r="J40" s="102"/>
      <c r="K40" s="103"/>
      <c r="L40" s="102"/>
      <c r="M40" s="102"/>
      <c r="N40" s="102"/>
      <c r="O40" s="102"/>
      <c r="P40" s="103"/>
      <c r="Q40" s="102"/>
      <c r="R40" s="102"/>
      <c r="S40" s="102"/>
      <c r="T40" s="102"/>
      <c r="U40" s="118"/>
      <c r="V40" s="102"/>
      <c r="W40" s="104"/>
      <c r="Y40" s="1">
        <f t="shared" si="1"/>
        <v>0</v>
      </c>
      <c r="Z40" s="1" t="str">
        <f t="shared" si="2"/>
        <v/>
      </c>
    </row>
    <row r="41" spans="1:26" ht="14.25" customHeight="1" x14ac:dyDescent="0.35">
      <c r="A41" s="171"/>
      <c r="B41" s="166">
        <f>Neu!B23</f>
        <v>0</v>
      </c>
      <c r="C41" s="125"/>
      <c r="D41" s="116"/>
      <c r="E41" s="116"/>
      <c r="F41" s="109"/>
      <c r="G41" s="116"/>
      <c r="H41" s="116"/>
      <c r="I41" s="116"/>
      <c r="J41" s="116"/>
      <c r="K41" s="109"/>
      <c r="L41" s="116"/>
      <c r="M41" s="116"/>
      <c r="N41" s="116"/>
      <c r="O41" s="116"/>
      <c r="P41" s="109"/>
      <c r="Q41" s="116"/>
      <c r="R41" s="116"/>
      <c r="S41" s="116"/>
      <c r="T41" s="116"/>
      <c r="U41" s="116"/>
      <c r="V41" s="114"/>
      <c r="W41" s="126"/>
      <c r="Y41" s="1">
        <f t="shared" si="1"/>
        <v>0</v>
      </c>
      <c r="Z41" s="1" t="str">
        <f t="shared" si="2"/>
        <v/>
      </c>
    </row>
    <row r="42" spans="1:26" ht="14.25" customHeight="1" x14ac:dyDescent="0.35">
      <c r="A42" s="171"/>
      <c r="B42" s="167"/>
      <c r="C42" s="127"/>
      <c r="D42" s="102"/>
      <c r="E42" s="102"/>
      <c r="F42" s="103"/>
      <c r="G42" s="102"/>
      <c r="H42" s="102"/>
      <c r="I42" s="102"/>
      <c r="J42" s="102"/>
      <c r="K42" s="103"/>
      <c r="L42" s="102"/>
      <c r="M42" s="102"/>
      <c r="N42" s="102"/>
      <c r="O42" s="102"/>
      <c r="P42" s="103"/>
      <c r="Q42" s="102"/>
      <c r="R42" s="102"/>
      <c r="S42" s="102"/>
      <c r="T42" s="102"/>
      <c r="U42" s="102"/>
      <c r="V42" s="118"/>
      <c r="W42" s="104"/>
      <c r="Y42" s="1">
        <f t="shared" si="1"/>
        <v>0</v>
      </c>
      <c r="Z42" s="1" t="str">
        <f t="shared" si="2"/>
        <v/>
      </c>
    </row>
    <row r="43" spans="1:26" ht="14.25" customHeight="1" x14ac:dyDescent="0.35">
      <c r="A43" s="171"/>
      <c r="B43" s="166">
        <f>Neu!B24</f>
        <v>0</v>
      </c>
      <c r="C43" s="125"/>
      <c r="D43" s="116"/>
      <c r="E43" s="116"/>
      <c r="F43" s="109"/>
      <c r="G43" s="116"/>
      <c r="H43" s="116"/>
      <c r="I43" s="116"/>
      <c r="J43" s="116"/>
      <c r="K43" s="109"/>
      <c r="L43" s="116"/>
      <c r="M43" s="116"/>
      <c r="N43" s="116"/>
      <c r="O43" s="116"/>
      <c r="P43" s="109"/>
      <c r="Q43" s="116"/>
      <c r="R43" s="116"/>
      <c r="S43" s="116"/>
      <c r="T43" s="116"/>
      <c r="U43" s="116"/>
      <c r="V43" s="116"/>
      <c r="W43" s="129"/>
      <c r="Y43" s="1">
        <f t="shared" si="1"/>
        <v>0</v>
      </c>
      <c r="Z43" s="1" t="str">
        <f t="shared" si="2"/>
        <v/>
      </c>
    </row>
    <row r="44" spans="1:26" ht="14.25" customHeight="1" thickBot="1" x14ac:dyDescent="0.4">
      <c r="A44" s="113"/>
      <c r="B44" s="168"/>
      <c r="C44" s="130"/>
      <c r="D44" s="131"/>
      <c r="E44" s="131"/>
      <c r="F44" s="132"/>
      <c r="G44" s="131"/>
      <c r="H44" s="131"/>
      <c r="I44" s="131"/>
      <c r="J44" s="131"/>
      <c r="K44" s="132"/>
      <c r="L44" s="131"/>
      <c r="M44" s="131"/>
      <c r="N44" s="131"/>
      <c r="O44" s="131"/>
      <c r="P44" s="132"/>
      <c r="Q44" s="131"/>
      <c r="R44" s="131"/>
      <c r="S44" s="131"/>
      <c r="T44" s="131"/>
      <c r="U44" s="131"/>
      <c r="V44" s="131"/>
      <c r="W44" s="133"/>
      <c r="Z44" s="1" t="str">
        <f t="shared" si="2"/>
        <v/>
      </c>
    </row>
    <row r="45" spans="1:26" x14ac:dyDescent="0.35">
      <c r="V45" s="101" t="s">
        <v>153</v>
      </c>
      <c r="W45" s="1">
        <f>(MAX(Z:Z)+MIN(Z:Z))/2</f>
        <v>0</v>
      </c>
      <c r="Z45" s="1" t="str">
        <f t="shared" si="2"/>
        <v/>
      </c>
    </row>
    <row r="46" spans="1:26" x14ac:dyDescent="0.35">
      <c r="Z46" s="1" t="str">
        <f t="shared" si="2"/>
        <v/>
      </c>
    </row>
    <row r="47" spans="1:26" x14ac:dyDescent="0.35">
      <c r="Z47" s="1" t="str">
        <f t="shared" si="2"/>
        <v/>
      </c>
    </row>
    <row r="48" spans="1:26" x14ac:dyDescent="0.35">
      <c r="Z48" s="1" t="str">
        <f t="shared" si="2"/>
        <v/>
      </c>
    </row>
    <row r="49" spans="26:26" x14ac:dyDescent="0.35">
      <c r="Z49" s="1" t="str">
        <f t="shared" si="2"/>
        <v/>
      </c>
    </row>
    <row r="50" spans="26:26" x14ac:dyDescent="0.35">
      <c r="Z50" s="1" t="str">
        <f t="shared" si="2"/>
        <v/>
      </c>
    </row>
    <row r="51" spans="26:26" x14ac:dyDescent="0.35">
      <c r="Z51" s="1" t="str">
        <f t="shared" si="2"/>
        <v/>
      </c>
    </row>
    <row r="52" spans="26:26" x14ac:dyDescent="0.35">
      <c r="Z52" s="1" t="str">
        <f t="shared" si="2"/>
        <v/>
      </c>
    </row>
    <row r="53" spans="26:26" x14ac:dyDescent="0.35">
      <c r="Z53" s="1" t="str">
        <f t="shared" si="2"/>
        <v/>
      </c>
    </row>
    <row r="54" spans="26:26" x14ac:dyDescent="0.35">
      <c r="Z54" s="1" t="str">
        <f t="shared" si="2"/>
        <v/>
      </c>
    </row>
    <row r="55" spans="26:26" x14ac:dyDescent="0.35">
      <c r="Z55" s="1" t="str">
        <f t="shared" si="2"/>
        <v/>
      </c>
    </row>
    <row r="56" spans="26:26" x14ac:dyDescent="0.35">
      <c r="Z56" s="1" t="str">
        <f t="shared" si="2"/>
        <v/>
      </c>
    </row>
    <row r="57" spans="26:26" x14ac:dyDescent="0.35">
      <c r="Z57" s="1" t="str">
        <f t="shared" si="2"/>
        <v/>
      </c>
    </row>
    <row r="58" spans="26:26" x14ac:dyDescent="0.35">
      <c r="Z58" s="1" t="str">
        <f t="shared" si="2"/>
        <v/>
      </c>
    </row>
    <row r="59" spans="26:26" x14ac:dyDescent="0.35">
      <c r="Z59" s="1" t="str">
        <f t="shared" si="2"/>
        <v/>
      </c>
    </row>
    <row r="60" spans="26:26" x14ac:dyDescent="0.35">
      <c r="Z60" s="1" t="str">
        <f t="shared" si="2"/>
        <v/>
      </c>
    </row>
    <row r="61" spans="26:26" x14ac:dyDescent="0.35">
      <c r="Z61" s="1" t="str">
        <f t="shared" si="2"/>
        <v/>
      </c>
    </row>
    <row r="62" spans="26:26" x14ac:dyDescent="0.35">
      <c r="Z62" s="1" t="str">
        <f t="shared" si="2"/>
        <v/>
      </c>
    </row>
    <row r="63" spans="26:26" x14ac:dyDescent="0.35">
      <c r="Z63" s="1" t="str">
        <f t="shared" si="2"/>
        <v/>
      </c>
    </row>
    <row r="64" spans="26:26" x14ac:dyDescent="0.35">
      <c r="Z64" s="1" t="str">
        <f t="shared" si="2"/>
        <v/>
      </c>
    </row>
    <row r="65" spans="26:26" x14ac:dyDescent="0.35">
      <c r="Z65" s="1" t="str">
        <f t="shared" si="2"/>
        <v/>
      </c>
    </row>
    <row r="66" spans="26:26" x14ac:dyDescent="0.35">
      <c r="Z66" s="1" t="str">
        <f t="shared" si="2"/>
        <v/>
      </c>
    </row>
    <row r="67" spans="26:26" x14ac:dyDescent="0.35">
      <c r="Z67" s="1" t="str">
        <f t="shared" si="2"/>
        <v/>
      </c>
    </row>
    <row r="68" spans="26:26" x14ac:dyDescent="0.35">
      <c r="Z68" s="1" t="str">
        <f t="shared" si="2"/>
        <v/>
      </c>
    </row>
    <row r="69" spans="26:26" x14ac:dyDescent="0.35">
      <c r="Z69" s="1" t="str">
        <f t="shared" si="2"/>
        <v/>
      </c>
    </row>
    <row r="70" spans="26:26" x14ac:dyDescent="0.35">
      <c r="Z70" s="1" t="str">
        <f t="shared" si="2"/>
        <v/>
      </c>
    </row>
    <row r="71" spans="26:26" x14ac:dyDescent="0.35">
      <c r="Z71" s="1" t="str">
        <f t="shared" si="2"/>
        <v/>
      </c>
    </row>
    <row r="72" spans="26:26" x14ac:dyDescent="0.35">
      <c r="Z72" s="1" t="str">
        <f t="shared" si="2"/>
        <v/>
      </c>
    </row>
    <row r="73" spans="26:26" x14ac:dyDescent="0.35">
      <c r="Z73" s="1" t="str">
        <f t="shared" si="2"/>
        <v/>
      </c>
    </row>
    <row r="74" spans="26:26" x14ac:dyDescent="0.35">
      <c r="Z74" s="1" t="str">
        <f t="shared" si="2"/>
        <v/>
      </c>
    </row>
    <row r="75" spans="26:26" x14ac:dyDescent="0.35">
      <c r="Z75" s="1" t="str">
        <f t="shared" si="2"/>
        <v/>
      </c>
    </row>
    <row r="76" spans="26:26" x14ac:dyDescent="0.35">
      <c r="Z76" s="1" t="str">
        <f t="shared" si="2"/>
        <v/>
      </c>
    </row>
    <row r="77" spans="26:26" x14ac:dyDescent="0.35">
      <c r="Z77" s="1" t="str">
        <f t="shared" si="2"/>
        <v/>
      </c>
    </row>
    <row r="78" spans="26:26" x14ac:dyDescent="0.35">
      <c r="Z78" s="1" t="str">
        <f t="shared" si="2"/>
        <v/>
      </c>
    </row>
    <row r="79" spans="26:26" x14ac:dyDescent="0.35">
      <c r="Z79" s="1" t="str">
        <f t="shared" si="2"/>
        <v/>
      </c>
    </row>
    <row r="80" spans="26:26" x14ac:dyDescent="0.35">
      <c r="Z80" s="1" t="str">
        <f t="shared" si="2"/>
        <v/>
      </c>
    </row>
    <row r="81" spans="26:26" x14ac:dyDescent="0.35">
      <c r="Z81" s="1" t="str">
        <f t="shared" si="2"/>
        <v/>
      </c>
    </row>
    <row r="82" spans="26:26" x14ac:dyDescent="0.35">
      <c r="Z82" s="1" t="str">
        <f t="shared" si="2"/>
        <v/>
      </c>
    </row>
    <row r="83" spans="26:26" x14ac:dyDescent="0.35">
      <c r="Z83" s="1" t="str">
        <f t="shared" ref="Z83:Z146" si="3">IF(ROW(AA83)-2&lt;=MAX($C$3:$W$44),ROW(AA83)-2,"")</f>
        <v/>
      </c>
    </row>
    <row r="84" spans="26:26" x14ac:dyDescent="0.35">
      <c r="Z84" s="1" t="str">
        <f t="shared" si="3"/>
        <v/>
      </c>
    </row>
    <row r="85" spans="26:26" x14ac:dyDescent="0.35">
      <c r="Z85" s="1" t="str">
        <f t="shared" si="3"/>
        <v/>
      </c>
    </row>
    <row r="86" spans="26:26" x14ac:dyDescent="0.35">
      <c r="Z86" s="1" t="str">
        <f t="shared" si="3"/>
        <v/>
      </c>
    </row>
    <row r="87" spans="26:26" x14ac:dyDescent="0.35">
      <c r="Z87" s="1" t="str">
        <f t="shared" si="3"/>
        <v/>
      </c>
    </row>
    <row r="88" spans="26:26" x14ac:dyDescent="0.35">
      <c r="Z88" s="1" t="str">
        <f t="shared" si="3"/>
        <v/>
      </c>
    </row>
    <row r="89" spans="26:26" x14ac:dyDescent="0.35">
      <c r="Z89" s="1" t="str">
        <f t="shared" si="3"/>
        <v/>
      </c>
    </row>
    <row r="90" spans="26:26" x14ac:dyDescent="0.35">
      <c r="Z90" s="1" t="str">
        <f t="shared" si="3"/>
        <v/>
      </c>
    </row>
    <row r="91" spans="26:26" x14ac:dyDescent="0.35">
      <c r="Z91" s="1" t="str">
        <f t="shared" si="3"/>
        <v/>
      </c>
    </row>
    <row r="92" spans="26:26" x14ac:dyDescent="0.35">
      <c r="Z92" s="1" t="str">
        <f t="shared" si="3"/>
        <v/>
      </c>
    </row>
    <row r="93" spans="26:26" x14ac:dyDescent="0.35">
      <c r="Z93" s="1" t="str">
        <f t="shared" si="3"/>
        <v/>
      </c>
    </row>
    <row r="94" spans="26:26" x14ac:dyDescent="0.35">
      <c r="Z94" s="1" t="str">
        <f t="shared" si="3"/>
        <v/>
      </c>
    </row>
    <row r="95" spans="26:26" x14ac:dyDescent="0.35">
      <c r="Z95" s="1" t="str">
        <f t="shared" si="3"/>
        <v/>
      </c>
    </row>
    <row r="96" spans="26:26" x14ac:dyDescent="0.35">
      <c r="Z96" s="1" t="str">
        <f t="shared" si="3"/>
        <v/>
      </c>
    </row>
    <row r="97" spans="26:26" x14ac:dyDescent="0.35">
      <c r="Z97" s="1" t="str">
        <f t="shared" si="3"/>
        <v/>
      </c>
    </row>
    <row r="98" spans="26:26" x14ac:dyDescent="0.35">
      <c r="Z98" s="1" t="str">
        <f t="shared" si="3"/>
        <v/>
      </c>
    </row>
    <row r="99" spans="26:26" x14ac:dyDescent="0.35">
      <c r="Z99" s="1" t="str">
        <f t="shared" si="3"/>
        <v/>
      </c>
    </row>
    <row r="100" spans="26:26" x14ac:dyDescent="0.35">
      <c r="Z100" s="1" t="str">
        <f t="shared" si="3"/>
        <v/>
      </c>
    </row>
    <row r="101" spans="26:26" x14ac:dyDescent="0.35">
      <c r="Z101" s="1" t="str">
        <f t="shared" si="3"/>
        <v/>
      </c>
    </row>
    <row r="102" spans="26:26" x14ac:dyDescent="0.35">
      <c r="Z102" s="1" t="str">
        <f t="shared" si="3"/>
        <v/>
      </c>
    </row>
    <row r="103" spans="26:26" x14ac:dyDescent="0.35">
      <c r="Z103" s="1" t="str">
        <f t="shared" si="3"/>
        <v/>
      </c>
    </row>
    <row r="104" spans="26:26" x14ac:dyDescent="0.35">
      <c r="Z104" s="1" t="str">
        <f t="shared" si="3"/>
        <v/>
      </c>
    </row>
    <row r="105" spans="26:26" x14ac:dyDescent="0.35">
      <c r="Z105" s="1" t="str">
        <f t="shared" si="3"/>
        <v/>
      </c>
    </row>
    <row r="106" spans="26:26" x14ac:dyDescent="0.35">
      <c r="Z106" s="1" t="str">
        <f t="shared" si="3"/>
        <v/>
      </c>
    </row>
    <row r="107" spans="26:26" x14ac:dyDescent="0.35">
      <c r="Z107" s="1" t="str">
        <f t="shared" si="3"/>
        <v/>
      </c>
    </row>
    <row r="108" spans="26:26" x14ac:dyDescent="0.35">
      <c r="Z108" s="1" t="str">
        <f t="shared" si="3"/>
        <v/>
      </c>
    </row>
    <row r="109" spans="26:26" x14ac:dyDescent="0.35">
      <c r="Z109" s="1" t="str">
        <f t="shared" si="3"/>
        <v/>
      </c>
    </row>
    <row r="110" spans="26:26" x14ac:dyDescent="0.35">
      <c r="Z110" s="1" t="str">
        <f t="shared" si="3"/>
        <v/>
      </c>
    </row>
    <row r="111" spans="26:26" x14ac:dyDescent="0.35">
      <c r="Z111" s="1" t="str">
        <f t="shared" si="3"/>
        <v/>
      </c>
    </row>
    <row r="112" spans="26:26" x14ac:dyDescent="0.35">
      <c r="Z112" s="1" t="str">
        <f t="shared" si="3"/>
        <v/>
      </c>
    </row>
    <row r="113" spans="26:26" x14ac:dyDescent="0.35">
      <c r="Z113" s="1" t="str">
        <f t="shared" si="3"/>
        <v/>
      </c>
    </row>
    <row r="114" spans="26:26" x14ac:dyDescent="0.35">
      <c r="Z114" s="1" t="str">
        <f t="shared" si="3"/>
        <v/>
      </c>
    </row>
    <row r="115" spans="26:26" x14ac:dyDescent="0.35">
      <c r="Z115" s="1" t="str">
        <f t="shared" si="3"/>
        <v/>
      </c>
    </row>
    <row r="116" spans="26:26" x14ac:dyDescent="0.35">
      <c r="Z116" s="1" t="str">
        <f t="shared" si="3"/>
        <v/>
      </c>
    </row>
    <row r="117" spans="26:26" x14ac:dyDescent="0.35">
      <c r="Z117" s="1" t="str">
        <f t="shared" si="3"/>
        <v/>
      </c>
    </row>
    <row r="118" spans="26:26" x14ac:dyDescent="0.35">
      <c r="Z118" s="1" t="str">
        <f t="shared" si="3"/>
        <v/>
      </c>
    </row>
    <row r="119" spans="26:26" x14ac:dyDescent="0.35">
      <c r="Z119" s="1" t="str">
        <f t="shared" si="3"/>
        <v/>
      </c>
    </row>
    <row r="120" spans="26:26" x14ac:dyDescent="0.35">
      <c r="Z120" s="1" t="str">
        <f t="shared" si="3"/>
        <v/>
      </c>
    </row>
    <row r="121" spans="26:26" x14ac:dyDescent="0.35">
      <c r="Z121" s="1" t="str">
        <f t="shared" si="3"/>
        <v/>
      </c>
    </row>
    <row r="122" spans="26:26" x14ac:dyDescent="0.35">
      <c r="Z122" s="1" t="str">
        <f t="shared" si="3"/>
        <v/>
      </c>
    </row>
    <row r="123" spans="26:26" x14ac:dyDescent="0.35">
      <c r="Z123" s="1" t="str">
        <f t="shared" si="3"/>
        <v/>
      </c>
    </row>
    <row r="124" spans="26:26" x14ac:dyDescent="0.35">
      <c r="Z124" s="1" t="str">
        <f t="shared" si="3"/>
        <v/>
      </c>
    </row>
    <row r="125" spans="26:26" x14ac:dyDescent="0.35">
      <c r="Z125" s="1" t="str">
        <f t="shared" si="3"/>
        <v/>
      </c>
    </row>
    <row r="126" spans="26:26" x14ac:dyDescent="0.35">
      <c r="Z126" s="1" t="str">
        <f t="shared" si="3"/>
        <v/>
      </c>
    </row>
    <row r="127" spans="26:26" x14ac:dyDescent="0.35">
      <c r="Z127" s="1" t="str">
        <f t="shared" si="3"/>
        <v/>
      </c>
    </row>
    <row r="128" spans="26:26" x14ac:dyDescent="0.35">
      <c r="Z128" s="1" t="str">
        <f t="shared" si="3"/>
        <v/>
      </c>
    </row>
    <row r="129" spans="26:26" x14ac:dyDescent="0.35">
      <c r="Z129" s="1" t="str">
        <f t="shared" si="3"/>
        <v/>
      </c>
    </row>
    <row r="130" spans="26:26" x14ac:dyDescent="0.35">
      <c r="Z130" s="1" t="str">
        <f t="shared" si="3"/>
        <v/>
      </c>
    </row>
    <row r="131" spans="26:26" x14ac:dyDescent="0.35">
      <c r="Z131" s="1" t="str">
        <f t="shared" si="3"/>
        <v/>
      </c>
    </row>
    <row r="132" spans="26:26" x14ac:dyDescent="0.35">
      <c r="Z132" s="1" t="str">
        <f t="shared" si="3"/>
        <v/>
      </c>
    </row>
    <row r="133" spans="26:26" x14ac:dyDescent="0.35">
      <c r="Z133" s="1" t="str">
        <f t="shared" si="3"/>
        <v/>
      </c>
    </row>
    <row r="134" spans="26:26" x14ac:dyDescent="0.35">
      <c r="Z134" s="1" t="str">
        <f t="shared" si="3"/>
        <v/>
      </c>
    </row>
    <row r="135" spans="26:26" x14ac:dyDescent="0.35">
      <c r="Z135" s="1" t="str">
        <f t="shared" si="3"/>
        <v/>
      </c>
    </row>
    <row r="136" spans="26:26" x14ac:dyDescent="0.35">
      <c r="Z136" s="1" t="str">
        <f t="shared" si="3"/>
        <v/>
      </c>
    </row>
    <row r="137" spans="26:26" x14ac:dyDescent="0.35">
      <c r="Z137" s="1" t="str">
        <f t="shared" si="3"/>
        <v/>
      </c>
    </row>
    <row r="138" spans="26:26" x14ac:dyDescent="0.35">
      <c r="Z138" s="1" t="str">
        <f t="shared" si="3"/>
        <v/>
      </c>
    </row>
    <row r="139" spans="26:26" x14ac:dyDescent="0.35">
      <c r="Z139" s="1" t="str">
        <f t="shared" si="3"/>
        <v/>
      </c>
    </row>
    <row r="140" spans="26:26" x14ac:dyDescent="0.35">
      <c r="Z140" s="1" t="str">
        <f t="shared" si="3"/>
        <v/>
      </c>
    </row>
    <row r="141" spans="26:26" x14ac:dyDescent="0.35">
      <c r="Z141" s="1" t="str">
        <f t="shared" si="3"/>
        <v/>
      </c>
    </row>
    <row r="142" spans="26:26" x14ac:dyDescent="0.35">
      <c r="Z142" s="1" t="str">
        <f t="shared" si="3"/>
        <v/>
      </c>
    </row>
    <row r="143" spans="26:26" x14ac:dyDescent="0.35">
      <c r="Z143" s="1" t="str">
        <f t="shared" si="3"/>
        <v/>
      </c>
    </row>
    <row r="144" spans="26:26" x14ac:dyDescent="0.35">
      <c r="Z144" s="1" t="str">
        <f t="shared" si="3"/>
        <v/>
      </c>
    </row>
    <row r="145" spans="26:26" x14ac:dyDescent="0.35">
      <c r="Z145" s="1" t="str">
        <f t="shared" si="3"/>
        <v/>
      </c>
    </row>
    <row r="146" spans="26:26" x14ac:dyDescent="0.35">
      <c r="Z146" s="1" t="str">
        <f t="shared" si="3"/>
        <v/>
      </c>
    </row>
    <row r="147" spans="26:26" x14ac:dyDescent="0.35">
      <c r="Z147" s="1" t="str">
        <f t="shared" ref="Z147:Z210" si="4">IF(ROW(AA147)-2&lt;=MAX($C$3:$W$44),ROW(AA147)-2,"")</f>
        <v/>
      </c>
    </row>
    <row r="148" spans="26:26" x14ac:dyDescent="0.35">
      <c r="Z148" s="1" t="str">
        <f t="shared" si="4"/>
        <v/>
      </c>
    </row>
    <row r="149" spans="26:26" x14ac:dyDescent="0.35">
      <c r="Z149" s="1" t="str">
        <f t="shared" si="4"/>
        <v/>
      </c>
    </row>
    <row r="150" spans="26:26" x14ac:dyDescent="0.35">
      <c r="Z150" s="1" t="str">
        <f t="shared" si="4"/>
        <v/>
      </c>
    </row>
    <row r="151" spans="26:26" x14ac:dyDescent="0.35">
      <c r="Z151" s="1" t="str">
        <f t="shared" si="4"/>
        <v/>
      </c>
    </row>
    <row r="152" spans="26:26" x14ac:dyDescent="0.35">
      <c r="Z152" s="1" t="str">
        <f t="shared" si="4"/>
        <v/>
      </c>
    </row>
    <row r="153" spans="26:26" x14ac:dyDescent="0.35">
      <c r="Z153" s="1" t="str">
        <f t="shared" si="4"/>
        <v/>
      </c>
    </row>
    <row r="154" spans="26:26" x14ac:dyDescent="0.35">
      <c r="Z154" s="1" t="str">
        <f t="shared" si="4"/>
        <v/>
      </c>
    </row>
    <row r="155" spans="26:26" x14ac:dyDescent="0.35">
      <c r="Z155" s="1" t="str">
        <f t="shared" si="4"/>
        <v/>
      </c>
    </row>
    <row r="156" spans="26:26" x14ac:dyDescent="0.35">
      <c r="Z156" s="1" t="str">
        <f t="shared" si="4"/>
        <v/>
      </c>
    </row>
    <row r="157" spans="26:26" x14ac:dyDescent="0.35">
      <c r="Z157" s="1" t="str">
        <f t="shared" si="4"/>
        <v/>
      </c>
    </row>
    <row r="158" spans="26:26" x14ac:dyDescent="0.35">
      <c r="Z158" s="1" t="str">
        <f t="shared" si="4"/>
        <v/>
      </c>
    </row>
    <row r="159" spans="26:26" x14ac:dyDescent="0.35">
      <c r="Z159" s="1" t="str">
        <f t="shared" si="4"/>
        <v/>
      </c>
    </row>
    <row r="160" spans="26:26" x14ac:dyDescent="0.35">
      <c r="Z160" s="1" t="str">
        <f t="shared" si="4"/>
        <v/>
      </c>
    </row>
    <row r="161" spans="26:26" x14ac:dyDescent="0.35">
      <c r="Z161" s="1" t="str">
        <f t="shared" si="4"/>
        <v/>
      </c>
    </row>
    <row r="162" spans="26:26" x14ac:dyDescent="0.35">
      <c r="Z162" s="1" t="str">
        <f t="shared" si="4"/>
        <v/>
      </c>
    </row>
    <row r="163" spans="26:26" x14ac:dyDescent="0.35">
      <c r="Z163" s="1" t="str">
        <f t="shared" si="4"/>
        <v/>
      </c>
    </row>
    <row r="164" spans="26:26" x14ac:dyDescent="0.35">
      <c r="Z164" s="1" t="str">
        <f t="shared" si="4"/>
        <v/>
      </c>
    </row>
    <row r="165" spans="26:26" x14ac:dyDescent="0.35">
      <c r="Z165" s="1" t="str">
        <f t="shared" si="4"/>
        <v/>
      </c>
    </row>
    <row r="166" spans="26:26" x14ac:dyDescent="0.35">
      <c r="Z166" s="1" t="str">
        <f t="shared" si="4"/>
        <v/>
      </c>
    </row>
    <row r="167" spans="26:26" x14ac:dyDescent="0.35">
      <c r="Z167" s="1" t="str">
        <f t="shared" si="4"/>
        <v/>
      </c>
    </row>
    <row r="168" spans="26:26" x14ac:dyDescent="0.35">
      <c r="Z168" s="1" t="str">
        <f t="shared" si="4"/>
        <v/>
      </c>
    </row>
    <row r="169" spans="26:26" x14ac:dyDescent="0.35">
      <c r="Z169" s="1" t="str">
        <f t="shared" si="4"/>
        <v/>
      </c>
    </row>
    <row r="170" spans="26:26" x14ac:dyDescent="0.35">
      <c r="Z170" s="1" t="str">
        <f t="shared" si="4"/>
        <v/>
      </c>
    </row>
    <row r="171" spans="26:26" x14ac:dyDescent="0.35">
      <c r="Z171" s="1" t="str">
        <f t="shared" si="4"/>
        <v/>
      </c>
    </row>
    <row r="172" spans="26:26" x14ac:dyDescent="0.35">
      <c r="Z172" s="1" t="str">
        <f t="shared" si="4"/>
        <v/>
      </c>
    </row>
    <row r="173" spans="26:26" x14ac:dyDescent="0.35">
      <c r="Z173" s="1" t="str">
        <f t="shared" si="4"/>
        <v/>
      </c>
    </row>
    <row r="174" spans="26:26" x14ac:dyDescent="0.35">
      <c r="Z174" s="1" t="str">
        <f t="shared" si="4"/>
        <v/>
      </c>
    </row>
    <row r="175" spans="26:26" x14ac:dyDescent="0.35">
      <c r="Z175" s="1" t="str">
        <f t="shared" si="4"/>
        <v/>
      </c>
    </row>
    <row r="176" spans="26:26" x14ac:dyDescent="0.35">
      <c r="Z176" s="1" t="str">
        <f t="shared" si="4"/>
        <v/>
      </c>
    </row>
    <row r="177" spans="26:26" x14ac:dyDescent="0.35">
      <c r="Z177" s="1" t="str">
        <f t="shared" si="4"/>
        <v/>
      </c>
    </row>
    <row r="178" spans="26:26" x14ac:dyDescent="0.35">
      <c r="Z178" s="1" t="str">
        <f t="shared" si="4"/>
        <v/>
      </c>
    </row>
    <row r="179" spans="26:26" x14ac:dyDescent="0.35">
      <c r="Z179" s="1" t="str">
        <f t="shared" si="4"/>
        <v/>
      </c>
    </row>
    <row r="180" spans="26:26" x14ac:dyDescent="0.35">
      <c r="Z180" s="1" t="str">
        <f t="shared" si="4"/>
        <v/>
      </c>
    </row>
    <row r="181" spans="26:26" x14ac:dyDescent="0.35">
      <c r="Z181" s="1" t="str">
        <f t="shared" si="4"/>
        <v/>
      </c>
    </row>
    <row r="182" spans="26:26" x14ac:dyDescent="0.35">
      <c r="Z182" s="1" t="str">
        <f t="shared" si="4"/>
        <v/>
      </c>
    </row>
    <row r="183" spans="26:26" x14ac:dyDescent="0.35">
      <c r="Z183" s="1" t="str">
        <f t="shared" si="4"/>
        <v/>
      </c>
    </row>
    <row r="184" spans="26:26" x14ac:dyDescent="0.35">
      <c r="Z184" s="1" t="str">
        <f t="shared" si="4"/>
        <v/>
      </c>
    </row>
    <row r="185" spans="26:26" x14ac:dyDescent="0.35">
      <c r="Z185" s="1" t="str">
        <f t="shared" si="4"/>
        <v/>
      </c>
    </row>
    <row r="186" spans="26:26" x14ac:dyDescent="0.35">
      <c r="Z186" s="1" t="str">
        <f t="shared" si="4"/>
        <v/>
      </c>
    </row>
    <row r="187" spans="26:26" x14ac:dyDescent="0.35">
      <c r="Z187" s="1" t="str">
        <f t="shared" si="4"/>
        <v/>
      </c>
    </row>
    <row r="188" spans="26:26" x14ac:dyDescent="0.35">
      <c r="Z188" s="1" t="str">
        <f t="shared" si="4"/>
        <v/>
      </c>
    </row>
    <row r="189" spans="26:26" x14ac:dyDescent="0.35">
      <c r="Z189" s="1" t="str">
        <f t="shared" si="4"/>
        <v/>
      </c>
    </row>
    <row r="190" spans="26:26" x14ac:dyDescent="0.35">
      <c r="Z190" s="1" t="str">
        <f t="shared" si="4"/>
        <v/>
      </c>
    </row>
    <row r="191" spans="26:26" x14ac:dyDescent="0.35">
      <c r="Z191" s="1" t="str">
        <f t="shared" si="4"/>
        <v/>
      </c>
    </row>
    <row r="192" spans="26:26" x14ac:dyDescent="0.35">
      <c r="Z192" s="1" t="str">
        <f t="shared" si="4"/>
        <v/>
      </c>
    </row>
    <row r="193" spans="26:26" x14ac:dyDescent="0.35">
      <c r="Z193" s="1" t="str">
        <f t="shared" si="4"/>
        <v/>
      </c>
    </row>
    <row r="194" spans="26:26" x14ac:dyDescent="0.35">
      <c r="Z194" s="1" t="str">
        <f t="shared" si="4"/>
        <v/>
      </c>
    </row>
    <row r="195" spans="26:26" x14ac:dyDescent="0.35">
      <c r="Z195" s="1" t="str">
        <f t="shared" si="4"/>
        <v/>
      </c>
    </row>
    <row r="196" spans="26:26" x14ac:dyDescent="0.35">
      <c r="Z196" s="1" t="str">
        <f t="shared" si="4"/>
        <v/>
      </c>
    </row>
    <row r="197" spans="26:26" x14ac:dyDescent="0.35">
      <c r="Z197" s="1" t="str">
        <f t="shared" si="4"/>
        <v/>
      </c>
    </row>
    <row r="198" spans="26:26" x14ac:dyDescent="0.35">
      <c r="Z198" s="1" t="str">
        <f t="shared" si="4"/>
        <v/>
      </c>
    </row>
    <row r="199" spans="26:26" x14ac:dyDescent="0.35">
      <c r="Z199" s="1" t="str">
        <f t="shared" si="4"/>
        <v/>
      </c>
    </row>
    <row r="200" spans="26:26" x14ac:dyDescent="0.35">
      <c r="Z200" s="1" t="str">
        <f t="shared" si="4"/>
        <v/>
      </c>
    </row>
    <row r="201" spans="26:26" x14ac:dyDescent="0.35">
      <c r="Z201" s="1" t="str">
        <f t="shared" si="4"/>
        <v/>
      </c>
    </row>
    <row r="202" spans="26:26" x14ac:dyDescent="0.35">
      <c r="Z202" s="1" t="str">
        <f t="shared" si="4"/>
        <v/>
      </c>
    </row>
    <row r="203" spans="26:26" x14ac:dyDescent="0.35">
      <c r="Z203" s="1" t="str">
        <f t="shared" si="4"/>
        <v/>
      </c>
    </row>
    <row r="204" spans="26:26" x14ac:dyDescent="0.35">
      <c r="Z204" s="1" t="str">
        <f t="shared" si="4"/>
        <v/>
      </c>
    </row>
    <row r="205" spans="26:26" x14ac:dyDescent="0.35">
      <c r="Z205" s="1" t="str">
        <f t="shared" si="4"/>
        <v/>
      </c>
    </row>
    <row r="206" spans="26:26" x14ac:dyDescent="0.35">
      <c r="Z206" s="1" t="str">
        <f t="shared" si="4"/>
        <v/>
      </c>
    </row>
    <row r="207" spans="26:26" x14ac:dyDescent="0.35">
      <c r="Z207" s="1" t="str">
        <f t="shared" si="4"/>
        <v/>
      </c>
    </row>
    <row r="208" spans="26:26" x14ac:dyDescent="0.35">
      <c r="Z208" s="1" t="str">
        <f t="shared" si="4"/>
        <v/>
      </c>
    </row>
    <row r="209" spans="26:26" x14ac:dyDescent="0.35">
      <c r="Z209" s="1" t="str">
        <f t="shared" si="4"/>
        <v/>
      </c>
    </row>
    <row r="210" spans="26:26" x14ac:dyDescent="0.35">
      <c r="Z210" s="1" t="str">
        <f t="shared" si="4"/>
        <v/>
      </c>
    </row>
    <row r="211" spans="26:26" x14ac:dyDescent="0.35">
      <c r="Z211" s="1" t="str">
        <f t="shared" ref="Z211:Z229" si="5">IF(ROW(AA211)-2&lt;=MAX($C$3:$W$44),ROW(AA211)-2,"")</f>
        <v/>
      </c>
    </row>
    <row r="212" spans="26:26" x14ac:dyDescent="0.35">
      <c r="Z212" s="1" t="str">
        <f t="shared" si="5"/>
        <v/>
      </c>
    </row>
    <row r="213" spans="26:26" x14ac:dyDescent="0.35">
      <c r="Z213" s="1" t="str">
        <f t="shared" si="5"/>
        <v/>
      </c>
    </row>
    <row r="214" spans="26:26" x14ac:dyDescent="0.35">
      <c r="Z214" s="1" t="str">
        <f t="shared" si="5"/>
        <v/>
      </c>
    </row>
    <row r="215" spans="26:26" x14ac:dyDescent="0.35">
      <c r="Z215" s="1" t="str">
        <f t="shared" si="5"/>
        <v/>
      </c>
    </row>
    <row r="216" spans="26:26" x14ac:dyDescent="0.35">
      <c r="Z216" s="1" t="str">
        <f t="shared" si="5"/>
        <v/>
      </c>
    </row>
    <row r="217" spans="26:26" x14ac:dyDescent="0.35">
      <c r="Z217" s="1" t="str">
        <f t="shared" si="5"/>
        <v/>
      </c>
    </row>
    <row r="218" spans="26:26" x14ac:dyDescent="0.35">
      <c r="Z218" s="1" t="str">
        <f t="shared" si="5"/>
        <v/>
      </c>
    </row>
    <row r="219" spans="26:26" x14ac:dyDescent="0.35">
      <c r="Z219" s="1" t="str">
        <f t="shared" si="5"/>
        <v/>
      </c>
    </row>
    <row r="220" spans="26:26" x14ac:dyDescent="0.35">
      <c r="Z220" s="1" t="str">
        <f t="shared" si="5"/>
        <v/>
      </c>
    </row>
    <row r="221" spans="26:26" x14ac:dyDescent="0.35">
      <c r="Z221" s="1" t="str">
        <f t="shared" si="5"/>
        <v/>
      </c>
    </row>
    <row r="222" spans="26:26" x14ac:dyDescent="0.35">
      <c r="Z222" s="1" t="str">
        <f t="shared" si="5"/>
        <v/>
      </c>
    </row>
    <row r="223" spans="26:26" x14ac:dyDescent="0.35">
      <c r="Z223" s="1" t="str">
        <f t="shared" si="5"/>
        <v/>
      </c>
    </row>
    <row r="224" spans="26:26" x14ac:dyDescent="0.35">
      <c r="Z224" s="1" t="str">
        <f t="shared" si="5"/>
        <v/>
      </c>
    </row>
    <row r="225" spans="26:26" x14ac:dyDescent="0.35">
      <c r="Z225" s="1" t="str">
        <f t="shared" si="5"/>
        <v/>
      </c>
    </row>
    <row r="226" spans="26:26" x14ac:dyDescent="0.35">
      <c r="Z226" s="1" t="str">
        <f t="shared" si="5"/>
        <v/>
      </c>
    </row>
    <row r="227" spans="26:26" x14ac:dyDescent="0.35">
      <c r="Z227" s="1" t="str">
        <f t="shared" si="5"/>
        <v/>
      </c>
    </row>
    <row r="228" spans="26:26" x14ac:dyDescent="0.35">
      <c r="Z228" s="1" t="str">
        <f t="shared" si="5"/>
        <v/>
      </c>
    </row>
    <row r="229" spans="26:26" x14ac:dyDescent="0.35">
      <c r="Z229" s="1" t="str">
        <f t="shared" si="5"/>
        <v/>
      </c>
    </row>
  </sheetData>
  <mergeCells count="27">
    <mergeCell ref="AI1:AJ1"/>
    <mergeCell ref="AE1:AH1"/>
    <mergeCell ref="AA1:AB1"/>
    <mergeCell ref="B3:B4"/>
    <mergeCell ref="C1:W1"/>
    <mergeCell ref="B5:B6"/>
    <mergeCell ref="B7:B8"/>
    <mergeCell ref="A1:B2"/>
    <mergeCell ref="A3:A43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39:B40"/>
    <mergeCell ref="B41:B42"/>
    <mergeCell ref="B43:B44"/>
    <mergeCell ref="B29:B30"/>
    <mergeCell ref="B31:B32"/>
    <mergeCell ref="B33:B34"/>
    <mergeCell ref="B35:B36"/>
    <mergeCell ref="B37:B38"/>
  </mergeCells>
  <conditionalFormatting sqref="B3 B5 B7 B9 B11 B13 B15 B17 B19 B21 B23 B25 B27 B29 B31 B33 B35 B37 B39 B41 B43">
    <cfRule type="cellIs" dxfId="4" priority="6" operator="equal">
      <formula>0</formula>
    </cfRule>
  </conditionalFormatting>
  <conditionalFormatting sqref="C2:W2">
    <cfRule type="cellIs" dxfId="3" priority="7" operator="equal">
      <formula>0</formula>
    </cfRule>
  </conditionalFormatting>
  <conditionalFormatting sqref="C3:W44">
    <cfRule type="colorScale" priority="202">
      <colorScale>
        <cfvo type="min"/>
        <cfvo type="num" val="$W$45"/>
        <cfvo type="max"/>
        <color rgb="FFF8696B"/>
        <color rgb="FFFFEB84"/>
        <color rgb="FF63BE7B"/>
      </colorScale>
    </cfRule>
  </conditionalFormatting>
  <conditionalFormatting sqref="Y2:Y1048576 Z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{64DFD268-1CBB-4B0B-B240-A0D1E6033C94}</x14:id>
        </ext>
      </extLst>
    </cfRule>
  </conditionalFormatting>
  <conditionalFormatting sqref="Z2:Z1048576">
    <cfRule type="colorScale" priority="203">
      <colorScale>
        <cfvo type="min"/>
        <cfvo type="num" val="$W$45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4DFD268-1CBB-4B0B-B240-A0D1E6033C94}">
            <x14:dataBar minLength="0" maxLength="100" gradient="0" direction="rightToLeft">
              <x14:cfvo type="autoMin"/>
              <x14:cfvo type="autoMax"/>
              <x14:negativeFillColor rgb="FFFF0000"/>
              <x14:axisColor rgb="FF000000"/>
            </x14:dataBar>
          </x14:cfRule>
          <xm:sqref>Y2:Y1048576 Z1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C068B-49E8-4091-B2FF-DFFE342F323A}">
  <dimension ref="A1:W23"/>
  <sheetViews>
    <sheetView topLeftCell="A6" zoomScale="90" zoomScaleNormal="90" workbookViewId="0">
      <selection activeCell="G15" sqref="F15:G15"/>
    </sheetView>
  </sheetViews>
  <sheetFormatPr defaultColWidth="9.1796875" defaultRowHeight="14.5" x14ac:dyDescent="0.35"/>
  <cols>
    <col min="1" max="1" width="4.1796875" style="14" customWidth="1"/>
    <col min="2" max="2" width="9.1796875" style="14" customWidth="1"/>
    <col min="3" max="23" width="6.7265625" style="14" customWidth="1"/>
    <col min="24" max="25" width="5.7265625" style="14" customWidth="1"/>
    <col min="26" max="16384" width="9.1796875" style="14"/>
  </cols>
  <sheetData>
    <row r="1" spans="1:23" ht="15" thickBot="1" x14ac:dyDescent="0.4">
      <c r="A1" s="176"/>
      <c r="B1" s="176"/>
      <c r="C1" s="176" t="s">
        <v>4</v>
      </c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</row>
    <row r="2" spans="1:23" ht="15" thickBot="1" x14ac:dyDescent="0.4">
      <c r="A2" s="176"/>
      <c r="B2" s="176"/>
      <c r="C2" s="140" t="str">
        <f>Neu!B4</f>
        <v>HH</v>
      </c>
      <c r="D2" s="141">
        <f>Neu!B5</f>
        <v>0</v>
      </c>
      <c r="E2" s="141">
        <f>Neu!B6</f>
        <v>0</v>
      </c>
      <c r="F2" s="141">
        <f>Neu!B7</f>
        <v>0</v>
      </c>
      <c r="G2" s="141">
        <f>Neu!B8</f>
        <v>0</v>
      </c>
      <c r="H2" s="141">
        <f>Neu!B9</f>
        <v>0</v>
      </c>
      <c r="I2" s="141">
        <f>Neu!B10</f>
        <v>0</v>
      </c>
      <c r="J2" s="141">
        <f>Neu!B11</f>
        <v>0</v>
      </c>
      <c r="K2" s="141">
        <f>Neu!B12</f>
        <v>0</v>
      </c>
      <c r="L2" s="141">
        <f>Neu!B13</f>
        <v>0</v>
      </c>
      <c r="M2" s="141">
        <f>Neu!B14</f>
        <v>0</v>
      </c>
      <c r="N2" s="141">
        <f>Neu!B15</f>
        <v>0</v>
      </c>
      <c r="O2" s="141">
        <f>Neu!B16</f>
        <v>0</v>
      </c>
      <c r="P2" s="141">
        <f>Neu!B17</f>
        <v>0</v>
      </c>
      <c r="Q2" s="141">
        <f>Neu!$B18</f>
        <v>0</v>
      </c>
      <c r="R2" s="141">
        <f>Neu!$B19</f>
        <v>0</v>
      </c>
      <c r="S2" s="141">
        <f>Neu!$B20</f>
        <v>0</v>
      </c>
      <c r="T2" s="141">
        <f>Neu!$B21</f>
        <v>0</v>
      </c>
      <c r="U2" s="141">
        <f>Neu!$B22</f>
        <v>0</v>
      </c>
      <c r="V2" s="141">
        <f>Neu!$B23</f>
        <v>0</v>
      </c>
      <c r="W2" s="142">
        <f>Neu!$B24</f>
        <v>0</v>
      </c>
    </row>
    <row r="3" spans="1:23" ht="29.15" customHeight="1" x14ac:dyDescent="0.35">
      <c r="A3" s="177" t="s">
        <v>5</v>
      </c>
      <c r="B3" s="2" t="str">
        <f>Neu!B4</f>
        <v>HH</v>
      </c>
      <c r="C3" s="81"/>
      <c r="D3" s="82">
        <f>C4</f>
        <v>0</v>
      </c>
      <c r="E3" s="82">
        <f>C5</f>
        <v>0</v>
      </c>
      <c r="F3" s="82">
        <f>C6</f>
        <v>0</v>
      </c>
      <c r="G3" s="82">
        <f>C7</f>
        <v>0</v>
      </c>
      <c r="H3" s="82">
        <f>C8</f>
        <v>0</v>
      </c>
      <c r="I3" s="82">
        <f>C9</f>
        <v>0</v>
      </c>
      <c r="J3" s="82">
        <f>C10</f>
        <v>0</v>
      </c>
      <c r="K3" s="82">
        <f>C11</f>
        <v>0</v>
      </c>
      <c r="L3" s="82">
        <f>C12</f>
        <v>0</v>
      </c>
      <c r="M3" s="82">
        <f>C13</f>
        <v>0</v>
      </c>
      <c r="N3" s="82">
        <f>C14</f>
        <v>0</v>
      </c>
      <c r="O3" s="82">
        <f>C14</f>
        <v>0</v>
      </c>
      <c r="P3" s="82">
        <f>C16</f>
        <v>0</v>
      </c>
      <c r="Q3" s="83">
        <f>C17</f>
        <v>0</v>
      </c>
      <c r="R3" s="83">
        <f>C18</f>
        <v>0</v>
      </c>
      <c r="S3" s="83">
        <f>C19</f>
        <v>0</v>
      </c>
      <c r="T3" s="83">
        <f>C20</f>
        <v>0</v>
      </c>
      <c r="U3" s="83">
        <f>C21</f>
        <v>0</v>
      </c>
      <c r="V3" s="83">
        <f>C22</f>
        <v>0</v>
      </c>
      <c r="W3" s="84">
        <f>C23</f>
        <v>0</v>
      </c>
    </row>
    <row r="4" spans="1:23" ht="29.15" customHeight="1" x14ac:dyDescent="0.35">
      <c r="A4" s="177"/>
      <c r="B4" s="3">
        <f>Neu!B5</f>
        <v>0</v>
      </c>
      <c r="C4" s="85"/>
      <c r="D4" s="77"/>
      <c r="E4" s="7">
        <f>D5</f>
        <v>0</v>
      </c>
      <c r="F4" s="7">
        <f>D6</f>
        <v>0</v>
      </c>
      <c r="G4" s="7">
        <f>D7</f>
        <v>0</v>
      </c>
      <c r="H4" s="7">
        <f>D8</f>
        <v>0</v>
      </c>
      <c r="I4" s="7">
        <f>D9</f>
        <v>0</v>
      </c>
      <c r="J4" s="7">
        <f>D10</f>
        <v>0</v>
      </c>
      <c r="K4" s="7">
        <f>D11</f>
        <v>0</v>
      </c>
      <c r="L4" s="7">
        <f>D12</f>
        <v>0</v>
      </c>
      <c r="M4" s="7">
        <f>D13</f>
        <v>0</v>
      </c>
      <c r="N4" s="7">
        <f>D14</f>
        <v>0</v>
      </c>
      <c r="O4" s="7">
        <f>D15</f>
        <v>0</v>
      </c>
      <c r="P4" s="7">
        <f>D16</f>
        <v>0</v>
      </c>
      <c r="Q4" s="78">
        <f>D17</f>
        <v>0</v>
      </c>
      <c r="R4" s="78">
        <f>D18</f>
        <v>0</v>
      </c>
      <c r="S4" s="76">
        <f>D19</f>
        <v>0</v>
      </c>
      <c r="T4" s="76">
        <f>D20</f>
        <v>0</v>
      </c>
      <c r="U4" s="76">
        <f>D21</f>
        <v>0</v>
      </c>
      <c r="V4" s="76">
        <f>D22</f>
        <v>0</v>
      </c>
      <c r="W4" s="6">
        <f>D23</f>
        <v>0</v>
      </c>
    </row>
    <row r="5" spans="1:23" ht="29.15" customHeight="1" x14ac:dyDescent="0.35">
      <c r="A5" s="177"/>
      <c r="B5" s="3">
        <f>Neu!B6</f>
        <v>0</v>
      </c>
      <c r="C5" s="85"/>
      <c r="D5" s="7"/>
      <c r="E5" s="77"/>
      <c r="F5" s="7">
        <f>E6</f>
        <v>0</v>
      </c>
      <c r="G5" s="7">
        <f>E7</f>
        <v>0</v>
      </c>
      <c r="H5" s="7">
        <f>E8</f>
        <v>0</v>
      </c>
      <c r="I5" s="7">
        <f>E9</f>
        <v>0</v>
      </c>
      <c r="J5" s="7">
        <f>E10</f>
        <v>0</v>
      </c>
      <c r="K5" s="7">
        <f>E11</f>
        <v>0</v>
      </c>
      <c r="L5" s="7">
        <f>E12</f>
        <v>0</v>
      </c>
      <c r="M5" s="7">
        <f>E13</f>
        <v>0</v>
      </c>
      <c r="N5" s="7">
        <f>E14</f>
        <v>0</v>
      </c>
      <c r="O5" s="7">
        <f>E15</f>
        <v>0</v>
      </c>
      <c r="P5" s="7">
        <f>E16</f>
        <v>0</v>
      </c>
      <c r="Q5" s="78">
        <f>E17</f>
        <v>0</v>
      </c>
      <c r="R5" s="78">
        <f>E18</f>
        <v>0</v>
      </c>
      <c r="S5" s="76">
        <f>E19</f>
        <v>0</v>
      </c>
      <c r="T5" s="76">
        <f>E20</f>
        <v>0</v>
      </c>
      <c r="U5" s="76">
        <f>E21</f>
        <v>0</v>
      </c>
      <c r="V5" s="76">
        <f>E22</f>
        <v>0</v>
      </c>
      <c r="W5" s="6">
        <f>E23</f>
        <v>0</v>
      </c>
    </row>
    <row r="6" spans="1:23" ht="29.15" customHeight="1" x14ac:dyDescent="0.35">
      <c r="A6" s="177"/>
      <c r="B6" s="3">
        <f>Neu!B7</f>
        <v>0</v>
      </c>
      <c r="C6" s="85"/>
      <c r="D6" s="7"/>
      <c r="E6" s="7"/>
      <c r="F6" s="77"/>
      <c r="G6" s="7">
        <f>F7</f>
        <v>0</v>
      </c>
      <c r="H6" s="7">
        <f>F8</f>
        <v>0</v>
      </c>
      <c r="I6" s="7">
        <f>F9</f>
        <v>0</v>
      </c>
      <c r="J6" s="7">
        <f>F10</f>
        <v>0</v>
      </c>
      <c r="K6" s="7">
        <f>F11</f>
        <v>0</v>
      </c>
      <c r="L6" s="7">
        <f>F12</f>
        <v>0</v>
      </c>
      <c r="M6" s="7">
        <f>F13</f>
        <v>0</v>
      </c>
      <c r="N6" s="7">
        <f>F14</f>
        <v>0</v>
      </c>
      <c r="O6" s="7">
        <f>F15</f>
        <v>0</v>
      </c>
      <c r="P6" s="7">
        <f>F16</f>
        <v>0</v>
      </c>
      <c r="Q6" s="78">
        <f>F17</f>
        <v>0</v>
      </c>
      <c r="R6" s="78">
        <f>F18</f>
        <v>0</v>
      </c>
      <c r="S6" s="76">
        <f>F19</f>
        <v>0</v>
      </c>
      <c r="T6" s="76">
        <f>F20</f>
        <v>0</v>
      </c>
      <c r="U6" s="76">
        <f>F21</f>
        <v>0</v>
      </c>
      <c r="V6" s="76">
        <f>F22</f>
        <v>0</v>
      </c>
      <c r="W6" s="6">
        <f>F23</f>
        <v>0</v>
      </c>
    </row>
    <row r="7" spans="1:23" ht="29.15" customHeight="1" x14ac:dyDescent="0.35">
      <c r="A7" s="177"/>
      <c r="B7" s="3">
        <f>Neu!B8</f>
        <v>0</v>
      </c>
      <c r="C7" s="85"/>
      <c r="D7" s="7"/>
      <c r="E7" s="7"/>
      <c r="F7" s="7"/>
      <c r="G7" s="77"/>
      <c r="H7" s="7">
        <f>G8</f>
        <v>0</v>
      </c>
      <c r="I7" s="7">
        <f>G9</f>
        <v>0</v>
      </c>
      <c r="J7" s="7">
        <f>G10</f>
        <v>0</v>
      </c>
      <c r="K7" s="7">
        <f>G11</f>
        <v>0</v>
      </c>
      <c r="L7" s="7">
        <f>G12</f>
        <v>0</v>
      </c>
      <c r="M7" s="7">
        <f>G13</f>
        <v>0</v>
      </c>
      <c r="N7" s="7">
        <f>G14</f>
        <v>0</v>
      </c>
      <c r="O7" s="7">
        <f>G15</f>
        <v>0</v>
      </c>
      <c r="P7" s="7">
        <f>G16</f>
        <v>0</v>
      </c>
      <c r="Q7" s="78">
        <f>G17</f>
        <v>0</v>
      </c>
      <c r="R7" s="78">
        <f>G18</f>
        <v>0</v>
      </c>
      <c r="S7" s="76">
        <f>G19</f>
        <v>0</v>
      </c>
      <c r="T7" s="76">
        <f>G20</f>
        <v>0</v>
      </c>
      <c r="U7" s="76">
        <f>G21</f>
        <v>0</v>
      </c>
      <c r="V7" s="76">
        <f>G22</f>
        <v>0</v>
      </c>
      <c r="W7" s="6">
        <f>G23</f>
        <v>0</v>
      </c>
    </row>
    <row r="8" spans="1:23" ht="29.15" customHeight="1" x14ac:dyDescent="0.35">
      <c r="A8" s="177"/>
      <c r="B8" s="3">
        <f>Neu!B9</f>
        <v>0</v>
      </c>
      <c r="C8" s="85"/>
      <c r="D8" s="7"/>
      <c r="E8" s="7"/>
      <c r="F8" s="7"/>
      <c r="G8" s="7"/>
      <c r="H8" s="77"/>
      <c r="I8" s="7">
        <f>H9</f>
        <v>0</v>
      </c>
      <c r="J8" s="7">
        <f>H10</f>
        <v>0</v>
      </c>
      <c r="K8" s="7">
        <f>H11</f>
        <v>0</v>
      </c>
      <c r="L8" s="7">
        <f>H12</f>
        <v>0</v>
      </c>
      <c r="M8" s="7">
        <f>H13</f>
        <v>0</v>
      </c>
      <c r="N8" s="7">
        <f>H14</f>
        <v>0</v>
      </c>
      <c r="O8" s="7">
        <f>H15</f>
        <v>0</v>
      </c>
      <c r="P8" s="7">
        <f>H16</f>
        <v>0</v>
      </c>
      <c r="Q8" s="78">
        <f>H17</f>
        <v>0</v>
      </c>
      <c r="R8" s="78">
        <f>H18</f>
        <v>0</v>
      </c>
      <c r="S8" s="76">
        <f>H19</f>
        <v>0</v>
      </c>
      <c r="T8" s="76">
        <f>H20</f>
        <v>0</v>
      </c>
      <c r="U8" s="76">
        <f>H21</f>
        <v>0</v>
      </c>
      <c r="V8" s="76">
        <f>H22</f>
        <v>0</v>
      </c>
      <c r="W8" s="6">
        <f>H23</f>
        <v>0</v>
      </c>
    </row>
    <row r="9" spans="1:23" ht="29.15" customHeight="1" x14ac:dyDescent="0.35">
      <c r="A9" s="177"/>
      <c r="B9" s="3">
        <f>Neu!B10</f>
        <v>0</v>
      </c>
      <c r="C9" s="85"/>
      <c r="D9" s="7"/>
      <c r="E9" s="7"/>
      <c r="F9" s="7"/>
      <c r="G9" s="7"/>
      <c r="H9" s="7"/>
      <c r="I9" s="77"/>
      <c r="J9" s="7">
        <f>I10</f>
        <v>0</v>
      </c>
      <c r="K9" s="7">
        <f>I11</f>
        <v>0</v>
      </c>
      <c r="L9" s="7">
        <f>I12</f>
        <v>0</v>
      </c>
      <c r="M9" s="7">
        <f>I13</f>
        <v>0</v>
      </c>
      <c r="N9" s="7">
        <f>I14</f>
        <v>0</v>
      </c>
      <c r="O9" s="7">
        <f>I15</f>
        <v>0</v>
      </c>
      <c r="P9" s="7">
        <f>I16</f>
        <v>0</v>
      </c>
      <c r="Q9" s="78">
        <f>I17</f>
        <v>0</v>
      </c>
      <c r="R9" s="78">
        <f>I18</f>
        <v>0</v>
      </c>
      <c r="S9" s="76">
        <f>I19</f>
        <v>0</v>
      </c>
      <c r="T9" s="76">
        <f>I20</f>
        <v>0</v>
      </c>
      <c r="U9" s="76">
        <f>I21</f>
        <v>0</v>
      </c>
      <c r="V9" s="76">
        <f>I22</f>
        <v>0</v>
      </c>
      <c r="W9" s="6">
        <f>I23</f>
        <v>0</v>
      </c>
    </row>
    <row r="10" spans="1:23" ht="29.15" customHeight="1" x14ac:dyDescent="0.35">
      <c r="A10" s="177"/>
      <c r="B10" s="3">
        <f>Neu!B11</f>
        <v>0</v>
      </c>
      <c r="C10" s="85"/>
      <c r="D10" s="7"/>
      <c r="E10" s="7"/>
      <c r="F10" s="7"/>
      <c r="G10" s="7"/>
      <c r="H10" s="7"/>
      <c r="I10" s="7"/>
      <c r="J10" s="77"/>
      <c r="K10" s="7">
        <f>J11</f>
        <v>0</v>
      </c>
      <c r="L10" s="7">
        <f>J12</f>
        <v>0</v>
      </c>
      <c r="M10" s="7">
        <f>J13</f>
        <v>0</v>
      </c>
      <c r="N10" s="7">
        <f>J14</f>
        <v>0</v>
      </c>
      <c r="O10" s="7">
        <f>J15</f>
        <v>0</v>
      </c>
      <c r="P10" s="7">
        <f>J16</f>
        <v>0</v>
      </c>
      <c r="Q10" s="78">
        <f>J17</f>
        <v>0</v>
      </c>
      <c r="R10" s="78">
        <f>J18</f>
        <v>0</v>
      </c>
      <c r="S10" s="76">
        <f>J19</f>
        <v>0</v>
      </c>
      <c r="T10" s="76">
        <f>J20</f>
        <v>0</v>
      </c>
      <c r="U10" s="76">
        <f>J21</f>
        <v>0</v>
      </c>
      <c r="V10" s="76">
        <f>J22</f>
        <v>0</v>
      </c>
      <c r="W10" s="6">
        <f>J23</f>
        <v>0</v>
      </c>
    </row>
    <row r="11" spans="1:23" ht="29.15" customHeight="1" x14ac:dyDescent="0.35">
      <c r="A11" s="177"/>
      <c r="B11" s="3">
        <f>Neu!B12</f>
        <v>0</v>
      </c>
      <c r="C11" s="85"/>
      <c r="D11" s="7"/>
      <c r="E11" s="7"/>
      <c r="F11" s="7"/>
      <c r="G11" s="7"/>
      <c r="H11" s="7"/>
      <c r="I11" s="7"/>
      <c r="J11" s="7"/>
      <c r="K11" s="77"/>
      <c r="L11" s="7">
        <f>K12</f>
        <v>0</v>
      </c>
      <c r="M11" s="7">
        <f>K13</f>
        <v>0</v>
      </c>
      <c r="N11" s="7">
        <f>K14</f>
        <v>0</v>
      </c>
      <c r="O11" s="7">
        <f>K15</f>
        <v>0</v>
      </c>
      <c r="P11" s="7">
        <f>K16</f>
        <v>0</v>
      </c>
      <c r="Q11" s="78">
        <f>K17</f>
        <v>0</v>
      </c>
      <c r="R11" s="78">
        <f>K18</f>
        <v>0</v>
      </c>
      <c r="S11" s="76">
        <f>K19</f>
        <v>0</v>
      </c>
      <c r="T11" s="76">
        <f>K20</f>
        <v>0</v>
      </c>
      <c r="U11" s="76">
        <f>K21</f>
        <v>0</v>
      </c>
      <c r="V11" s="76">
        <f>K22</f>
        <v>0</v>
      </c>
      <c r="W11" s="6">
        <f>K23</f>
        <v>0</v>
      </c>
    </row>
    <row r="12" spans="1:23" ht="29.15" customHeight="1" x14ac:dyDescent="0.35">
      <c r="A12" s="177"/>
      <c r="B12" s="3">
        <f>Neu!B13</f>
        <v>0</v>
      </c>
      <c r="C12" s="85"/>
      <c r="D12" s="7"/>
      <c r="E12" s="7"/>
      <c r="F12" s="7"/>
      <c r="G12" s="7"/>
      <c r="H12" s="7"/>
      <c r="I12" s="7"/>
      <c r="J12" s="7"/>
      <c r="K12" s="7"/>
      <c r="L12" s="77"/>
      <c r="M12" s="7">
        <f>L13</f>
        <v>0</v>
      </c>
      <c r="N12" s="7">
        <f>L14</f>
        <v>0</v>
      </c>
      <c r="O12" s="7">
        <f>L15</f>
        <v>0</v>
      </c>
      <c r="P12" s="7">
        <f>L16</f>
        <v>0</v>
      </c>
      <c r="Q12" s="78">
        <f>L17</f>
        <v>0</v>
      </c>
      <c r="R12" s="78">
        <f>L18</f>
        <v>0</v>
      </c>
      <c r="S12" s="76">
        <f>L19</f>
        <v>0</v>
      </c>
      <c r="T12" s="76">
        <f>L20</f>
        <v>0</v>
      </c>
      <c r="U12" s="76">
        <f>L21</f>
        <v>0</v>
      </c>
      <c r="V12" s="76">
        <f>L22</f>
        <v>0</v>
      </c>
      <c r="W12" s="6">
        <f>L23</f>
        <v>0</v>
      </c>
    </row>
    <row r="13" spans="1:23" ht="29.15" customHeight="1" x14ac:dyDescent="0.35">
      <c r="A13" s="177"/>
      <c r="B13" s="3">
        <f>Neu!B14</f>
        <v>0</v>
      </c>
      <c r="C13" s="85"/>
      <c r="D13" s="7"/>
      <c r="E13" s="7"/>
      <c r="F13" s="7"/>
      <c r="G13" s="7"/>
      <c r="H13" s="7"/>
      <c r="I13" s="7"/>
      <c r="J13" s="7"/>
      <c r="K13" s="7"/>
      <c r="L13" s="7"/>
      <c r="M13" s="77"/>
      <c r="N13" s="7">
        <f>M14</f>
        <v>0</v>
      </c>
      <c r="O13" s="7">
        <f>M15</f>
        <v>0</v>
      </c>
      <c r="P13" s="7">
        <f>M16</f>
        <v>0</v>
      </c>
      <c r="Q13" s="78">
        <f>M17</f>
        <v>0</v>
      </c>
      <c r="R13" s="78">
        <f>M18</f>
        <v>0</v>
      </c>
      <c r="S13" s="76">
        <f>M19</f>
        <v>0</v>
      </c>
      <c r="T13" s="76">
        <f>M20</f>
        <v>0</v>
      </c>
      <c r="U13" s="76">
        <f>M21</f>
        <v>0</v>
      </c>
      <c r="V13" s="76">
        <f>M22</f>
        <v>0</v>
      </c>
      <c r="W13" s="6">
        <f>M23</f>
        <v>0</v>
      </c>
    </row>
    <row r="14" spans="1:23" ht="29.15" customHeight="1" x14ac:dyDescent="0.35">
      <c r="A14" s="177"/>
      <c r="B14" s="3">
        <f>Neu!B15</f>
        <v>0</v>
      </c>
      <c r="C14" s="85"/>
      <c r="D14" s="7"/>
      <c r="E14" s="7"/>
      <c r="F14" s="7"/>
      <c r="G14" s="7"/>
      <c r="H14" s="7"/>
      <c r="I14" s="7"/>
      <c r="J14" s="7"/>
      <c r="K14" s="7"/>
      <c r="L14" s="7"/>
      <c r="M14" s="7"/>
      <c r="N14" s="77"/>
      <c r="O14" s="7">
        <f>N15</f>
        <v>0</v>
      </c>
      <c r="P14" s="7">
        <f>N16</f>
        <v>0</v>
      </c>
      <c r="Q14" s="78">
        <f>N17</f>
        <v>0</v>
      </c>
      <c r="R14" s="78">
        <f>N18</f>
        <v>0</v>
      </c>
      <c r="S14" s="76">
        <f>N19</f>
        <v>0</v>
      </c>
      <c r="T14" s="76">
        <f>N20</f>
        <v>0</v>
      </c>
      <c r="U14" s="76">
        <f>N21</f>
        <v>0</v>
      </c>
      <c r="V14" s="76">
        <f>N22</f>
        <v>0</v>
      </c>
      <c r="W14" s="6">
        <f>N23</f>
        <v>0</v>
      </c>
    </row>
    <row r="15" spans="1:23" ht="29.15" customHeight="1" x14ac:dyDescent="0.35">
      <c r="A15" s="177"/>
      <c r="B15" s="3">
        <f>Neu!B16</f>
        <v>0</v>
      </c>
      <c r="C15" s="85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7"/>
      <c r="P15" s="7">
        <f>O16</f>
        <v>0</v>
      </c>
      <c r="Q15" s="78">
        <f>O17</f>
        <v>0</v>
      </c>
      <c r="R15" s="78">
        <f>O18</f>
        <v>0</v>
      </c>
      <c r="S15" s="76">
        <f>O19</f>
        <v>0</v>
      </c>
      <c r="T15" s="76">
        <f>O20</f>
        <v>0</v>
      </c>
      <c r="U15" s="76">
        <f>O21</f>
        <v>0</v>
      </c>
      <c r="V15" s="76">
        <f>O22</f>
        <v>0</v>
      </c>
      <c r="W15" s="6">
        <f>O23</f>
        <v>0</v>
      </c>
    </row>
    <row r="16" spans="1:23" ht="29.15" customHeight="1" x14ac:dyDescent="0.35">
      <c r="A16" s="177"/>
      <c r="B16" s="3">
        <f>Neu!B17</f>
        <v>0</v>
      </c>
      <c r="C16" s="85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7"/>
      <c r="Q16" s="78">
        <f>P17</f>
        <v>0</v>
      </c>
      <c r="R16" s="78">
        <f>P18</f>
        <v>0</v>
      </c>
      <c r="S16" s="76">
        <f>P19</f>
        <v>0</v>
      </c>
      <c r="T16" s="76">
        <f>P20</f>
        <v>0</v>
      </c>
      <c r="U16" s="76">
        <f>P21</f>
        <v>0</v>
      </c>
      <c r="V16" s="76">
        <f>P22</f>
        <v>0</v>
      </c>
      <c r="W16" s="6">
        <f>P23</f>
        <v>0</v>
      </c>
    </row>
    <row r="17" spans="1:23" ht="29.15" customHeight="1" x14ac:dyDescent="0.35">
      <c r="A17" s="177"/>
      <c r="B17" s="3">
        <f>Neu!B18</f>
        <v>0</v>
      </c>
      <c r="C17" s="86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80"/>
      <c r="R17" s="78">
        <f>Q18</f>
        <v>0</v>
      </c>
      <c r="S17" s="76">
        <f>Q19</f>
        <v>0</v>
      </c>
      <c r="T17" s="76">
        <f>Q20</f>
        <v>0</v>
      </c>
      <c r="U17" s="76">
        <f>Q21</f>
        <v>0</v>
      </c>
      <c r="V17" s="76">
        <f>Q22</f>
        <v>0</v>
      </c>
      <c r="W17" s="6">
        <f>Q23</f>
        <v>0</v>
      </c>
    </row>
    <row r="18" spans="1:23" ht="29.15" customHeight="1" x14ac:dyDescent="0.35">
      <c r="B18" s="3">
        <f>Neu!B19</f>
        <v>0</v>
      </c>
      <c r="C18" s="85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7"/>
      <c r="S18" s="76">
        <f>R19</f>
        <v>0</v>
      </c>
      <c r="T18" s="76">
        <f>R20</f>
        <v>0</v>
      </c>
      <c r="U18" s="76">
        <f>R21</f>
        <v>0</v>
      </c>
      <c r="V18" s="76">
        <f>R22</f>
        <v>0</v>
      </c>
      <c r="W18" s="6">
        <f>R23</f>
        <v>0</v>
      </c>
    </row>
    <row r="19" spans="1:23" ht="29.15" customHeight="1" x14ac:dyDescent="0.35">
      <c r="B19" s="3">
        <f>Neu!B20</f>
        <v>0</v>
      </c>
      <c r="C19" s="85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7"/>
      <c r="T19" s="76">
        <f>S20</f>
        <v>0</v>
      </c>
      <c r="U19" s="76">
        <f>S21</f>
        <v>0</v>
      </c>
      <c r="V19" s="76">
        <f>S22</f>
        <v>0</v>
      </c>
      <c r="W19" s="6">
        <f>S23</f>
        <v>0</v>
      </c>
    </row>
    <row r="20" spans="1:23" ht="29.15" customHeight="1" x14ac:dyDescent="0.35">
      <c r="B20" s="3">
        <f>Neu!B21</f>
        <v>0</v>
      </c>
      <c r="C20" s="85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7"/>
      <c r="U20" s="76">
        <f>T21</f>
        <v>0</v>
      </c>
      <c r="V20" s="76">
        <f>T22</f>
        <v>0</v>
      </c>
      <c r="W20" s="6">
        <f>T23</f>
        <v>0</v>
      </c>
    </row>
    <row r="21" spans="1:23" ht="29.15" customHeight="1" x14ac:dyDescent="0.35">
      <c r="B21" s="3">
        <f>Neu!B22</f>
        <v>0</v>
      </c>
      <c r="C21" s="85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7"/>
      <c r="V21" s="76">
        <f>U22</f>
        <v>0</v>
      </c>
      <c r="W21" s="6">
        <f>U23</f>
        <v>0</v>
      </c>
    </row>
    <row r="22" spans="1:23" ht="29.15" customHeight="1" x14ac:dyDescent="0.35">
      <c r="B22" s="3">
        <f>Neu!B23</f>
        <v>0</v>
      </c>
      <c r="C22" s="85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7"/>
      <c r="W22" s="6">
        <f>V23</f>
        <v>0</v>
      </c>
    </row>
    <row r="23" spans="1:23" ht="29.15" customHeight="1" thickBot="1" x14ac:dyDescent="0.4">
      <c r="B23" s="5">
        <f>Neu!B24</f>
        <v>0</v>
      </c>
      <c r="C23" s="87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8"/>
    </row>
  </sheetData>
  <mergeCells count="3">
    <mergeCell ref="A1:B2"/>
    <mergeCell ref="C1:Q1"/>
    <mergeCell ref="A3:A17"/>
  </mergeCells>
  <conditionalFormatting sqref="B3:B23">
    <cfRule type="cellIs" dxfId="2" priority="10" operator="equal">
      <formula>0</formula>
    </cfRule>
  </conditionalFormatting>
  <conditionalFormatting sqref="C2:W2">
    <cfRule type="cellIs" dxfId="1" priority="11" operator="equal">
      <formula>0</formula>
    </cfRule>
  </conditionalFormatting>
  <conditionalFormatting sqref="C3:W23">
    <cfRule type="colorScale" priority="9">
      <colorScale>
        <cfvo type="min"/>
        <cfvo type="max"/>
        <color theme="0"/>
        <color rgb="FFFF0000"/>
      </colorScale>
    </cfRule>
  </conditionalFormatting>
  <conditionalFormatting sqref="D3:W3 E4:W4 F5:W5 G6:W6 H7:W7 I8:W8 J9:W9 K10:W10 L11:W11 M12:W12 N13:W13 O14:W14 P15:W15 Q16:W16 R17:W17 S18:W18 T19:W19 U20:W20 V21:W21 W22">
    <cfRule type="colorScale" priority="7">
      <colorScale>
        <cfvo type="min"/>
        <cfvo type="max"/>
        <color theme="4" tint="0.79998168889431442"/>
        <color rgb="FFFF0000"/>
      </colorScale>
    </cfRule>
    <cfRule type="cellIs" dxfId="0" priority="8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96B3F-1986-4354-A84F-16C9FEE09D83}">
  <dimension ref="A1:D4"/>
  <sheetViews>
    <sheetView workbookViewId="0">
      <selection activeCell="C9" sqref="C9"/>
    </sheetView>
  </sheetViews>
  <sheetFormatPr defaultColWidth="9.1796875" defaultRowHeight="14.5" x14ac:dyDescent="0.35"/>
  <cols>
    <col min="1" max="1" width="35.453125" style="25" customWidth="1"/>
    <col min="2" max="2" width="10.81640625" style="26" customWidth="1"/>
    <col min="3" max="3" width="9.1796875" style="26"/>
    <col min="4" max="4" width="17.1796875" style="26" customWidth="1"/>
    <col min="5" max="16384" width="9.1796875" style="26"/>
  </cols>
  <sheetData>
    <row r="1" spans="1:4" x14ac:dyDescent="0.35">
      <c r="A1" s="27"/>
      <c r="B1" s="28" t="s">
        <v>15</v>
      </c>
      <c r="C1" s="28" t="s">
        <v>16</v>
      </c>
      <c r="D1" s="28" t="s">
        <v>17</v>
      </c>
    </row>
    <row r="2" spans="1:4" x14ac:dyDescent="0.35">
      <c r="A2" s="27" t="s">
        <v>18</v>
      </c>
      <c r="B2" s="34">
        <v>0</v>
      </c>
      <c r="C2" s="34">
        <v>50</v>
      </c>
      <c r="D2" s="34">
        <v>10</v>
      </c>
    </row>
    <row r="3" spans="1:4" x14ac:dyDescent="0.35">
      <c r="A3" s="27" t="s">
        <v>20</v>
      </c>
      <c r="B3" s="34">
        <v>0</v>
      </c>
      <c r="C3" s="34">
        <v>200</v>
      </c>
      <c r="D3" s="34">
        <v>10</v>
      </c>
    </row>
    <row r="4" spans="1:4" x14ac:dyDescent="0.35">
      <c r="A4" s="27" t="s">
        <v>19</v>
      </c>
      <c r="B4" s="34">
        <v>0</v>
      </c>
      <c r="C4" s="34">
        <v>200</v>
      </c>
      <c r="D4" s="34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Neu</vt:lpstr>
      <vt:lpstr>main.smu</vt:lpstr>
      <vt:lpstr>cs_g</vt:lpstr>
      <vt:lpstr>cs_E</vt:lpstr>
      <vt:lpstr>cs_FAT</vt:lpstr>
      <vt:lpstr>es</vt:lpstr>
      <vt:lpstr>noise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Neveu, Curtis L</dc:creator>
  <cp:lastModifiedBy>Uri Dickman</cp:lastModifiedBy>
  <dcterms:created xsi:type="dcterms:W3CDTF">2020-08-05T22:20:23Z</dcterms:created>
  <dcterms:modified xsi:type="dcterms:W3CDTF">2024-11-24T16:19:01Z</dcterms:modified>
</cp:coreProperties>
</file>