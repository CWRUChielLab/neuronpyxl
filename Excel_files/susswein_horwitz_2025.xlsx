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99A6F67A-66E1-444D-ABC6-FA1D58FA7E52}" xr6:coauthVersionLast="47" xr6:coauthVersionMax="47" xr10:uidLastSave="{00000000-0000-0000-0000-000000000000}"/>
  <bookViews>
    <workbookView xWindow="-110" yWindow="-110" windowWidth="19420" windowHeight="10300" tabRatio="716" activeTab="6" xr2:uid="{F0735362-4961-42D4-9F52-DCA2C5A03203}"/>
  </bookViews>
  <sheets>
    <sheet name="Neu" sheetId="3" r:id="rId1"/>
    <sheet name="cs_g" sheetId="1" r:id="rId2"/>
    <sheet name="cs_E" sheetId="2" r:id="rId3"/>
    <sheet name="cs_FAT" sheetId="4" r:id="rId4"/>
    <sheet name="es" sheetId="5" r:id="rId5"/>
    <sheet name="noise" sheetId="7" r:id="rId6"/>
    <sheet name="BMP_test.smu" sheetId="10" r:id="rId7"/>
    <sheet name="BMP_TONIC.smu" sheetId="9" r:id="rId8"/>
    <sheet name="BMP2SIMPLE.smu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35" i="3" l="1"/>
  <c r="BD34" i="3"/>
  <c r="BD33" i="3"/>
  <c r="BD32" i="3"/>
  <c r="BD31" i="3"/>
  <c r="Z35" i="3"/>
  <c r="Z34" i="3"/>
  <c r="Z33" i="3"/>
  <c r="Z32" i="3"/>
  <c r="Z31" i="3"/>
  <c r="O35" i="3"/>
  <c r="O34" i="3"/>
  <c r="O33" i="3"/>
  <c r="O32" i="3"/>
  <c r="O31" i="3"/>
  <c r="M3" i="5"/>
  <c r="P3" i="5"/>
  <c r="P12" i="5"/>
  <c r="Z38" i="4"/>
  <c r="Z39" i="4"/>
  <c r="Z40" i="4"/>
  <c r="Z41" i="4"/>
  <c r="J7" i="5"/>
  <c r="Y3" i="4"/>
  <c r="BD51" i="3"/>
  <c r="BD50" i="3"/>
  <c r="BD49" i="3"/>
  <c r="BD48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O47" i="3"/>
  <c r="O46" i="3"/>
  <c r="O45" i="3"/>
  <c r="O44" i="3"/>
  <c r="O43" i="3"/>
  <c r="O42" i="3"/>
  <c r="O41" i="3"/>
  <c r="O40" i="3"/>
  <c r="O39" i="3"/>
  <c r="O38" i="3"/>
  <c r="O37" i="3"/>
  <c r="O36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9" i="3" l="1"/>
  <c r="A10" i="3"/>
  <c r="A11" i="3" l="1"/>
  <c r="A12" i="3"/>
  <c r="A13" i="3"/>
  <c r="A14" i="3"/>
  <c r="A15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M5" i="5"/>
  <c r="L5" i="5"/>
  <c r="K5" i="5"/>
  <c r="J5" i="5"/>
  <c r="I5" i="5"/>
  <c r="H5" i="5"/>
  <c r="M4" i="5"/>
  <c r="L4" i="5"/>
  <c r="K4" i="5"/>
  <c r="J4" i="5"/>
  <c r="I4" i="5"/>
  <c r="H4" i="5"/>
  <c r="L3" i="5"/>
  <c r="K3" i="5"/>
  <c r="J3" i="5"/>
  <c r="I3" i="5"/>
  <c r="H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<sst xmlns="http://schemas.openxmlformats.org/spreadsheetml/2006/main" count="610" uniqueCount="173">
  <si>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</si>
  <si>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</si>
  <si>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</si>
  <si>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</si>
  <si>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</si>
  <si>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</si>
  <si>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</si>
  <si>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</si>
  <si>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</si>
  <si>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</si>
  <si>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</si>
  <si>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</si>
  <si>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</si>
  <si>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</si>
  <si>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</si>
  <si>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</si>
  <si>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</si>
  <si>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</si>
  <si>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</si>
  <si>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</si>
  <si>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</si>
  <si>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</si>
  <si>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</si>
  <si>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</si>
  <si>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</si>
  <si>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</si>
  <si>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</si>
  <si>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</si>
  <si>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</si>
  <si>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</si>
  <si>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</si>
  <si>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</si>
  <si>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</si>
  <si>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</si>
  <si>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</si>
  <si>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</si>
  <si>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</si>
  <si>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</si>
  <si>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</si>
  <si>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</si>
  <si>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</si>
  <si>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</si>
  <si>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</si>
  <si>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</si>
  <si>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</si>
  <si>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</si>
  <si>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</si>
  <si>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</si>
  <si>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</si>
  <si>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</si>
  <si>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</si>
  <si>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</si>
  <si>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</si>
  <si>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</si>
  <si>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</si>
  <si>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</si>
  <si>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</si>
  <si>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</si>
  <si>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</si>
  <si>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</si>
  <si>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</si>
  <si>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</si>
  <si>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</si>
  <si>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</si>
  <si>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</si>
  <si>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</si>
  <si>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</si>
  <si>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</si>
  <si>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</si>
  <si>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</si>
  <si>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</si>
  <si>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</si>
  <si>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</si>
  <si>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</si>
  <si>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</si>
  <si>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</si>
  <si>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</si>
  <si>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</si>
  <si>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</si>
  <si>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</si>
  <si>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</si>
  <si>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</si>
  <si>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</si>
  <si>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</si>
  <si>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</si>
  <si>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</si>
  <si>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</si>
  <si>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</si>
  <si>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</si>
  <si>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</si>
  <si>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</si>
  <si>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</si>
  <si>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</si>
  <si>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</si>
  <si>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</si>
  <si>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</si>
  <si>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</si>
  <si>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</si>
  <si>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</si>
  <si>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</si>
  <si>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</si>
  <si>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</si>
  <si>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</si>
  <si>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</si>
  <si>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</si>
  <si>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</si>
  <si>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</si>
  <si>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</si>
  <si>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</si>
  <si>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</si>
  <si>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</si>
  <si>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</si>
  <si>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</si>
  <si>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</si>
  <si>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</si>
  <si>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</si>
  <si>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</si>
  <si>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</si>
  <si>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</si>
  <si>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</si>
  <si>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</si>
  <si>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</si>
  <si>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</si>
  <si>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</si>
  <si>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</si>
  <si>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</si>
  <si>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</si>
  <si>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</si>
  <si>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</si>
  <si>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</si>
  <si>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</si>
  <si>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</si>
  <si>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</si>
  <si>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</si>
  <si>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</si>
  <si>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sIVD_reg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</si>
  <si>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</si>
  <si>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</si>
  <si>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</si>
  <si>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</si>
  <si>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</si>
  <si>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</si>
  <si>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</si>
  <si>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</si>
  <si>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</si>
  <si>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</si>
  <si>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</si>
  <si>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</si>
  <si>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</si>
  <si>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</si>
  <si>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</si>
  <si>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</si>
  <si>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</si>
  <si>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</si>
  <si>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</si>
  <si>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</si>
  <si>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</si>
  <si>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</si>
  <si>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</si>
  <si>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</si>
  <si>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</si>
  <si>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Na</t>
  </si>
  <si>
    <t>Ka</t>
  </si>
  <si>
    <t>K_main</t>
  </si>
  <si>
    <t>Kv</t>
  </si>
  <si>
    <t>Napp</t>
  </si>
  <si>
    <t>BMP2SIMPLE</t>
  </si>
  <si>
    <t>BMP_TONIC</t>
  </si>
  <si>
    <t>B63s</t>
  </si>
  <si>
    <t>B63a</t>
  </si>
  <si>
    <t>B31s</t>
  </si>
  <si>
    <t>B64s</t>
  </si>
  <si>
    <t>B64a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</si>
</sst>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7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30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</cellXfs>
  <cellStyles count="1">
    <cellStyle name="Normal" xfId="0" builtinId="0"/>
  </cellStyles>
  <dxfs count="52"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JD62"/>
  <sheetViews>
    <sheetView zoomScale="72" zoomScaleNormal="70" workbookViewId="0">
      <pane xSplit="1" topLeftCell="M1" activePane="topRight" state="frozen"/>
      <selection pane="topRight" activeCell="AG7" sqref="AG7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141" x14ac:dyDescent="0.35">
      <c r="D1" s="55" t="s">
        <v>86</v>
      </c>
      <c r="E1" s="157" t="s">
        <v>87</v>
      </c>
      <c r="F1" s="158"/>
      <c r="G1" s="149" t="s">
        <v>161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1"/>
      <c r="AH1" s="149" t="s">
        <v>162</v>
      </c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1"/>
      <c r="BI1" s="149" t="s">
        <v>164</v>
      </c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1"/>
      <c r="CJ1" s="149" t="s">
        <v>163</v>
      </c>
      <c r="CK1" s="150"/>
      <c r="CL1" s="150"/>
      <c r="CM1" s="150"/>
      <c r="CN1" s="150"/>
      <c r="CO1" s="150"/>
      <c r="CP1" s="150"/>
      <c r="CQ1" s="150"/>
      <c r="CR1" s="150"/>
      <c r="CS1" s="150"/>
      <c r="CT1" s="150"/>
      <c r="CU1" s="150"/>
      <c r="CV1" s="150"/>
      <c r="CW1" s="150"/>
      <c r="CX1" s="150"/>
      <c r="CY1" s="150"/>
      <c r="CZ1" s="150"/>
      <c r="DA1" s="150"/>
      <c r="DB1" s="150"/>
      <c r="DC1" s="150"/>
      <c r="DD1" s="150"/>
      <c r="DE1" s="150"/>
      <c r="DF1" s="150"/>
      <c r="DG1" s="150"/>
      <c r="DH1" s="150"/>
      <c r="DI1" s="150"/>
      <c r="DJ1" s="151"/>
      <c r="DK1" s="149" t="s">
        <v>165</v>
      </c>
      <c r="DL1" s="150"/>
      <c r="DM1" s="150"/>
      <c r="DN1" s="150"/>
      <c r="DO1" s="150"/>
      <c r="DP1" s="150"/>
      <c r="DQ1" s="150"/>
      <c r="DR1" s="150"/>
      <c r="DS1" s="150"/>
      <c r="DT1" s="150"/>
      <c r="DU1" s="150"/>
      <c r="DV1" s="150"/>
      <c r="DW1" s="150"/>
      <c r="DX1" s="150"/>
      <c r="DY1" s="150"/>
      <c r="DZ1" s="150"/>
      <c r="EA1" s="150"/>
      <c r="EB1" s="150"/>
      <c r="EC1" s="150"/>
      <c r="ED1" s="150"/>
      <c r="EE1" s="150"/>
      <c r="EF1" s="150"/>
      <c r="EG1" s="150"/>
      <c r="EH1" s="150"/>
      <c r="EI1" s="150"/>
      <c r="EJ1" s="150"/>
      <c r="EK1" s="151"/>
    </row>
    <row r="2" spans="1:141" ht="15" thickBot="1" x14ac:dyDescent="0.4">
      <c r="E2" s="152" t="s">
        <v>88</v>
      </c>
      <c r="F2" s="156"/>
      <c r="G2" s="152" t="s">
        <v>88</v>
      </c>
      <c r="H2" s="153"/>
      <c r="I2" s="154"/>
      <c r="J2" s="155" t="s">
        <v>50</v>
      </c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4"/>
      <c r="V2" s="155" t="s">
        <v>51</v>
      </c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6"/>
      <c r="AH2" s="152" t="s">
        <v>88</v>
      </c>
      <c r="AI2" s="153"/>
      <c r="AJ2" s="154"/>
      <c r="AK2" s="155" t="s">
        <v>50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4"/>
      <c r="AW2" s="155" t="s">
        <v>51</v>
      </c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6"/>
      <c r="BI2" s="152" t="s">
        <v>88</v>
      </c>
      <c r="BJ2" s="153"/>
      <c r="BK2" s="154"/>
      <c r="BL2" s="155" t="s">
        <v>50</v>
      </c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4"/>
      <c r="BX2" s="155" t="s">
        <v>51</v>
      </c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6"/>
      <c r="CJ2" s="152" t="s">
        <v>88</v>
      </c>
      <c r="CK2" s="153"/>
      <c r="CL2" s="154"/>
      <c r="CM2" s="155" t="s">
        <v>50</v>
      </c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4"/>
      <c r="CY2" s="155" t="s">
        <v>51</v>
      </c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6"/>
      <c r="DK2" s="152" t="s">
        <v>88</v>
      </c>
      <c r="DL2" s="153"/>
      <c r="DM2" s="154"/>
      <c r="DN2" s="155" t="s">
        <v>50</v>
      </c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4"/>
      <c r="DZ2" s="155" t="s">
        <v>51</v>
      </c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6"/>
    </row>
    <row r="3" spans="1:141" ht="15" thickBot="1" x14ac:dyDescent="0.4">
      <c r="B3" s="90" t="s">
        <v>0</v>
      </c>
      <c r="C3" s="91" t="s">
        <v>1</v>
      </c>
      <c r="D3" s="58" t="s">
        <v>131</v>
      </c>
      <c r="E3" s="96" t="s">
        <v>2</v>
      </c>
      <c r="F3" s="97" t="s">
        <v>3</v>
      </c>
      <c r="G3" s="98" t="s">
        <v>2</v>
      </c>
      <c r="H3" s="99" t="s">
        <v>10</v>
      </c>
      <c r="I3" s="99" t="s">
        <v>3</v>
      </c>
      <c r="J3" s="99" t="s">
        <v>92</v>
      </c>
      <c r="K3" s="99" t="s">
        <v>8</v>
      </c>
      <c r="L3" s="99" t="s">
        <v>9</v>
      </c>
      <c r="M3" s="99" t="s">
        <v>10</v>
      </c>
      <c r="N3" s="99" t="s">
        <v>89</v>
      </c>
      <c r="O3" s="99" t="s">
        <v>90</v>
      </c>
      <c r="P3" s="99" t="s">
        <v>94</v>
      </c>
      <c r="Q3" s="99" t="s">
        <v>95</v>
      </c>
      <c r="R3" s="99" t="s">
        <v>96</v>
      </c>
      <c r="S3" s="99" t="s">
        <v>97</v>
      </c>
      <c r="T3" s="99" t="s">
        <v>98</v>
      </c>
      <c r="U3" s="99" t="s">
        <v>99</v>
      </c>
      <c r="V3" s="99" t="s">
        <v>93</v>
      </c>
      <c r="W3" s="99" t="s">
        <v>8</v>
      </c>
      <c r="X3" s="99" t="s">
        <v>9</v>
      </c>
      <c r="Y3" s="99" t="s">
        <v>10</v>
      </c>
      <c r="Z3" s="99" t="s">
        <v>89</v>
      </c>
      <c r="AA3" s="99" t="s">
        <v>90</v>
      </c>
      <c r="AB3" s="99" t="s">
        <v>94</v>
      </c>
      <c r="AC3" s="99" t="s">
        <v>95</v>
      </c>
      <c r="AD3" s="99" t="s">
        <v>96</v>
      </c>
      <c r="AE3" s="99" t="s">
        <v>97</v>
      </c>
      <c r="AF3" s="99" t="s">
        <v>98</v>
      </c>
      <c r="AG3" s="100" t="s">
        <v>99</v>
      </c>
      <c r="AH3" s="98" t="s">
        <v>2</v>
      </c>
      <c r="AI3" s="99" t="s">
        <v>10</v>
      </c>
      <c r="AJ3" s="99" t="s">
        <v>3</v>
      </c>
      <c r="AK3" s="99" t="s">
        <v>92</v>
      </c>
      <c r="AL3" s="99" t="s">
        <v>8</v>
      </c>
      <c r="AM3" s="99" t="s">
        <v>9</v>
      </c>
      <c r="AN3" s="99" t="s">
        <v>10</v>
      </c>
      <c r="AO3" s="99" t="s">
        <v>89</v>
      </c>
      <c r="AP3" s="99" t="s">
        <v>90</v>
      </c>
      <c r="AQ3" s="99" t="s">
        <v>94</v>
      </c>
      <c r="AR3" s="99" t="s">
        <v>95</v>
      </c>
      <c r="AS3" s="99" t="s">
        <v>96</v>
      </c>
      <c r="AT3" s="99" t="s">
        <v>97</v>
      </c>
      <c r="AU3" s="99" t="s">
        <v>98</v>
      </c>
      <c r="AV3" s="99" t="s">
        <v>99</v>
      </c>
      <c r="AW3" s="99" t="s">
        <v>93</v>
      </c>
      <c r="AX3" s="99" t="s">
        <v>8</v>
      </c>
      <c r="AY3" s="99" t="s">
        <v>9</v>
      </c>
      <c r="AZ3" s="99" t="s">
        <v>10</v>
      </c>
      <c r="BA3" s="99" t="s">
        <v>89</v>
      </c>
      <c r="BB3" s="99" t="s">
        <v>90</v>
      </c>
      <c r="BC3" s="99" t="s">
        <v>94</v>
      </c>
      <c r="BD3" s="99" t="s">
        <v>95</v>
      </c>
      <c r="BE3" s="99" t="s">
        <v>96</v>
      </c>
      <c r="BF3" s="99" t="s">
        <v>97</v>
      </c>
      <c r="BG3" s="99" t="s">
        <v>98</v>
      </c>
      <c r="BH3" s="100" t="s">
        <v>99</v>
      </c>
      <c r="BI3" s="98" t="s">
        <v>2</v>
      </c>
      <c r="BJ3" s="99" t="s">
        <v>10</v>
      </c>
      <c r="BK3" s="99" t="s">
        <v>3</v>
      </c>
      <c r="BL3" s="99" t="s">
        <v>92</v>
      </c>
      <c r="BM3" s="99" t="s">
        <v>8</v>
      </c>
      <c r="BN3" s="99" t="s">
        <v>9</v>
      </c>
      <c r="BO3" s="99" t="s">
        <v>10</v>
      </c>
      <c r="BP3" s="99" t="s">
        <v>89</v>
      </c>
      <c r="BQ3" s="99" t="s">
        <v>90</v>
      </c>
      <c r="BR3" s="99" t="s">
        <v>94</v>
      </c>
      <c r="BS3" s="99" t="s">
        <v>95</v>
      </c>
      <c r="BT3" s="99" t="s">
        <v>96</v>
      </c>
      <c r="BU3" s="99" t="s">
        <v>97</v>
      </c>
      <c r="BV3" s="99" t="s">
        <v>98</v>
      </c>
      <c r="BW3" s="99" t="s">
        <v>99</v>
      </c>
      <c r="BX3" s="99" t="s">
        <v>93</v>
      </c>
      <c r="BY3" s="99" t="s">
        <v>8</v>
      </c>
      <c r="BZ3" s="99" t="s">
        <v>9</v>
      </c>
      <c r="CA3" s="99" t="s">
        <v>10</v>
      </c>
      <c r="CB3" s="99" t="s">
        <v>89</v>
      </c>
      <c r="CC3" s="99" t="s">
        <v>90</v>
      </c>
      <c r="CD3" s="99" t="s">
        <v>94</v>
      </c>
      <c r="CE3" s="99" t="s">
        <v>95</v>
      </c>
      <c r="CF3" s="99" t="s">
        <v>96</v>
      </c>
      <c r="CG3" s="99" t="s">
        <v>97</v>
      </c>
      <c r="CH3" s="99" t="s">
        <v>98</v>
      </c>
      <c r="CI3" s="100" t="s">
        <v>99</v>
      </c>
      <c r="CJ3" s="98" t="s">
        <v>2</v>
      </c>
      <c r="CK3" s="99" t="s">
        <v>10</v>
      </c>
      <c r="CL3" s="99" t="s">
        <v>3</v>
      </c>
      <c r="CM3" s="99" t="s">
        <v>92</v>
      </c>
      <c r="CN3" s="99" t="s">
        <v>8</v>
      </c>
      <c r="CO3" s="99" t="s">
        <v>9</v>
      </c>
      <c r="CP3" s="99" t="s">
        <v>10</v>
      </c>
      <c r="CQ3" s="99" t="s">
        <v>89</v>
      </c>
      <c r="CR3" s="99" t="s">
        <v>90</v>
      </c>
      <c r="CS3" s="99" t="s">
        <v>94</v>
      </c>
      <c r="CT3" s="99" t="s">
        <v>95</v>
      </c>
      <c r="CU3" s="99" t="s">
        <v>96</v>
      </c>
      <c r="CV3" s="99" t="s">
        <v>97</v>
      </c>
      <c r="CW3" s="99" t="s">
        <v>98</v>
      </c>
      <c r="CX3" s="99" t="s">
        <v>99</v>
      </c>
      <c r="CY3" s="99" t="s">
        <v>93</v>
      </c>
      <c r="CZ3" s="99" t="s">
        <v>8</v>
      </c>
      <c r="DA3" s="99" t="s">
        <v>9</v>
      </c>
      <c r="DB3" s="99" t="s">
        <v>10</v>
      </c>
      <c r="DC3" s="99" t="s">
        <v>89</v>
      </c>
      <c r="DD3" s="99" t="s">
        <v>90</v>
      </c>
      <c r="DE3" s="99" t="s">
        <v>94</v>
      </c>
      <c r="DF3" s="99" t="s">
        <v>95</v>
      </c>
      <c r="DG3" s="99" t="s">
        <v>96</v>
      </c>
      <c r="DH3" s="99" t="s">
        <v>97</v>
      </c>
      <c r="DI3" s="99" t="s">
        <v>98</v>
      </c>
      <c r="DJ3" s="100" t="s">
        <v>99</v>
      </c>
      <c r="DK3" s="98" t="s">
        <v>2</v>
      </c>
      <c r="DL3" s="99" t="s">
        <v>10</v>
      </c>
      <c r="DM3" s="99" t="s">
        <v>3</v>
      </c>
      <c r="DN3" s="99" t="s">
        <v>92</v>
      </c>
      <c r="DO3" s="99" t="s">
        <v>8</v>
      </c>
      <c r="DP3" s="99" t="s">
        <v>9</v>
      </c>
      <c r="DQ3" s="99" t="s">
        <v>10</v>
      </c>
      <c r="DR3" s="99" t="s">
        <v>89</v>
      </c>
      <c r="DS3" s="99" t="s">
        <v>90</v>
      </c>
      <c r="DT3" s="99" t="s">
        <v>94</v>
      </c>
      <c r="DU3" s="99" t="s">
        <v>95</v>
      </c>
      <c r="DV3" s="99" t="s">
        <v>96</v>
      </c>
      <c r="DW3" s="99" t="s">
        <v>97</v>
      </c>
      <c r="DX3" s="99" t="s">
        <v>98</v>
      </c>
      <c r="DY3" s="99" t="s">
        <v>99</v>
      </c>
      <c r="DZ3" s="99" t="s">
        <v>93</v>
      </c>
      <c r="EA3" s="99" t="s">
        <v>8</v>
      </c>
      <c r="EB3" s="99" t="s">
        <v>9</v>
      </c>
      <c r="EC3" s="99" t="s">
        <v>10</v>
      </c>
      <c r="ED3" s="99" t="s">
        <v>89</v>
      </c>
      <c r="EE3" s="99" t="s">
        <v>90</v>
      </c>
      <c r="EF3" s="99" t="s">
        <v>94</v>
      </c>
      <c r="EG3" s="99" t="s">
        <v>95</v>
      </c>
      <c r="EH3" s="99" t="s">
        <v>96</v>
      </c>
      <c r="EI3" s="99" t="s">
        <v>97</v>
      </c>
      <c r="EJ3" s="99" t="s">
        <v>98</v>
      </c>
      <c r="EK3" s="100" t="s">
        <v>99</v>
      </c>
    </row>
    <row r="4" spans="1:141" x14ac:dyDescent="0.35">
      <c r="A4" s="89" t="s">
        <v>168</v>
      </c>
      <c r="B4" s="43" t="s">
        <v>168</v>
      </c>
      <c r="C4" s="24"/>
      <c r="D4" s="19">
        <v>3.0000000000000001E-3</v>
      </c>
      <c r="E4" s="95">
        <v>2.5000000000000001E-2</v>
      </c>
      <c r="F4" s="18">
        <v>-60</v>
      </c>
      <c r="G4" s="147">
        <v>7.5</v>
      </c>
      <c r="H4" s="146">
        <v>1</v>
      </c>
      <c r="I4" s="146">
        <v>50</v>
      </c>
      <c r="J4" s="146">
        <v>0</v>
      </c>
      <c r="K4" s="146">
        <v>-42.1</v>
      </c>
      <c r="L4" s="146">
        <v>4.8</v>
      </c>
      <c r="M4" s="146">
        <v>3</v>
      </c>
      <c r="N4" s="146">
        <v>1.5E-3</v>
      </c>
      <c r="O4" s="146">
        <v>4.4999999999999999E-4</v>
      </c>
      <c r="P4" s="146">
        <v>-32.700000000000003</v>
      </c>
      <c r="Q4" s="146">
        <v>1.85</v>
      </c>
      <c r="R4" s="146">
        <v>1</v>
      </c>
      <c r="S4" s="146"/>
      <c r="T4" s="146"/>
      <c r="U4" s="146"/>
      <c r="V4" s="146">
        <v>0</v>
      </c>
      <c r="W4" s="146">
        <v>-51.5</v>
      </c>
      <c r="X4" s="146">
        <v>9.1999999999999993</v>
      </c>
      <c r="Y4" s="146">
        <v>1</v>
      </c>
      <c r="Z4" s="146">
        <v>0.01</v>
      </c>
      <c r="AA4" s="146">
        <v>2.3999999999999998E-3</v>
      </c>
      <c r="AB4" s="146">
        <v>-39.200000000000003</v>
      </c>
      <c r="AC4" s="146">
        <v>3.5</v>
      </c>
      <c r="AD4" s="146">
        <v>1</v>
      </c>
      <c r="AE4" s="146"/>
      <c r="AF4" s="146"/>
      <c r="AG4" s="148"/>
      <c r="AH4" s="147">
        <v>50</v>
      </c>
      <c r="AI4" s="146">
        <v>4</v>
      </c>
      <c r="AJ4" s="146">
        <v>-70</v>
      </c>
      <c r="AK4" s="146">
        <v>0</v>
      </c>
      <c r="AL4" s="146">
        <v>-26.4</v>
      </c>
      <c r="AM4" s="146">
        <v>8.8000000000000007</v>
      </c>
      <c r="AN4" s="146">
        <v>1</v>
      </c>
      <c r="AO4" s="146">
        <v>2.7E-2</v>
      </c>
      <c r="AP4" s="146">
        <v>2.16E-3</v>
      </c>
      <c r="AQ4" s="146">
        <v>-24</v>
      </c>
      <c r="AR4" s="146">
        <v>11.7</v>
      </c>
      <c r="AS4" s="146">
        <v>1</v>
      </c>
      <c r="AT4" s="146"/>
      <c r="AU4" s="146"/>
      <c r="AV4" s="146"/>
      <c r="AW4" s="146">
        <v>0.15</v>
      </c>
      <c r="AX4" s="146">
        <v>-16.399999999999999</v>
      </c>
      <c r="AY4" s="146">
        <v>1.5</v>
      </c>
      <c r="AZ4" s="146">
        <v>2</v>
      </c>
      <c r="BA4" s="146">
        <v>0.2</v>
      </c>
      <c r="BB4" s="146">
        <v>0.02</v>
      </c>
      <c r="BC4" s="146">
        <v>-24</v>
      </c>
      <c r="BD4" s="146">
        <v>8.3000000000000007</v>
      </c>
      <c r="BE4" s="146">
        <v>1</v>
      </c>
      <c r="BF4" s="146"/>
      <c r="BG4" s="146"/>
      <c r="BH4" s="148"/>
      <c r="BI4" s="147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8"/>
      <c r="CJ4" s="147"/>
      <c r="CK4" s="146"/>
      <c r="CL4" s="146"/>
      <c r="CM4" s="146"/>
      <c r="CN4" s="146"/>
      <c r="CO4" s="146"/>
      <c r="CP4" s="146"/>
      <c r="CQ4" s="146"/>
      <c r="CR4" s="146"/>
      <c r="CS4" s="146"/>
      <c r="CT4" s="146"/>
      <c r="CU4" s="146"/>
      <c r="CV4" s="146"/>
      <c r="CW4" s="146"/>
      <c r="CX4" s="146"/>
      <c r="CY4" s="146"/>
      <c r="CZ4" s="146"/>
      <c r="DA4" s="146"/>
      <c r="DB4" s="146"/>
      <c r="DC4" s="146"/>
      <c r="DD4" s="146"/>
      <c r="DE4" s="146"/>
      <c r="DF4" s="146"/>
      <c r="DG4" s="146"/>
      <c r="DH4" s="146"/>
      <c r="DI4" s="146"/>
      <c r="DJ4" s="148"/>
      <c r="DK4" s="147"/>
      <c r="DL4" s="146"/>
      <c r="DM4" s="146"/>
      <c r="DN4" s="146"/>
      <c r="DO4" s="146"/>
      <c r="DP4" s="146"/>
      <c r="DQ4" s="146"/>
      <c r="DR4" s="146"/>
      <c r="DS4" s="146"/>
      <c r="DT4" s="146"/>
      <c r="DU4" s="146"/>
      <c r="DV4" s="146"/>
      <c r="DW4" s="146"/>
      <c r="DX4" s="146"/>
      <c r="DY4" s="146"/>
      <c r="DZ4" s="146"/>
      <c r="EA4" s="146"/>
      <c r="EB4" s="146"/>
      <c r="EC4" s="146"/>
      <c r="ED4" s="146"/>
      <c r="EE4" s="146"/>
      <c r="EF4" s="146"/>
      <c r="EG4" s="146"/>
      <c r="EH4" s="146"/>
      <c r="EI4" s="146"/>
      <c r="EJ4" s="146"/>
      <c r="EK4" s="148"/>
    </row>
    <row r="5" spans="1:141" x14ac:dyDescent="0.35">
      <c r="A5" s="89" t="s">
        <v>169</v>
      </c>
      <c r="B5" s="43" t="s">
        <v>169</v>
      </c>
      <c r="C5" s="24"/>
      <c r="D5" s="19">
        <v>3.0000000000000001E-3</v>
      </c>
      <c r="E5" s="43">
        <v>1.1999999999999999E-3</v>
      </c>
      <c r="F5" s="19">
        <v>-60</v>
      </c>
      <c r="G5" s="43">
        <v>7.5</v>
      </c>
      <c r="H5" s="17">
        <v>1</v>
      </c>
      <c r="I5" s="17">
        <v>50</v>
      </c>
      <c r="J5" s="17">
        <v>0</v>
      </c>
      <c r="K5" s="17">
        <v>-42.1</v>
      </c>
      <c r="L5" s="17">
        <v>4.8</v>
      </c>
      <c r="M5" s="17">
        <v>3</v>
      </c>
      <c r="N5" s="17">
        <v>1.5E-3</v>
      </c>
      <c r="O5" s="17">
        <v>4.4999999999999999E-4</v>
      </c>
      <c r="P5" s="17">
        <v>-32.700000000000003</v>
      </c>
      <c r="Q5" s="17">
        <v>1.85</v>
      </c>
      <c r="R5" s="17">
        <v>1</v>
      </c>
      <c r="S5" s="17"/>
      <c r="T5" s="17"/>
      <c r="U5" s="17"/>
      <c r="V5" s="17">
        <v>0</v>
      </c>
      <c r="W5" s="17">
        <v>-51.5</v>
      </c>
      <c r="X5" s="17">
        <v>9.1999999999999993</v>
      </c>
      <c r="Y5" s="17">
        <v>1</v>
      </c>
      <c r="Z5" s="17">
        <v>0.01</v>
      </c>
      <c r="AA5" s="17">
        <v>2.3999999999999998E-3</v>
      </c>
      <c r="AB5" s="17">
        <v>-39.200000000000003</v>
      </c>
      <c r="AC5" s="17">
        <v>3.5</v>
      </c>
      <c r="AD5" s="17">
        <v>1</v>
      </c>
      <c r="AE5" s="17"/>
      <c r="AF5" s="17"/>
      <c r="AG5" s="19"/>
      <c r="AH5" s="43">
        <v>60</v>
      </c>
      <c r="AI5" s="17">
        <v>4</v>
      </c>
      <c r="AJ5" s="17">
        <v>-70</v>
      </c>
      <c r="AK5" s="17">
        <v>0</v>
      </c>
      <c r="AL5" s="17">
        <v>-26.4</v>
      </c>
      <c r="AM5" s="17">
        <v>8.8000000000000007</v>
      </c>
      <c r="AN5" s="17">
        <v>1</v>
      </c>
      <c r="AO5" s="17">
        <v>2.7E-2</v>
      </c>
      <c r="AP5" s="17">
        <v>2.16E-3</v>
      </c>
      <c r="AQ5" s="17">
        <v>-24</v>
      </c>
      <c r="AR5" s="17">
        <v>11.7</v>
      </c>
      <c r="AS5" s="17">
        <v>1</v>
      </c>
      <c r="AT5" s="17"/>
      <c r="AU5" s="17"/>
      <c r="AV5" s="17"/>
      <c r="AW5" s="17">
        <v>0.15</v>
      </c>
      <c r="AX5" s="17">
        <v>-16.399999999999999</v>
      </c>
      <c r="AY5" s="17">
        <v>1.5</v>
      </c>
      <c r="AZ5" s="17">
        <v>2</v>
      </c>
      <c r="BA5" s="17">
        <v>0.2</v>
      </c>
      <c r="BB5" s="17">
        <v>0.02</v>
      </c>
      <c r="BC5" s="17">
        <v>-24</v>
      </c>
      <c r="BD5" s="17">
        <v>8.3000000000000007</v>
      </c>
      <c r="BE5" s="17">
        <v>1</v>
      </c>
      <c r="BF5" s="17"/>
      <c r="BG5" s="17"/>
      <c r="BH5" s="19"/>
      <c r="BI5" s="43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9"/>
      <c r="CJ5" s="43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9"/>
      <c r="DK5" s="43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9"/>
    </row>
    <row r="6" spans="1:141" x14ac:dyDescent="0.35">
      <c r="A6" s="89" t="s">
        <v>170</v>
      </c>
      <c r="B6" s="43" t="s">
        <v>170</v>
      </c>
      <c r="C6" s="24"/>
      <c r="D6" s="19">
        <v>1.0999999999999999E-2</v>
      </c>
      <c r="E6" s="43">
        <v>0.37</v>
      </c>
      <c r="F6" s="19">
        <v>-60</v>
      </c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43">
        <v>9.5</v>
      </c>
      <c r="AI6" s="17">
        <v>1</v>
      </c>
      <c r="AJ6" s="17">
        <v>-85</v>
      </c>
      <c r="AK6" s="17">
        <v>0</v>
      </c>
      <c r="AL6" s="17">
        <v>-14</v>
      </c>
      <c r="AM6" s="17">
        <v>20</v>
      </c>
      <c r="AN6" s="17">
        <v>3</v>
      </c>
      <c r="AO6" s="17">
        <v>0.02</v>
      </c>
      <c r="AP6" s="17">
        <v>2.7500000000000002E-4</v>
      </c>
      <c r="AQ6" s="17">
        <v>-88</v>
      </c>
      <c r="AR6" s="17">
        <v>30</v>
      </c>
      <c r="AS6" s="17">
        <v>1</v>
      </c>
      <c r="AT6" s="17">
        <v>-50</v>
      </c>
      <c r="AU6" s="17">
        <v>-5</v>
      </c>
      <c r="AV6" s="17">
        <v>1</v>
      </c>
      <c r="AW6" s="17">
        <v>0</v>
      </c>
      <c r="AX6" s="17">
        <v>-30</v>
      </c>
      <c r="AY6" s="17">
        <v>11</v>
      </c>
      <c r="AZ6" s="17">
        <v>1</v>
      </c>
      <c r="BA6" s="17">
        <v>0.33</v>
      </c>
      <c r="BB6" s="17">
        <v>8.0000000000000002E-3</v>
      </c>
      <c r="BC6" s="17">
        <v>-80</v>
      </c>
      <c r="BD6" s="17">
        <v>70</v>
      </c>
      <c r="BE6" s="17">
        <v>1</v>
      </c>
      <c r="BF6" s="17">
        <v>-73</v>
      </c>
      <c r="BG6" s="17">
        <v>-9</v>
      </c>
      <c r="BH6" s="19">
        <v>1</v>
      </c>
      <c r="BI6" s="43">
        <v>15</v>
      </c>
      <c r="BJ6" s="17">
        <v>1</v>
      </c>
      <c r="BK6" s="17">
        <v>-70</v>
      </c>
      <c r="BL6" s="17">
        <v>0</v>
      </c>
      <c r="BM6" s="17">
        <v>6</v>
      </c>
      <c r="BN6" s="17">
        <v>14</v>
      </c>
      <c r="BO6" s="17">
        <v>1</v>
      </c>
      <c r="BP6" s="17">
        <v>1.4E-2</v>
      </c>
      <c r="BQ6" s="17">
        <v>3.0000000000000001E-3</v>
      </c>
      <c r="BR6" s="17">
        <v>20</v>
      </c>
      <c r="BS6" s="17">
        <v>7</v>
      </c>
      <c r="BT6" s="17">
        <v>1</v>
      </c>
      <c r="BU6" s="17">
        <v>-15</v>
      </c>
      <c r="BV6" s="17">
        <v>-6</v>
      </c>
      <c r="BW6" s="17">
        <v>1</v>
      </c>
      <c r="BX6" s="17">
        <v>0</v>
      </c>
      <c r="BY6" s="17">
        <v>-31</v>
      </c>
      <c r="BZ6" s="17">
        <v>7</v>
      </c>
      <c r="CA6" s="17">
        <v>1</v>
      </c>
      <c r="CB6" s="17">
        <v>0.875</v>
      </c>
      <c r="CC6" s="17">
        <v>0.11</v>
      </c>
      <c r="CD6" s="17">
        <v>-15</v>
      </c>
      <c r="CE6" s="17">
        <v>6</v>
      </c>
      <c r="CF6" s="17">
        <v>1</v>
      </c>
      <c r="CG6" s="17">
        <v>-73</v>
      </c>
      <c r="CH6" s="17">
        <v>-9</v>
      </c>
      <c r="CI6" s="19">
        <v>1</v>
      </c>
      <c r="CJ6" s="43">
        <v>5</v>
      </c>
      <c r="CK6" s="17">
        <v>1</v>
      </c>
      <c r="CL6" s="17">
        <v>-35</v>
      </c>
      <c r="CM6" s="17">
        <v>0</v>
      </c>
      <c r="CN6" s="17">
        <v>19</v>
      </c>
      <c r="CO6" s="17">
        <v>11</v>
      </c>
      <c r="CP6" s="17">
        <v>1</v>
      </c>
      <c r="CQ6" s="17">
        <v>1.4E-2</v>
      </c>
      <c r="CR6" s="17">
        <v>3.0000000000000001E-3</v>
      </c>
      <c r="CS6" s="17">
        <v>20</v>
      </c>
      <c r="CT6" s="17">
        <v>7</v>
      </c>
      <c r="CU6" s="17">
        <v>1</v>
      </c>
      <c r="CV6" s="17">
        <v>-15</v>
      </c>
      <c r="CW6" s="17">
        <v>-6</v>
      </c>
      <c r="CX6" s="17">
        <v>1</v>
      </c>
      <c r="CY6" s="17">
        <v>0</v>
      </c>
      <c r="CZ6" s="17">
        <v>1000</v>
      </c>
      <c r="DA6" s="17">
        <v>7</v>
      </c>
      <c r="DB6" s="17">
        <v>1</v>
      </c>
      <c r="DC6" s="17"/>
      <c r="DD6" s="17"/>
      <c r="DE6" s="17"/>
      <c r="DF6" s="17"/>
      <c r="DG6" s="17"/>
      <c r="DH6" s="17"/>
      <c r="DI6" s="17"/>
      <c r="DJ6" s="19"/>
      <c r="DK6" s="43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9"/>
    </row>
    <row r="7" spans="1:141" x14ac:dyDescent="0.35">
      <c r="A7" s="89" t="s">
        <v>171</v>
      </c>
      <c r="B7" s="43" t="s">
        <v>171</v>
      </c>
      <c r="C7" s="24"/>
      <c r="D7" s="19">
        <v>3.0000000000000001E-3</v>
      </c>
      <c r="E7" s="43">
        <v>0.05</v>
      </c>
      <c r="F7" s="19">
        <v>-60</v>
      </c>
      <c r="G7" s="43">
        <v>0.9</v>
      </c>
      <c r="H7" s="17">
        <v>1</v>
      </c>
      <c r="I7" s="17">
        <v>50</v>
      </c>
      <c r="J7" s="17">
        <v>0</v>
      </c>
      <c r="K7" s="17">
        <v>-42.1</v>
      </c>
      <c r="L7" s="17">
        <v>4.8</v>
      </c>
      <c r="M7" s="17">
        <v>3</v>
      </c>
      <c r="N7" s="17">
        <v>1.5E-3</v>
      </c>
      <c r="O7" s="17">
        <v>4.4999999999999999E-4</v>
      </c>
      <c r="P7" s="17">
        <v>-32.700000000000003</v>
      </c>
      <c r="Q7" s="17">
        <v>1.85</v>
      </c>
      <c r="R7" s="17">
        <v>1</v>
      </c>
      <c r="S7" s="17"/>
      <c r="T7" s="17"/>
      <c r="U7" s="17"/>
      <c r="V7" s="17">
        <v>0</v>
      </c>
      <c r="W7" s="17">
        <v>-51.5</v>
      </c>
      <c r="X7" s="17">
        <v>9.1999999999999993</v>
      </c>
      <c r="Y7" s="17">
        <v>1</v>
      </c>
      <c r="Z7" s="17">
        <v>0.01</v>
      </c>
      <c r="AA7" s="17">
        <v>2.3999999999999998E-3</v>
      </c>
      <c r="AB7" s="17">
        <v>-39.200000000000003</v>
      </c>
      <c r="AC7" s="17">
        <v>3.5</v>
      </c>
      <c r="AD7" s="17">
        <v>1</v>
      </c>
      <c r="AE7" s="17"/>
      <c r="AF7" s="17"/>
      <c r="AG7" s="19"/>
      <c r="AH7" s="43">
        <v>3</v>
      </c>
      <c r="AI7" s="17">
        <v>4</v>
      </c>
      <c r="AJ7" s="17">
        <v>-70</v>
      </c>
      <c r="AK7" s="17">
        <v>0</v>
      </c>
      <c r="AL7" s="17">
        <v>-33</v>
      </c>
      <c r="AM7" s="17">
        <v>8.8000000000000007</v>
      </c>
      <c r="AN7" s="17">
        <v>1</v>
      </c>
      <c r="AO7" s="17">
        <v>2.7E-2</v>
      </c>
      <c r="AP7" s="17">
        <v>3.0000000000000001E-3</v>
      </c>
      <c r="AQ7" s="17">
        <v>-24</v>
      </c>
      <c r="AR7" s="17">
        <v>11.7</v>
      </c>
      <c r="AS7" s="17">
        <v>1</v>
      </c>
      <c r="AT7" s="17"/>
      <c r="AU7" s="17"/>
      <c r="AV7" s="17"/>
      <c r="AW7" s="17">
        <v>0.15</v>
      </c>
      <c r="AX7" s="17">
        <v>-16.399999999999999</v>
      </c>
      <c r="AY7" s="17">
        <v>1.5</v>
      </c>
      <c r="AZ7" s="17">
        <v>2</v>
      </c>
      <c r="BA7" s="17">
        <v>0.2</v>
      </c>
      <c r="BB7" s="17">
        <v>0.02</v>
      </c>
      <c r="BC7" s="17">
        <v>-24</v>
      </c>
      <c r="BD7" s="17">
        <v>8.3000000000000007</v>
      </c>
      <c r="BE7" s="17">
        <v>1</v>
      </c>
      <c r="BF7" s="17"/>
      <c r="BG7" s="17"/>
      <c r="BH7" s="19"/>
      <c r="BI7" s="43">
        <v>70</v>
      </c>
      <c r="BJ7" s="17">
        <v>4</v>
      </c>
      <c r="BK7" s="17">
        <v>-70</v>
      </c>
      <c r="BL7" s="17">
        <v>0</v>
      </c>
      <c r="BM7" s="17">
        <v>-19</v>
      </c>
      <c r="BN7" s="17">
        <v>8.8000000000000007</v>
      </c>
      <c r="BO7" s="17">
        <v>1</v>
      </c>
      <c r="BP7" s="17">
        <v>0.27</v>
      </c>
      <c r="BQ7" s="17">
        <v>2.1600000000000001E-2</v>
      </c>
      <c r="BR7" s="17">
        <v>-24</v>
      </c>
      <c r="BS7" s="17">
        <v>11.7</v>
      </c>
      <c r="BT7" s="17">
        <v>1</v>
      </c>
      <c r="BU7" s="17"/>
      <c r="BV7" s="17"/>
      <c r="BW7" s="17"/>
      <c r="BX7" s="17">
        <v>0.15</v>
      </c>
      <c r="BY7" s="17">
        <v>-16.399999999999999</v>
      </c>
      <c r="BZ7" s="17">
        <v>1.5</v>
      </c>
      <c r="CA7" s="17">
        <v>2</v>
      </c>
      <c r="CB7" s="17">
        <v>2</v>
      </c>
      <c r="CC7" s="17">
        <v>0.2</v>
      </c>
      <c r="CD7" s="17">
        <v>-24</v>
      </c>
      <c r="CE7" s="17">
        <v>8.3000000000000007</v>
      </c>
      <c r="CF7" s="17">
        <v>1</v>
      </c>
      <c r="CG7" s="17"/>
      <c r="CH7" s="17"/>
      <c r="CI7" s="19"/>
      <c r="CJ7" s="43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9"/>
      <c r="DK7" s="43">
        <v>4.5999999999999996</v>
      </c>
      <c r="DL7" s="17">
        <v>3</v>
      </c>
      <c r="DM7" s="17">
        <v>50</v>
      </c>
      <c r="DN7" s="17">
        <v>0</v>
      </c>
      <c r="DO7" s="17">
        <v>-48</v>
      </c>
      <c r="DP7" s="17">
        <v>4</v>
      </c>
      <c r="DQ7" s="17">
        <v>2</v>
      </c>
      <c r="DR7" s="17">
        <v>0.16</v>
      </c>
      <c r="DS7" s="17">
        <v>1.4999999999999999E-4</v>
      </c>
      <c r="DT7" s="17">
        <v>-30</v>
      </c>
      <c r="DU7" s="17">
        <v>4</v>
      </c>
      <c r="DV7" s="17">
        <v>4</v>
      </c>
      <c r="DW7" s="17">
        <v>-50</v>
      </c>
      <c r="DX7" s="17">
        <v>-4</v>
      </c>
      <c r="DY7" s="17">
        <v>4</v>
      </c>
      <c r="DZ7" s="17">
        <v>0</v>
      </c>
      <c r="EA7" s="17">
        <v>-57</v>
      </c>
      <c r="EB7" s="17">
        <v>5</v>
      </c>
      <c r="EC7" s="17">
        <v>2</v>
      </c>
      <c r="ED7" s="17">
        <v>2</v>
      </c>
      <c r="EE7" s="17">
        <v>0.2</v>
      </c>
      <c r="EF7" s="17">
        <v>-44</v>
      </c>
      <c r="EG7" s="17">
        <v>-3</v>
      </c>
      <c r="EH7" s="17">
        <v>4</v>
      </c>
      <c r="EI7" s="17"/>
      <c r="EJ7" s="17"/>
      <c r="EK7" s="19"/>
    </row>
    <row r="8" spans="1:141" x14ac:dyDescent="0.35">
      <c r="A8" s="89" t="s">
        <v>172</v>
      </c>
      <c r="B8" s="43" t="s">
        <v>172</v>
      </c>
      <c r="C8" s="24"/>
      <c r="D8" s="19">
        <v>3.0000000000000001E-3</v>
      </c>
      <c r="E8" s="43">
        <v>0.03</v>
      </c>
      <c r="F8" s="19">
        <v>-60</v>
      </c>
      <c r="G8" s="43">
        <v>4</v>
      </c>
      <c r="H8" s="17">
        <v>1</v>
      </c>
      <c r="I8" s="17">
        <v>50</v>
      </c>
      <c r="J8" s="17">
        <v>0</v>
      </c>
      <c r="K8" s="17">
        <v>-42.1</v>
      </c>
      <c r="L8" s="17">
        <v>4.8</v>
      </c>
      <c r="M8" s="17">
        <v>3</v>
      </c>
      <c r="N8" s="17">
        <v>1.5E-3</v>
      </c>
      <c r="O8" s="17">
        <v>4.4999999999999999E-4</v>
      </c>
      <c r="P8" s="17">
        <v>-32.700000000000003</v>
      </c>
      <c r="Q8" s="17">
        <v>1.85</v>
      </c>
      <c r="R8" s="17">
        <v>1</v>
      </c>
      <c r="S8" s="17"/>
      <c r="T8" s="17"/>
      <c r="U8" s="17"/>
      <c r="V8" s="17">
        <v>0</v>
      </c>
      <c r="W8" s="17">
        <v>-51.5</v>
      </c>
      <c r="X8" s="17">
        <v>9.1999999999999993</v>
      </c>
      <c r="Y8" s="17">
        <v>1</v>
      </c>
      <c r="Z8" s="17">
        <v>0.01</v>
      </c>
      <c r="AA8" s="17">
        <v>2.3999999999999998E-3</v>
      </c>
      <c r="AB8" s="17">
        <v>-39.200000000000003</v>
      </c>
      <c r="AC8" s="17">
        <v>3.5</v>
      </c>
      <c r="AD8" s="17">
        <v>1</v>
      </c>
      <c r="AE8" s="17"/>
      <c r="AF8" s="17"/>
      <c r="AG8" s="19"/>
      <c r="AH8" s="43">
        <v>19</v>
      </c>
      <c r="AI8" s="17">
        <v>4</v>
      </c>
      <c r="AJ8" s="17">
        <v>-70</v>
      </c>
      <c r="AK8" s="17">
        <v>0</v>
      </c>
      <c r="AL8" s="17">
        <v>-33</v>
      </c>
      <c r="AM8" s="17">
        <v>8.8000000000000007</v>
      </c>
      <c r="AN8" s="17">
        <v>1</v>
      </c>
      <c r="AO8" s="17">
        <v>2.7E-2</v>
      </c>
      <c r="AP8" s="17">
        <v>3.0000000000000001E-3</v>
      </c>
      <c r="AQ8" s="17">
        <v>-24</v>
      </c>
      <c r="AR8" s="17">
        <v>11.7</v>
      </c>
      <c r="AS8" s="17">
        <v>1</v>
      </c>
      <c r="AT8" s="17"/>
      <c r="AU8" s="17"/>
      <c r="AV8" s="17"/>
      <c r="AW8" s="17">
        <v>0.15</v>
      </c>
      <c r="AX8" s="17">
        <v>-16.399999999999999</v>
      </c>
      <c r="AY8" s="17">
        <v>1.5</v>
      </c>
      <c r="AZ8" s="17">
        <v>2</v>
      </c>
      <c r="BA8" s="17">
        <v>0.2</v>
      </c>
      <c r="BB8" s="17">
        <v>0.02</v>
      </c>
      <c r="BC8" s="17">
        <v>-24</v>
      </c>
      <c r="BD8" s="17">
        <v>8.3000000000000007</v>
      </c>
      <c r="BE8" s="17">
        <v>1</v>
      </c>
      <c r="BF8" s="17"/>
      <c r="BG8" s="17"/>
      <c r="BH8" s="19"/>
      <c r="BI8" s="43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9"/>
      <c r="CJ8" s="43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9"/>
      <c r="DK8" s="43">
        <v>0.01</v>
      </c>
      <c r="DL8" s="17">
        <v>3</v>
      </c>
      <c r="DM8" s="17">
        <v>50</v>
      </c>
      <c r="DN8" s="17">
        <v>0</v>
      </c>
      <c r="DO8" s="17">
        <v>-48</v>
      </c>
      <c r="DP8" s="17">
        <v>4</v>
      </c>
      <c r="DQ8" s="17">
        <v>2</v>
      </c>
      <c r="DR8" s="17">
        <v>5.0000000000000001E-3</v>
      </c>
      <c r="DS8" s="17">
        <v>0.04</v>
      </c>
      <c r="DT8" s="17">
        <v>-56</v>
      </c>
      <c r="DU8" s="17">
        <v>-3</v>
      </c>
      <c r="DV8" s="17">
        <v>4</v>
      </c>
      <c r="DW8" s="17">
        <v>-30</v>
      </c>
      <c r="DX8" s="17">
        <v>-3</v>
      </c>
      <c r="DY8" s="17">
        <v>4</v>
      </c>
      <c r="DZ8" s="17">
        <v>0</v>
      </c>
      <c r="EA8" s="17">
        <v>-56</v>
      </c>
      <c r="EB8" s="17">
        <v>5</v>
      </c>
      <c r="EC8" s="17">
        <v>2</v>
      </c>
      <c r="ED8" s="17">
        <v>3</v>
      </c>
      <c r="EE8" s="17">
        <v>0.05</v>
      </c>
      <c r="EF8" s="17">
        <v>-40</v>
      </c>
      <c r="EG8" s="17">
        <v>-2</v>
      </c>
      <c r="EH8" s="17">
        <v>4</v>
      </c>
      <c r="EI8" s="17"/>
      <c r="EJ8" s="17"/>
      <c r="EK8" s="19"/>
    </row>
    <row r="9" spans="1:141" x14ac:dyDescent="0.35">
      <c r="A9" s="89">
        <f>Neu!B9</f>
        <v>0</v>
      </c>
      <c r="B9" s="92"/>
      <c r="C9" s="24"/>
      <c r="D9" s="19"/>
      <c r="E9" s="43"/>
      <c r="F9" s="19"/>
      <c r="G9" s="43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9"/>
      <c r="AH9" s="43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9"/>
      <c r="BI9" s="43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9"/>
      <c r="CJ9" s="43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9"/>
      <c r="DK9" s="43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9"/>
    </row>
    <row r="10" spans="1:141" x14ac:dyDescent="0.35">
      <c r="A10" s="89">
        <f>Neu!B10</f>
        <v>0</v>
      </c>
      <c r="B10" s="92"/>
      <c r="C10" s="24"/>
      <c r="D10" s="19"/>
      <c r="E10" s="43"/>
      <c r="F10" s="19"/>
      <c r="G10" s="43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9"/>
      <c r="AH10" s="43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9"/>
      <c r="BI10" s="43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9"/>
      <c r="CJ10" s="43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9"/>
      <c r="DK10" s="43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9"/>
    </row>
    <row r="11" spans="1:141" x14ac:dyDescent="0.35">
      <c r="A11" s="89">
        <f>Neu!B11</f>
        <v>0</v>
      </c>
      <c r="B11" s="92"/>
      <c r="C11" s="24"/>
      <c r="D11" s="19"/>
      <c r="E11" s="43"/>
      <c r="F11" s="19"/>
      <c r="G11" s="4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  <c r="AH11" s="43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9"/>
      <c r="BI11" s="43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9"/>
      <c r="CJ11" s="43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9"/>
      <c r="DK11" s="43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9"/>
    </row>
    <row r="12" spans="1:141" x14ac:dyDescent="0.35">
      <c r="A12" s="89">
        <f>Neu!B12</f>
        <v>0</v>
      </c>
      <c r="B12" s="92"/>
      <c r="C12" s="24"/>
      <c r="D12" s="19"/>
      <c r="E12" s="43"/>
      <c r="F12" s="19"/>
      <c r="G12" s="4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9"/>
      <c r="AH12" s="43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9"/>
      <c r="BI12" s="43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9"/>
      <c r="CJ12" s="43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9"/>
      <c r="DK12" s="43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9"/>
    </row>
    <row r="13" spans="1:141" x14ac:dyDescent="0.35">
      <c r="A13" s="89">
        <f>Neu!B13</f>
        <v>0</v>
      </c>
      <c r="B13" s="92"/>
      <c r="C13" s="24"/>
      <c r="D13" s="19"/>
      <c r="E13" s="43"/>
      <c r="F13" s="19"/>
      <c r="G13" s="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9"/>
      <c r="AH13" s="43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9"/>
      <c r="BI13" s="43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9"/>
      <c r="CJ13" s="43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9"/>
      <c r="DK13" s="43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9"/>
    </row>
    <row r="14" spans="1:141" x14ac:dyDescent="0.35">
      <c r="A14" s="89">
        <f>Neu!B14</f>
        <v>0</v>
      </c>
      <c r="B14" s="92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  <c r="AH14" s="4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9"/>
      <c r="BI14" s="43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9"/>
      <c r="CJ14" s="43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9"/>
      <c r="DK14" s="43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9"/>
    </row>
    <row r="15" spans="1:141" x14ac:dyDescent="0.35">
      <c r="A15" s="89">
        <f>Neu!B15</f>
        <v>0</v>
      </c>
      <c r="B15" s="92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  <c r="AH15" s="4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  <c r="BI15" s="43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9"/>
      <c r="CJ15" s="43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9"/>
      <c r="DK15" s="43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9"/>
    </row>
    <row r="16" spans="1:141" x14ac:dyDescent="0.35">
      <c r="A16" s="89">
        <f>Neu!B16</f>
        <v>0</v>
      </c>
      <c r="B16" s="92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  <c r="AH16" s="4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9"/>
      <c r="BI16" s="43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9"/>
      <c r="CJ16" s="43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9"/>
      <c r="DK16" s="43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9"/>
    </row>
    <row r="17" spans="1:264" x14ac:dyDescent="0.35">
      <c r="A17" s="89">
        <f>Neu!B17</f>
        <v>0</v>
      </c>
      <c r="B17" s="92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  <c r="AH17" s="4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9"/>
      <c r="BI17" s="43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9"/>
      <c r="CJ17" s="43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9"/>
      <c r="DK17" s="43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9"/>
    </row>
    <row r="18" spans="1:264" x14ac:dyDescent="0.35">
      <c r="A18" s="89">
        <f>Neu!B18</f>
        <v>0</v>
      </c>
      <c r="B18" s="92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  <c r="AH18" s="4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9"/>
      <c r="BI18" s="43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9"/>
      <c r="CJ18" s="43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9"/>
      <c r="DK18" s="43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9"/>
    </row>
    <row r="19" spans="1:264" x14ac:dyDescent="0.35">
      <c r="A19" s="89">
        <f>Neu!B19</f>
        <v>0</v>
      </c>
      <c r="B19" s="92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  <c r="AH19" s="4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9"/>
      <c r="BI19" s="43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9"/>
      <c r="CJ19" s="43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9"/>
      <c r="DK19" s="43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9"/>
    </row>
    <row r="20" spans="1:264" x14ac:dyDescent="0.35">
      <c r="A20" s="89">
        <f>Neu!B20</f>
        <v>0</v>
      </c>
      <c r="B20" s="92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4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  <c r="BI20" s="43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9"/>
      <c r="CJ20" s="43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9"/>
      <c r="DK20" s="43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9"/>
    </row>
    <row r="21" spans="1:264" x14ac:dyDescent="0.35">
      <c r="A21" s="89">
        <f>Neu!B21</f>
        <v>0</v>
      </c>
      <c r="B21" s="92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4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9"/>
      <c r="BI21" s="43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9"/>
      <c r="CJ21" s="43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9"/>
      <c r="DK21" s="43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9"/>
    </row>
    <row r="22" spans="1:264" x14ac:dyDescent="0.35">
      <c r="A22" s="89">
        <f>Neu!B22</f>
        <v>0</v>
      </c>
      <c r="B22" s="92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4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9"/>
      <c r="BI22" s="43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9"/>
      <c r="CJ22" s="43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9"/>
      <c r="DK22" s="43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9"/>
    </row>
    <row r="23" spans="1:264" x14ac:dyDescent="0.35">
      <c r="A23" s="89">
        <f>Neu!B23</f>
        <v>0</v>
      </c>
      <c r="B23" s="92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  <c r="AH23" s="4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9"/>
      <c r="BI23" s="43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9"/>
      <c r="CJ23" s="43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9"/>
      <c r="DK23" s="43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9"/>
    </row>
    <row r="24" spans="1:264" ht="15" thickBot="1" x14ac:dyDescent="0.4">
      <c r="A24" s="89">
        <f>Neu!B24</f>
        <v>0</v>
      </c>
      <c r="B24" s="93"/>
      <c r="C24" s="94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  <c r="AH24" s="44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45"/>
      <c r="BI24" s="44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45"/>
      <c r="CJ24" s="44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45"/>
      <c r="DK24" s="44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45"/>
    </row>
    <row r="25" spans="1:264" x14ac:dyDescent="0.35">
      <c r="A25" s="6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I25" s="23"/>
      <c r="DC25" s="23"/>
      <c r="DD25" s="23"/>
      <c r="DE25" s="23"/>
      <c r="DF25" s="23"/>
      <c r="DG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FE25" s="23"/>
      <c r="FF25" s="23"/>
      <c r="FG25" s="23"/>
      <c r="FH25" s="23"/>
      <c r="FI25" s="23"/>
      <c r="FL25" s="23"/>
      <c r="GL25" s="23"/>
      <c r="HM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</row>
    <row r="26" spans="1:264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I26" s="23"/>
      <c r="DC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FE26" s="23"/>
      <c r="FL26" s="23"/>
      <c r="GL26" s="23"/>
      <c r="HM26" s="23"/>
      <c r="HV26" s="23"/>
      <c r="HW26" s="23"/>
      <c r="HX26" s="23"/>
      <c r="HY26" s="23"/>
      <c r="HZ26" s="23"/>
      <c r="IA26" s="23"/>
      <c r="IB26" s="23"/>
      <c r="IC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</row>
    <row r="27" spans="1:264" x14ac:dyDescent="0.35"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DC27" s="23"/>
      <c r="DD27" s="23"/>
      <c r="DE27" s="23"/>
      <c r="DF27" s="23"/>
      <c r="DG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FE27" s="23"/>
      <c r="FF27" s="23"/>
      <c r="FG27" s="23"/>
      <c r="FH27" s="23"/>
      <c r="FI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GL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HM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W27" s="23"/>
      <c r="IX27" s="23"/>
      <c r="IY27" s="23"/>
      <c r="IZ27" s="23"/>
      <c r="JA27" s="23"/>
      <c r="JB27" s="23"/>
      <c r="JC27" s="23"/>
      <c r="JD27" s="23"/>
    </row>
    <row r="28" spans="1:264" x14ac:dyDescent="0.35"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</row>
    <row r="29" spans="1:264" ht="15" thickBot="1" x14ac:dyDescent="0.4">
      <c r="D29" s="60" t="s">
        <v>105</v>
      </c>
      <c r="O29" s="60" t="s">
        <v>106</v>
      </c>
      <c r="Z29" s="60" t="s">
        <v>107</v>
      </c>
      <c r="BD29" s="60" t="s">
        <v>159</v>
      </c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HO29" s="23"/>
    </row>
    <row r="30" spans="1:264" ht="15" thickBot="1" x14ac:dyDescent="0.4">
      <c r="D30" s="75" t="s">
        <v>0</v>
      </c>
      <c r="E30" s="56" t="s">
        <v>100</v>
      </c>
      <c r="F30" s="57" t="s">
        <v>102</v>
      </c>
      <c r="G30" s="58" t="s">
        <v>103</v>
      </c>
      <c r="H30" s="56" t="s">
        <v>100</v>
      </c>
      <c r="I30" s="57" t="s">
        <v>102</v>
      </c>
      <c r="J30" s="58" t="s">
        <v>103</v>
      </c>
      <c r="K30" s="56" t="s">
        <v>100</v>
      </c>
      <c r="L30" s="57" t="s">
        <v>102</v>
      </c>
      <c r="M30" s="58" t="s">
        <v>103</v>
      </c>
      <c r="O30" s="59" t="s">
        <v>0</v>
      </c>
      <c r="P30" s="56" t="s">
        <v>104</v>
      </c>
      <c r="Q30" s="58" t="s">
        <v>100</v>
      </c>
      <c r="R30" s="56" t="s">
        <v>104</v>
      </c>
      <c r="S30" s="58" t="s">
        <v>100</v>
      </c>
      <c r="T30" s="56" t="s">
        <v>104</v>
      </c>
      <c r="U30" s="58" t="s">
        <v>100</v>
      </c>
      <c r="V30" s="56" t="s">
        <v>104</v>
      </c>
      <c r="W30" s="58" t="s">
        <v>100</v>
      </c>
      <c r="X30" s="23"/>
      <c r="Z30" s="15" t="s">
        <v>0</v>
      </c>
      <c r="AA30" s="56" t="s">
        <v>100</v>
      </c>
      <c r="AB30" s="57" t="s">
        <v>104</v>
      </c>
      <c r="AC30" s="57" t="s">
        <v>118</v>
      </c>
      <c r="AD30" s="57" t="s">
        <v>117</v>
      </c>
      <c r="AE30" s="57" t="s">
        <v>115</v>
      </c>
      <c r="AF30" s="57" t="s">
        <v>116</v>
      </c>
      <c r="AG30" s="58" t="s">
        <v>113</v>
      </c>
      <c r="AH30" s="56" t="s">
        <v>100</v>
      </c>
      <c r="AI30" s="57" t="s">
        <v>104</v>
      </c>
      <c r="AJ30" s="57" t="s">
        <v>118</v>
      </c>
      <c r="AK30" s="57" t="s">
        <v>117</v>
      </c>
      <c r="AL30" s="57" t="s">
        <v>115</v>
      </c>
      <c r="AM30" s="57" t="s">
        <v>116</v>
      </c>
      <c r="AN30" s="58" t="s">
        <v>113</v>
      </c>
      <c r="AO30" s="56" t="s">
        <v>100</v>
      </c>
      <c r="AP30" s="57" t="s">
        <v>104</v>
      </c>
      <c r="AQ30" s="57" t="s">
        <v>118</v>
      </c>
      <c r="AR30" s="57" t="s">
        <v>117</v>
      </c>
      <c r="AS30" s="57" t="s">
        <v>115</v>
      </c>
      <c r="AT30" s="57" t="s">
        <v>116</v>
      </c>
      <c r="AU30" s="58" t="s">
        <v>113</v>
      </c>
      <c r="AV30" s="56" t="s">
        <v>100</v>
      </c>
      <c r="AW30" s="57" t="s">
        <v>104</v>
      </c>
      <c r="AX30" s="57" t="s">
        <v>118</v>
      </c>
      <c r="AY30" s="57" t="s">
        <v>117</v>
      </c>
      <c r="AZ30" s="57" t="s">
        <v>115</v>
      </c>
      <c r="BA30" s="57" t="s">
        <v>116</v>
      </c>
      <c r="BB30" s="58" t="s">
        <v>113</v>
      </c>
      <c r="BD30" s="75" t="s">
        <v>0</v>
      </c>
      <c r="BE30" s="56" t="s">
        <v>160</v>
      </c>
      <c r="DN30" s="23"/>
      <c r="DO30" s="23"/>
      <c r="DP30" s="23"/>
      <c r="DQ30" s="23"/>
      <c r="DR30" s="23"/>
      <c r="DS30" s="23"/>
      <c r="DT30" s="23"/>
      <c r="DU30" s="23"/>
      <c r="DV30" s="23"/>
      <c r="HO30" s="23"/>
    </row>
    <row r="31" spans="1:264" x14ac:dyDescent="0.35">
      <c r="D31" s="2" t="str">
        <f>Neu!$B4</f>
        <v>B63s</v>
      </c>
      <c r="E31" s="20"/>
      <c r="F31" s="17"/>
      <c r="G31" s="17"/>
      <c r="H31" s="43"/>
      <c r="I31" s="17"/>
      <c r="J31" s="19"/>
      <c r="K31" s="43"/>
      <c r="L31" s="17"/>
      <c r="M31" s="19"/>
      <c r="O31" s="2" t="str">
        <f>Neu!$B4</f>
        <v>B63s</v>
      </c>
      <c r="P31" s="43"/>
      <c r="Q31" s="19"/>
      <c r="R31" s="43"/>
      <c r="S31" s="19"/>
      <c r="T31" s="43"/>
      <c r="U31" s="19"/>
      <c r="V31" s="43"/>
      <c r="W31" s="19"/>
      <c r="Z31" s="2" t="str">
        <f>Neu!$B4</f>
        <v>B63s</v>
      </c>
      <c r="AA31" s="43"/>
      <c r="AB31" s="17"/>
      <c r="AC31" s="17"/>
      <c r="AD31" s="34"/>
      <c r="AE31" s="17"/>
      <c r="AF31" s="17"/>
      <c r="AG31" s="19"/>
      <c r="AH31" s="43"/>
      <c r="AI31" s="17"/>
      <c r="AJ31" s="17"/>
      <c r="AK31" s="17"/>
      <c r="AL31" s="17"/>
      <c r="AM31" s="17"/>
      <c r="AN31" s="19"/>
      <c r="AO31" s="43"/>
      <c r="AP31" s="17"/>
      <c r="AQ31" s="17"/>
      <c r="AR31" s="17"/>
      <c r="AS31" s="17"/>
      <c r="AT31" s="17"/>
      <c r="AU31" s="19"/>
      <c r="AV31" s="43"/>
      <c r="AW31" s="17"/>
      <c r="AX31" s="17"/>
      <c r="AY31" s="17"/>
      <c r="AZ31" s="17"/>
      <c r="BA31" s="17"/>
      <c r="BB31" s="19"/>
      <c r="BD31" s="2" t="str">
        <f>Neu!$B4</f>
        <v>B63s</v>
      </c>
      <c r="BE31" s="43">
        <v>-62</v>
      </c>
      <c r="DN31" s="23"/>
      <c r="DO31" s="23"/>
      <c r="DP31" s="23"/>
      <c r="DQ31" s="23"/>
      <c r="DR31" s="23"/>
      <c r="DS31" s="23"/>
      <c r="DT31" s="23"/>
      <c r="DU31" s="23"/>
      <c r="DV31" s="23"/>
      <c r="HO31" s="23"/>
    </row>
    <row r="32" spans="1:264" x14ac:dyDescent="0.35">
      <c r="D32" s="3" t="str">
        <f>Neu!$B5</f>
        <v>B63a</v>
      </c>
      <c r="E32" s="20"/>
      <c r="F32" s="17"/>
      <c r="G32" s="17"/>
      <c r="H32" s="43"/>
      <c r="I32" s="17"/>
      <c r="J32" s="19"/>
      <c r="K32" s="43"/>
      <c r="L32" s="17"/>
      <c r="M32" s="19"/>
      <c r="O32" s="3" t="str">
        <f>Neu!$B5</f>
        <v>B63a</v>
      </c>
      <c r="P32" s="43"/>
      <c r="Q32" s="19"/>
      <c r="R32" s="43"/>
      <c r="S32" s="19"/>
      <c r="T32" s="43"/>
      <c r="U32" s="19"/>
      <c r="V32" s="43"/>
      <c r="W32" s="19"/>
      <c r="Z32" s="3" t="str">
        <f>Neu!$B5</f>
        <v>B63a</v>
      </c>
      <c r="AA32" s="43"/>
      <c r="AB32" s="17"/>
      <c r="AC32" s="17"/>
      <c r="AD32" s="34"/>
      <c r="AE32" s="17"/>
      <c r="AF32" s="17"/>
      <c r="AG32" s="19"/>
      <c r="AH32" s="43"/>
      <c r="AI32" s="17"/>
      <c r="AJ32" s="17"/>
      <c r="AK32" s="34"/>
      <c r="AL32" s="17"/>
      <c r="AM32" s="17"/>
      <c r="AN32" s="19"/>
      <c r="AO32" s="43"/>
      <c r="AP32" s="17"/>
      <c r="AQ32" s="17"/>
      <c r="AR32" s="17"/>
      <c r="AS32" s="17"/>
      <c r="AT32" s="17"/>
      <c r="AU32" s="19"/>
      <c r="AV32" s="43"/>
      <c r="AW32" s="17"/>
      <c r="AX32" s="17"/>
      <c r="AY32" s="17"/>
      <c r="AZ32" s="17"/>
      <c r="BA32" s="17"/>
      <c r="BB32" s="19"/>
      <c r="BD32" s="3" t="str">
        <f>Neu!$B5</f>
        <v>B63a</v>
      </c>
      <c r="BE32" s="43">
        <v>-62</v>
      </c>
      <c r="DN32" s="23"/>
      <c r="DO32" s="23"/>
      <c r="DP32" s="23"/>
      <c r="DQ32" s="23"/>
      <c r="DR32" s="23"/>
      <c r="DS32" s="23"/>
      <c r="DT32" s="23"/>
      <c r="DU32" s="23"/>
      <c r="DV32" s="23"/>
    </row>
    <row r="33" spans="4:126" x14ac:dyDescent="0.35">
      <c r="D33" s="3" t="str">
        <f>Neu!$B6</f>
        <v>B31s</v>
      </c>
      <c r="E33" s="20"/>
      <c r="F33" s="17"/>
      <c r="G33" s="17"/>
      <c r="H33" s="43"/>
      <c r="I33" s="17"/>
      <c r="J33" s="19"/>
      <c r="K33" s="43"/>
      <c r="L33" s="17"/>
      <c r="M33" s="19"/>
      <c r="O33" s="3" t="str">
        <f>Neu!$B6</f>
        <v>B31s</v>
      </c>
      <c r="P33" s="43"/>
      <c r="Q33" s="19"/>
      <c r="R33" s="43"/>
      <c r="S33" s="19"/>
      <c r="T33" s="43"/>
      <c r="U33" s="19"/>
      <c r="V33" s="43"/>
      <c r="W33" s="19"/>
      <c r="Z33" s="3" t="str">
        <f>Neu!$B6</f>
        <v>B31s</v>
      </c>
      <c r="AA33" s="43"/>
      <c r="AB33" s="17"/>
      <c r="AC33" s="17"/>
      <c r="AD33" s="34"/>
      <c r="AE33" s="17"/>
      <c r="AF33" s="17"/>
      <c r="AG33" s="19"/>
      <c r="AH33" s="43"/>
      <c r="AI33" s="17"/>
      <c r="AJ33" s="17"/>
      <c r="AK33" s="34"/>
      <c r="AL33" s="17"/>
      <c r="AM33" s="17"/>
      <c r="AN33" s="19"/>
      <c r="AO33" s="43"/>
      <c r="AP33" s="17"/>
      <c r="AQ33" s="17"/>
      <c r="AR33" s="17"/>
      <c r="AS33" s="17"/>
      <c r="AT33" s="17"/>
      <c r="AU33" s="19"/>
      <c r="AV33" s="43"/>
      <c r="AW33" s="17"/>
      <c r="AX33" s="17"/>
      <c r="AY33" s="17"/>
      <c r="AZ33" s="17"/>
      <c r="BA33" s="17"/>
      <c r="BB33" s="19"/>
      <c r="BD33" s="3" t="str">
        <f>Neu!$B6</f>
        <v>B31s</v>
      </c>
      <c r="BE33" s="43">
        <v>-62</v>
      </c>
      <c r="DN33" s="23"/>
      <c r="DO33" s="23"/>
      <c r="DP33" s="23"/>
      <c r="DQ33" s="23"/>
      <c r="DR33" s="23"/>
      <c r="DS33" s="23"/>
      <c r="DT33" s="23"/>
      <c r="DU33" s="23"/>
      <c r="DV33" s="23"/>
    </row>
    <row r="34" spans="4:126" x14ac:dyDescent="0.35">
      <c r="D34" s="3" t="str">
        <f>Neu!$B7</f>
        <v>B64s</v>
      </c>
      <c r="E34" s="20"/>
      <c r="F34" s="17"/>
      <c r="G34" s="19"/>
      <c r="H34" s="43"/>
      <c r="I34" s="17"/>
      <c r="J34" s="19"/>
      <c r="K34" s="43"/>
      <c r="L34" s="17"/>
      <c r="M34" s="19"/>
      <c r="O34" s="3" t="str">
        <f>Neu!$B7</f>
        <v>B64s</v>
      </c>
      <c r="P34" s="43"/>
      <c r="Q34" s="19"/>
      <c r="R34" s="43"/>
      <c r="S34" s="19"/>
      <c r="T34" s="43"/>
      <c r="U34" s="19"/>
      <c r="V34" s="43"/>
      <c r="W34" s="19"/>
      <c r="Z34" s="3" t="str">
        <f>Neu!$B7</f>
        <v>B64s</v>
      </c>
      <c r="AA34" s="43"/>
      <c r="AB34" s="17"/>
      <c r="AC34" s="17"/>
      <c r="AD34" s="34"/>
      <c r="AE34" s="17"/>
      <c r="AF34" s="17"/>
      <c r="AG34" s="19"/>
      <c r="AH34" s="43"/>
      <c r="AI34" s="17"/>
      <c r="AJ34" s="17"/>
      <c r="AK34" s="17"/>
      <c r="AL34" s="17"/>
      <c r="AM34" s="17"/>
      <c r="AN34" s="19"/>
      <c r="AO34" s="43"/>
      <c r="AP34" s="17"/>
      <c r="AQ34" s="17"/>
      <c r="AR34" s="17"/>
      <c r="AS34" s="17"/>
      <c r="AT34" s="17"/>
      <c r="AU34" s="19"/>
      <c r="AV34" s="43"/>
      <c r="AW34" s="17"/>
      <c r="AX34" s="17"/>
      <c r="AY34" s="17"/>
      <c r="AZ34" s="17"/>
      <c r="BA34" s="17"/>
      <c r="BB34" s="19"/>
      <c r="BD34" s="3" t="str">
        <f>Neu!$B7</f>
        <v>B64s</v>
      </c>
      <c r="BE34" s="43">
        <v>-62</v>
      </c>
    </row>
    <row r="35" spans="4:126" x14ac:dyDescent="0.35">
      <c r="D35" s="3" t="str">
        <f>Neu!$B8</f>
        <v>B64a</v>
      </c>
      <c r="E35" s="20"/>
      <c r="F35" s="17"/>
      <c r="G35" s="19"/>
      <c r="H35" s="43"/>
      <c r="I35" s="17"/>
      <c r="J35" s="19"/>
      <c r="K35" s="43"/>
      <c r="L35" s="17"/>
      <c r="M35" s="19"/>
      <c r="O35" s="3" t="str">
        <f>Neu!$B8</f>
        <v>B64a</v>
      </c>
      <c r="P35" s="43"/>
      <c r="Q35" s="19"/>
      <c r="R35" s="43"/>
      <c r="S35" s="19"/>
      <c r="T35" s="43"/>
      <c r="U35" s="19"/>
      <c r="V35" s="43"/>
      <c r="W35" s="19"/>
      <c r="Z35" s="3" t="str">
        <f>Neu!$B8</f>
        <v>B64a</v>
      </c>
      <c r="AA35" s="43"/>
      <c r="AB35" s="17"/>
      <c r="AC35" s="17"/>
      <c r="AD35" s="34"/>
      <c r="AE35" s="17"/>
      <c r="AF35" s="17"/>
      <c r="AG35" s="19"/>
      <c r="AH35" s="43"/>
      <c r="AI35" s="17"/>
      <c r="AJ35" s="17"/>
      <c r="AK35" s="34"/>
      <c r="AL35" s="17"/>
      <c r="AM35" s="17"/>
      <c r="AN35" s="19"/>
      <c r="AO35" s="43"/>
      <c r="AP35" s="17"/>
      <c r="AQ35" s="17"/>
      <c r="AR35" s="17"/>
      <c r="AS35" s="17"/>
      <c r="AT35" s="17"/>
      <c r="AU35" s="19"/>
      <c r="AV35" s="43"/>
      <c r="AW35" s="17"/>
      <c r="AX35" s="17"/>
      <c r="AY35" s="17"/>
      <c r="AZ35" s="17"/>
      <c r="BA35" s="17"/>
      <c r="BB35" s="19"/>
      <c r="BD35" s="3" t="str">
        <f>Neu!$B8</f>
        <v>B64a</v>
      </c>
      <c r="BE35" s="43">
        <v>-62</v>
      </c>
    </row>
    <row r="36" spans="4:126" x14ac:dyDescent="0.35">
      <c r="D36" s="3">
        <f>Neu!$B9</f>
        <v>0</v>
      </c>
      <c r="E36" s="20"/>
      <c r="F36" s="17"/>
      <c r="G36" s="19"/>
      <c r="H36" s="43"/>
      <c r="I36" s="17"/>
      <c r="J36" s="19"/>
      <c r="K36" s="43"/>
      <c r="L36" s="17"/>
      <c r="M36" s="19"/>
      <c r="O36" s="3">
        <f>Neu!$B9</f>
        <v>0</v>
      </c>
      <c r="P36" s="43"/>
      <c r="Q36" s="19"/>
      <c r="R36" s="43"/>
      <c r="S36" s="19"/>
      <c r="T36" s="43"/>
      <c r="U36" s="19"/>
      <c r="V36" s="43"/>
      <c r="W36" s="19"/>
      <c r="Z36" s="3">
        <f>Neu!$B9</f>
        <v>0</v>
      </c>
      <c r="AA36" s="43"/>
      <c r="AB36" s="17"/>
      <c r="AC36" s="17"/>
      <c r="AD36" s="34"/>
      <c r="AE36" s="17"/>
      <c r="AF36" s="17"/>
      <c r="AG36" s="19"/>
      <c r="AH36" s="43"/>
      <c r="AI36" s="17"/>
      <c r="AJ36" s="17"/>
      <c r="AK36" s="17"/>
      <c r="AL36" s="17"/>
      <c r="AM36" s="17"/>
      <c r="AN36" s="19"/>
      <c r="AO36" s="43"/>
      <c r="AP36" s="17"/>
      <c r="AQ36" s="17"/>
      <c r="AR36" s="17"/>
      <c r="AS36" s="17"/>
      <c r="AT36" s="17"/>
      <c r="AU36" s="19"/>
      <c r="AV36" s="43"/>
      <c r="AW36" s="17"/>
      <c r="AX36" s="17"/>
      <c r="AY36" s="17"/>
      <c r="AZ36" s="17"/>
      <c r="BA36" s="17"/>
      <c r="BB36" s="19"/>
      <c r="BD36" s="3"/>
      <c r="BE36" s="43"/>
    </row>
    <row r="37" spans="4:126" x14ac:dyDescent="0.35">
      <c r="D37" s="3">
        <f>Neu!$B10</f>
        <v>0</v>
      </c>
      <c r="E37" s="20"/>
      <c r="F37" s="17"/>
      <c r="G37" s="19"/>
      <c r="H37" s="43"/>
      <c r="I37" s="17"/>
      <c r="J37" s="19"/>
      <c r="K37" s="43"/>
      <c r="L37" s="17"/>
      <c r="M37" s="19"/>
      <c r="O37" s="3">
        <f>Neu!$B10</f>
        <v>0</v>
      </c>
      <c r="P37" s="43"/>
      <c r="Q37" s="19"/>
      <c r="R37" s="43"/>
      <c r="S37" s="19"/>
      <c r="T37" s="43"/>
      <c r="U37" s="19"/>
      <c r="V37" s="43"/>
      <c r="W37" s="19"/>
      <c r="Z37" s="3">
        <f>Neu!$B10</f>
        <v>0</v>
      </c>
      <c r="AA37" s="43"/>
      <c r="AB37" s="17"/>
      <c r="AC37" s="17"/>
      <c r="AD37" s="34"/>
      <c r="AE37" s="17"/>
      <c r="AF37" s="17"/>
      <c r="AG37" s="19"/>
      <c r="AH37" s="43"/>
      <c r="AI37" s="17"/>
      <c r="AJ37" s="17"/>
      <c r="AK37" s="17"/>
      <c r="AL37" s="17"/>
      <c r="AM37" s="17"/>
      <c r="AN37" s="19"/>
      <c r="AO37" s="43"/>
      <c r="AP37" s="17"/>
      <c r="AQ37" s="17"/>
      <c r="AR37" s="17"/>
      <c r="AS37" s="17"/>
      <c r="AT37" s="17"/>
      <c r="AU37" s="19"/>
      <c r="AV37" s="43"/>
      <c r="AW37" s="17"/>
      <c r="AX37" s="17"/>
      <c r="AY37" s="17"/>
      <c r="AZ37" s="17"/>
      <c r="BA37" s="17"/>
      <c r="BB37" s="19"/>
      <c r="BD37" s="3"/>
      <c r="BE37" s="43"/>
    </row>
    <row r="38" spans="4:126" x14ac:dyDescent="0.35">
      <c r="D38" s="3">
        <f>Neu!$B11</f>
        <v>0</v>
      </c>
      <c r="E38" s="20"/>
      <c r="F38" s="17"/>
      <c r="G38" s="19"/>
      <c r="H38" s="43"/>
      <c r="I38" s="17"/>
      <c r="J38" s="19"/>
      <c r="K38" s="43"/>
      <c r="L38" s="17"/>
      <c r="M38" s="19"/>
      <c r="O38" s="3">
        <f>Neu!$B11</f>
        <v>0</v>
      </c>
      <c r="P38" s="43"/>
      <c r="Q38" s="19"/>
      <c r="R38" s="43"/>
      <c r="S38" s="19"/>
      <c r="T38" s="43"/>
      <c r="U38" s="19"/>
      <c r="V38" s="43"/>
      <c r="W38" s="19"/>
      <c r="Z38" s="3">
        <f>Neu!$B11</f>
        <v>0</v>
      </c>
      <c r="AA38" s="43"/>
      <c r="AB38" s="17"/>
      <c r="AC38" s="17"/>
      <c r="AD38" s="34"/>
      <c r="AE38" s="17"/>
      <c r="AF38" s="17"/>
      <c r="AG38" s="19"/>
      <c r="AH38" s="43"/>
      <c r="AI38" s="17"/>
      <c r="AJ38" s="17"/>
      <c r="AK38" s="17"/>
      <c r="AL38" s="17"/>
      <c r="AM38" s="17"/>
      <c r="AN38" s="19"/>
      <c r="AO38" s="43"/>
      <c r="AP38" s="17"/>
      <c r="AQ38" s="17"/>
      <c r="AR38" s="17"/>
      <c r="AS38" s="17"/>
      <c r="AT38" s="17"/>
      <c r="AU38" s="19"/>
      <c r="AV38" s="43"/>
      <c r="AW38" s="17"/>
      <c r="AX38" s="17"/>
      <c r="AY38" s="17"/>
      <c r="AZ38" s="17"/>
      <c r="BA38" s="17"/>
      <c r="BB38" s="19"/>
      <c r="BD38" s="3"/>
      <c r="BE38" s="43"/>
    </row>
    <row r="39" spans="4:126" x14ac:dyDescent="0.35">
      <c r="D39" s="3">
        <f>Neu!$B12</f>
        <v>0</v>
      </c>
      <c r="E39" s="20"/>
      <c r="F39" s="17"/>
      <c r="G39" s="19"/>
      <c r="H39" s="43"/>
      <c r="I39" s="17"/>
      <c r="J39" s="19"/>
      <c r="K39" s="43"/>
      <c r="L39" s="17"/>
      <c r="M39" s="19"/>
      <c r="O39" s="3">
        <f>Neu!$B12</f>
        <v>0</v>
      </c>
      <c r="P39" s="43"/>
      <c r="Q39" s="19"/>
      <c r="R39" s="43"/>
      <c r="S39" s="19"/>
      <c r="T39" s="43"/>
      <c r="U39" s="19"/>
      <c r="V39" s="43"/>
      <c r="W39" s="19"/>
      <c r="Z39" s="3">
        <f>Neu!$B12</f>
        <v>0</v>
      </c>
      <c r="AA39" s="43"/>
      <c r="AB39" s="17"/>
      <c r="AC39" s="17"/>
      <c r="AD39" s="34"/>
      <c r="AE39" s="17"/>
      <c r="AF39" s="17"/>
      <c r="AG39" s="19"/>
      <c r="AH39" s="43"/>
      <c r="AI39" s="17"/>
      <c r="AJ39" s="17"/>
      <c r="AK39" s="17"/>
      <c r="AL39" s="17"/>
      <c r="AM39" s="17"/>
      <c r="AN39" s="19"/>
      <c r="AO39" s="43"/>
      <c r="AP39" s="17"/>
      <c r="AQ39" s="17"/>
      <c r="AR39" s="17"/>
      <c r="AS39" s="17"/>
      <c r="AT39" s="17"/>
      <c r="AU39" s="19"/>
      <c r="AV39" s="43"/>
      <c r="AW39" s="17"/>
      <c r="AX39" s="17"/>
      <c r="AY39" s="17"/>
      <c r="AZ39" s="17"/>
      <c r="BA39" s="17"/>
      <c r="BB39" s="19"/>
      <c r="BD39" s="3"/>
      <c r="BE39" s="43"/>
    </row>
    <row r="40" spans="4:126" x14ac:dyDescent="0.35">
      <c r="D40" s="3">
        <f>Neu!$B13</f>
        <v>0</v>
      </c>
      <c r="E40" s="20"/>
      <c r="F40" s="17"/>
      <c r="G40" s="19"/>
      <c r="H40" s="43"/>
      <c r="I40" s="17"/>
      <c r="J40" s="19"/>
      <c r="K40" s="43"/>
      <c r="L40" s="17"/>
      <c r="M40" s="19"/>
      <c r="O40" s="3">
        <f>Neu!$B13</f>
        <v>0</v>
      </c>
      <c r="P40" s="43"/>
      <c r="Q40" s="19"/>
      <c r="R40" s="43"/>
      <c r="S40" s="19"/>
      <c r="T40" s="43"/>
      <c r="U40" s="19"/>
      <c r="V40" s="43"/>
      <c r="W40" s="19"/>
      <c r="Z40" s="3">
        <f>Neu!$B13</f>
        <v>0</v>
      </c>
      <c r="AA40" s="43"/>
      <c r="AB40" s="17"/>
      <c r="AC40" s="17"/>
      <c r="AD40" s="34"/>
      <c r="AE40" s="17"/>
      <c r="AF40" s="17"/>
      <c r="AG40" s="19"/>
      <c r="AH40" s="43"/>
      <c r="AI40" s="17"/>
      <c r="AJ40" s="17"/>
      <c r="AK40" s="17"/>
      <c r="AL40" s="17"/>
      <c r="AM40" s="17"/>
      <c r="AN40" s="19"/>
      <c r="AO40" s="43"/>
      <c r="AP40" s="17"/>
      <c r="AQ40" s="17"/>
      <c r="AR40" s="17"/>
      <c r="AS40" s="17"/>
      <c r="AT40" s="17"/>
      <c r="AU40" s="19"/>
      <c r="AV40" s="43"/>
      <c r="AW40" s="17"/>
      <c r="AX40" s="17"/>
      <c r="AY40" s="17"/>
      <c r="AZ40" s="17"/>
      <c r="BA40" s="17"/>
      <c r="BB40" s="19"/>
      <c r="BD40" s="3"/>
      <c r="BE40" s="43"/>
    </row>
    <row r="41" spans="4:126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17"/>
      <c r="AL41" s="17"/>
      <c r="AM41" s="17"/>
      <c r="AN41" s="19"/>
      <c r="AO41" s="43"/>
      <c r="AP41" s="17"/>
      <c r="AQ41" s="17"/>
      <c r="AR41" s="17"/>
      <c r="AS41" s="17"/>
      <c r="AT41" s="17"/>
      <c r="AU41" s="19"/>
      <c r="AV41" s="43"/>
      <c r="AW41" s="17"/>
      <c r="AX41" s="17"/>
      <c r="AY41" s="17"/>
      <c r="AZ41" s="17"/>
      <c r="BA41" s="17"/>
      <c r="BB41" s="19"/>
      <c r="BD41" s="3"/>
      <c r="BE41" s="43"/>
    </row>
    <row r="42" spans="4:126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17"/>
      <c r="AL42" s="17"/>
      <c r="AM42" s="17"/>
      <c r="AN42" s="19"/>
      <c r="AO42" s="43"/>
      <c r="AP42" s="17"/>
      <c r="AQ42" s="17"/>
      <c r="AR42" s="17"/>
      <c r="AS42" s="17"/>
      <c r="AT42" s="17"/>
      <c r="AU42" s="19"/>
      <c r="AV42" s="43"/>
      <c r="AW42" s="17"/>
      <c r="AX42" s="17"/>
      <c r="AY42" s="17"/>
      <c r="AZ42" s="17"/>
      <c r="BA42" s="17"/>
      <c r="BB42" s="19"/>
      <c r="BD42" s="3"/>
      <c r="BE42" s="43"/>
    </row>
    <row r="43" spans="4:126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17"/>
      <c r="AL43" s="17"/>
      <c r="AM43" s="17"/>
      <c r="AN43" s="19"/>
      <c r="AO43" s="43"/>
      <c r="AP43" s="17"/>
      <c r="AQ43" s="17"/>
      <c r="AR43" s="17"/>
      <c r="AS43" s="17"/>
      <c r="AT43" s="17"/>
      <c r="AU43" s="19"/>
      <c r="AV43" s="43"/>
      <c r="AW43" s="17"/>
      <c r="AX43" s="17"/>
      <c r="AY43" s="17"/>
      <c r="AZ43" s="17"/>
      <c r="BA43" s="17"/>
      <c r="BB43" s="19"/>
      <c r="BD43" s="3"/>
      <c r="BE43" s="43"/>
    </row>
    <row r="44" spans="4:126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17"/>
      <c r="AL44" s="17"/>
      <c r="AM44" s="17"/>
      <c r="AN44" s="19"/>
      <c r="AO44" s="43"/>
      <c r="AP44" s="17"/>
      <c r="AQ44" s="17"/>
      <c r="AR44" s="17"/>
      <c r="AS44" s="17"/>
      <c r="AT44" s="17"/>
      <c r="AU44" s="19"/>
      <c r="AV44" s="43"/>
      <c r="AW44" s="17"/>
      <c r="AX44" s="17"/>
      <c r="AY44" s="17"/>
      <c r="AZ44" s="17"/>
      <c r="BA44" s="17"/>
      <c r="BB44" s="19"/>
      <c r="BD44" s="3"/>
      <c r="BE44" s="43"/>
    </row>
    <row r="45" spans="4:126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17"/>
      <c r="AL45" s="17"/>
      <c r="AM45" s="17"/>
      <c r="AN45" s="19"/>
      <c r="AO45" s="43"/>
      <c r="AP45" s="17"/>
      <c r="AQ45" s="17"/>
      <c r="AR45" s="17"/>
      <c r="AS45" s="17"/>
      <c r="AT45" s="17"/>
      <c r="AU45" s="19"/>
      <c r="AV45" s="43"/>
      <c r="AW45" s="17"/>
      <c r="AX45" s="17"/>
      <c r="AY45" s="17"/>
      <c r="AZ45" s="17"/>
      <c r="BA45" s="17"/>
      <c r="BB45" s="19"/>
      <c r="BD45" s="3"/>
      <c r="BE45" s="43"/>
    </row>
    <row r="46" spans="4:126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17"/>
      <c r="AL46" s="17"/>
      <c r="AM46" s="17"/>
      <c r="AN46" s="19"/>
      <c r="AO46" s="43"/>
      <c r="AP46" s="17"/>
      <c r="AQ46" s="17"/>
      <c r="AR46" s="17"/>
      <c r="AS46" s="17"/>
      <c r="AT46" s="17"/>
      <c r="AU46" s="19"/>
      <c r="AV46" s="43"/>
      <c r="AW46" s="17"/>
      <c r="AX46" s="17"/>
      <c r="AY46" s="17"/>
      <c r="AZ46" s="17"/>
      <c r="BA46" s="17"/>
      <c r="BB46" s="19"/>
      <c r="BD46" s="3"/>
      <c r="BE46" s="43"/>
    </row>
    <row r="47" spans="4:126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17"/>
      <c r="AL47" s="17"/>
      <c r="AM47" s="17"/>
      <c r="AN47" s="19"/>
      <c r="AO47" s="43"/>
      <c r="AP47" s="17"/>
      <c r="AQ47" s="17"/>
      <c r="AR47" s="17"/>
      <c r="AS47" s="17"/>
      <c r="AT47" s="17"/>
      <c r="AU47" s="19"/>
      <c r="AV47" s="43"/>
      <c r="AW47" s="17"/>
      <c r="AX47" s="17"/>
      <c r="AY47" s="17"/>
      <c r="AZ47" s="17"/>
      <c r="BA47" s="17"/>
      <c r="BB47" s="19"/>
      <c r="BD47" s="3"/>
      <c r="BE47" s="43"/>
    </row>
    <row r="48" spans="4:126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17"/>
      <c r="AL48" s="17"/>
      <c r="AM48" s="17"/>
      <c r="AN48" s="19"/>
      <c r="AO48" s="43"/>
      <c r="AP48" s="17"/>
      <c r="AQ48" s="17"/>
      <c r="AR48" s="17"/>
      <c r="AS48" s="17"/>
      <c r="AT48" s="17"/>
      <c r="AU48" s="19"/>
      <c r="AV48" s="43"/>
      <c r="AW48" s="17"/>
      <c r="AX48" s="17"/>
      <c r="AY48" s="17"/>
      <c r="AZ48" s="17"/>
      <c r="BA48" s="17"/>
      <c r="BB48" s="19"/>
      <c r="BD48" s="3">
        <f>Neu!$B21</f>
        <v>0</v>
      </c>
      <c r="BE48" s="20"/>
    </row>
    <row r="49" spans="3:57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17"/>
      <c r="AL49" s="17"/>
      <c r="AM49" s="17"/>
      <c r="AN49" s="19"/>
      <c r="AO49" s="43"/>
      <c r="AP49" s="17"/>
      <c r="AQ49" s="17"/>
      <c r="AR49" s="17"/>
      <c r="AS49" s="17"/>
      <c r="AT49" s="17"/>
      <c r="AU49" s="19"/>
      <c r="AV49" s="43"/>
      <c r="AW49" s="17"/>
      <c r="AX49" s="17"/>
      <c r="AY49" s="17"/>
      <c r="AZ49" s="17"/>
      <c r="BA49" s="17"/>
      <c r="BB49" s="19"/>
      <c r="BD49" s="3">
        <f>Neu!$B22</f>
        <v>0</v>
      </c>
      <c r="BE49" s="20"/>
    </row>
    <row r="50" spans="3:57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17"/>
      <c r="AL50" s="17"/>
      <c r="AM50" s="17"/>
      <c r="AN50" s="19"/>
      <c r="AO50" s="43"/>
      <c r="AP50" s="17"/>
      <c r="AQ50" s="17"/>
      <c r="AR50" s="17"/>
      <c r="AS50" s="17"/>
      <c r="AT50" s="17"/>
      <c r="AU50" s="19"/>
      <c r="AV50" s="43"/>
      <c r="AW50" s="17"/>
      <c r="AX50" s="17"/>
      <c r="AY50" s="17"/>
      <c r="AZ50" s="17"/>
      <c r="BA50" s="17"/>
      <c r="BB50" s="19"/>
      <c r="BD50" s="3">
        <f>Neu!$B23</f>
        <v>0</v>
      </c>
      <c r="BE50" s="20"/>
    </row>
    <row r="51" spans="3:57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63"/>
      <c r="AE51" s="22"/>
      <c r="AF51" s="22"/>
      <c r="AG51" s="45"/>
      <c r="AH51" s="44"/>
      <c r="AI51" s="22"/>
      <c r="AJ51" s="22"/>
      <c r="AK51" s="22"/>
      <c r="AL51" s="22"/>
      <c r="AM51" s="22"/>
      <c r="AN51" s="45"/>
      <c r="AO51" s="44"/>
      <c r="AP51" s="22"/>
      <c r="AQ51" s="22"/>
      <c r="AR51" s="22"/>
      <c r="AS51" s="22"/>
      <c r="AT51" s="22"/>
      <c r="AU51" s="45"/>
      <c r="AV51" s="44"/>
      <c r="AW51" s="22"/>
      <c r="AX51" s="22"/>
      <c r="AY51" s="22"/>
      <c r="AZ51" s="22"/>
      <c r="BA51" s="22"/>
      <c r="BB51" s="45"/>
      <c r="BD51" s="5">
        <f>Neu!$B24</f>
        <v>0</v>
      </c>
      <c r="BE51" s="21"/>
    </row>
    <row r="52" spans="3:57" x14ac:dyDescent="0.35">
      <c r="AC52" s="23"/>
      <c r="AD52" s="74"/>
      <c r="AE52" s="23"/>
      <c r="AF52" s="23"/>
      <c r="AG52" s="23"/>
      <c r="AV52" s="43" t="s">
        <v>101</v>
      </c>
      <c r="AW52" s="17" t="s">
        <v>134</v>
      </c>
      <c r="AX52" s="17">
        <v>3</v>
      </c>
      <c r="AY52" s="17">
        <v>2</v>
      </c>
      <c r="AZ52" s="17">
        <v>75</v>
      </c>
      <c r="BA52" s="17"/>
      <c r="BB52" s="19">
        <v>17</v>
      </c>
    </row>
    <row r="54" spans="3:57" x14ac:dyDescent="0.35">
      <c r="F54" s="14" t="s">
        <v>139</v>
      </c>
      <c r="AC54" s="55" t="s">
        <v>119</v>
      </c>
      <c r="AD54" s="14" t="s">
        <v>108</v>
      </c>
      <c r="AG54" s="14" t="s">
        <v>110</v>
      </c>
      <c r="AM54" s="61" t="s">
        <v>122</v>
      </c>
      <c r="AN54" s="14" t="s">
        <v>126</v>
      </c>
    </row>
    <row r="55" spans="3:57" x14ac:dyDescent="0.35">
      <c r="AC55" s="55" t="s">
        <v>120</v>
      </c>
      <c r="AD55" s="14" t="s">
        <v>109</v>
      </c>
      <c r="AG55" s="14" t="s">
        <v>111</v>
      </c>
      <c r="AM55" s="61" t="s">
        <v>123</v>
      </c>
      <c r="AN55" s="14" t="s">
        <v>127</v>
      </c>
    </row>
    <row r="56" spans="3:57" x14ac:dyDescent="0.35">
      <c r="AC56" s="61" t="s">
        <v>121</v>
      </c>
      <c r="AD56" s="14" t="s">
        <v>114</v>
      </c>
      <c r="AG56" s="14" t="s">
        <v>112</v>
      </c>
      <c r="AM56" s="61" t="s">
        <v>121</v>
      </c>
      <c r="AN56" s="14" t="s">
        <v>128</v>
      </c>
    </row>
    <row r="57" spans="3:57" x14ac:dyDescent="0.35">
      <c r="C57" s="14" t="s">
        <v>92</v>
      </c>
      <c r="D57" s="14" t="s">
        <v>146</v>
      </c>
      <c r="AM57" s="61" t="s">
        <v>124</v>
      </c>
      <c r="AN57" s="14" t="s">
        <v>129</v>
      </c>
    </row>
    <row r="58" spans="3:57" x14ac:dyDescent="0.35">
      <c r="C58" s="14" t="s">
        <v>8</v>
      </c>
      <c r="D58" s="14" t="s">
        <v>147</v>
      </c>
      <c r="AM58" s="61" t="s">
        <v>125</v>
      </c>
      <c r="AN58" s="14" t="s">
        <v>130</v>
      </c>
    </row>
    <row r="59" spans="3:57" x14ac:dyDescent="0.35">
      <c r="C59" s="14" t="s">
        <v>9</v>
      </c>
      <c r="D59" s="14" t="s">
        <v>148</v>
      </c>
      <c r="AM59" s="62"/>
    </row>
    <row r="60" spans="3:57" x14ac:dyDescent="0.35">
      <c r="C60" s="14" t="s">
        <v>10</v>
      </c>
      <c r="D60" s="14" t="s">
        <v>149</v>
      </c>
    </row>
    <row r="61" spans="3:57" x14ac:dyDescent="0.35">
      <c r="C61" s="14" t="s">
        <v>89</v>
      </c>
      <c r="D61" s="14" t="s">
        <v>150</v>
      </c>
    </row>
    <row r="62" spans="3:57" x14ac:dyDescent="0.35">
      <c r="C62" s="14" t="s">
        <v>90</v>
      </c>
      <c r="D62" s="14" t="s">
        <v>151</v>
      </c>
    </row>
  </sheetData>
  <mergeCells count="22">
    <mergeCell ref="J2:U2"/>
    <mergeCell ref="V2:AG2"/>
    <mergeCell ref="G1:AG1"/>
    <mergeCell ref="E1:F1"/>
    <mergeCell ref="E2:F2"/>
    <mergeCell ref="G2:I2"/>
    <mergeCell ref="AH1:BH1"/>
    <mergeCell ref="AH2:AJ2"/>
    <mergeCell ref="AK2:AV2"/>
    <mergeCell ref="AW2:BH2"/>
    <mergeCell ref="BI1:CI1"/>
    <mergeCell ref="BI2:BK2"/>
    <mergeCell ref="BL2:BW2"/>
    <mergeCell ref="BX2:CI2"/>
    <mergeCell ref="CJ1:DJ1"/>
    <mergeCell ref="CJ2:CL2"/>
    <mergeCell ref="CM2:CX2"/>
    <mergeCell ref="CY2:DJ2"/>
    <mergeCell ref="DK1:EK1"/>
    <mergeCell ref="DK2:DM2"/>
    <mergeCell ref="DN2:DY2"/>
    <mergeCell ref="DZ2:EK2"/>
  </mergeCells>
  <conditionalFormatting sqref="A4:A24">
    <cfRule type="cellIs" dxfId="51" priority="4" operator="equal">
      <formula>0</formula>
    </cfRule>
  </conditionalFormatting>
  <conditionalFormatting sqref="D31:D51">
    <cfRule type="cellIs" dxfId="50" priority="165" operator="equal">
      <formula>0</formula>
    </cfRule>
  </conditionalFormatting>
  <conditionalFormatting sqref="E4:EK24">
    <cfRule type="notContainsBlanks" dxfId="49" priority="5">
      <formula>LEN(TRIM(E4))&gt;0</formula>
    </cfRule>
  </conditionalFormatting>
  <conditionalFormatting sqref="G25:AD26">
    <cfRule type="notContainsBlanks" dxfId="48" priority="18">
      <formula>LEN(TRIM(G25))&gt;0</formula>
    </cfRule>
  </conditionalFormatting>
  <conditionalFormatting sqref="O31:O51">
    <cfRule type="cellIs" dxfId="47" priority="3" operator="equal">
      <formula>0</formula>
    </cfRule>
  </conditionalFormatting>
  <conditionalFormatting sqref="Z31:Z51">
    <cfRule type="cellIs" dxfId="46" priority="2" operator="equal">
      <formula>0</formula>
    </cfRule>
  </conditionalFormatting>
  <conditionalFormatting sqref="AH25:BE27">
    <cfRule type="notContainsBlanks" dxfId="45" priority="16">
      <formula>LEN(TRIM(AH25))&gt;0</formula>
    </cfRule>
  </conditionalFormatting>
  <conditionalFormatting sqref="BD31:BD51">
    <cfRule type="cellIs" dxfId="44" priority="1" operator="equal">
      <formula>0</formula>
    </cfRule>
  </conditionalFormatting>
  <conditionalFormatting sqref="BI25:BI27">
    <cfRule type="notContainsBlanks" dxfId="43" priority="91">
      <formula>LEN(TRIM(BI25))&gt;0</formula>
    </cfRule>
  </conditionalFormatting>
  <conditionalFormatting sqref="DC26">
    <cfRule type="notContainsBlanks" dxfId="42" priority="156">
      <formula>LEN(TRIM(DC26))&gt;0</formula>
    </cfRule>
  </conditionalFormatting>
  <conditionalFormatting sqref="DC25:DG25">
    <cfRule type="notContainsBlanks" dxfId="41" priority="157">
      <formula>LEN(TRIM(DC25))&gt;0</formula>
    </cfRule>
  </conditionalFormatting>
  <conditionalFormatting sqref="DC27:DG27">
    <cfRule type="notContainsBlanks" dxfId="40" priority="155">
      <formula>LEN(TRIM(DC27))&gt;0</formula>
    </cfRule>
  </conditionalFormatting>
  <conditionalFormatting sqref="DJ25:DJ27">
    <cfRule type="notContainsBlanks" dxfId="39" priority="84">
      <formula>LEN(TRIM(DJ25))&gt;0</formula>
    </cfRule>
  </conditionalFormatting>
  <conditionalFormatting sqref="DK25:EH29">
    <cfRule type="notContainsBlanks" dxfId="38" priority="81">
      <formula>LEN(TRIM(DK25))&gt;0</formula>
    </cfRule>
  </conditionalFormatting>
  <conditionalFormatting sqref="FE26">
    <cfRule type="notContainsBlanks" dxfId="37" priority="52">
      <formula>LEN(TRIM(FE26))&gt;0</formula>
    </cfRule>
  </conditionalFormatting>
  <conditionalFormatting sqref="FE25:FI25">
    <cfRule type="notContainsBlanks" dxfId="36" priority="53">
      <formula>LEN(TRIM(FE25))&gt;0</formula>
    </cfRule>
  </conditionalFormatting>
  <conditionalFormatting sqref="FE27:FI27">
    <cfRule type="notContainsBlanks" dxfId="35" priority="51">
      <formula>LEN(TRIM(FE27))&gt;0</formula>
    </cfRule>
  </conditionalFormatting>
  <conditionalFormatting sqref="FL25:FL27">
    <cfRule type="notContainsBlanks" dxfId="34" priority="44">
      <formula>LEN(TRIM(FL25))&gt;0</formula>
    </cfRule>
  </conditionalFormatting>
  <conditionalFormatting sqref="GL25:GL27">
    <cfRule type="notContainsBlanks" dxfId="33" priority="75">
      <formula>LEN(TRIM(GL25))&gt;0</formula>
    </cfRule>
  </conditionalFormatting>
  <conditionalFormatting sqref="HM25:HM27">
    <cfRule type="notContainsBlanks" dxfId="32" priority="37">
      <formula>LEN(TRIM(HM25))&gt;0</formula>
    </cfRule>
  </conditionalFormatting>
  <conditionalFormatting sqref="HO29:HO31">
    <cfRule type="notContainsBlanks" dxfId="31" priority="129">
      <formula>LEN(TRIM(HO29))&gt;0</formula>
    </cfRule>
  </conditionalFormatting>
  <conditionalFormatting sqref="HO25:HU25 ID25:IH25">
    <cfRule type="notContainsBlanks" dxfId="30" priority="147">
      <formula>LEN(TRIM(HO25))&gt;0</formula>
    </cfRule>
  </conditionalFormatting>
  <conditionalFormatting sqref="HO27:HU27 ID27:IH27">
    <cfRule type="notContainsBlanks" dxfId="29" priority="139">
      <formula>LEN(TRIM(HO27))&gt;0</formula>
    </cfRule>
  </conditionalFormatting>
  <conditionalFormatting sqref="HV25:IC27">
    <cfRule type="notContainsBlanks" dxfId="28" priority="24">
      <formula>LEN(TRIM(HV25))&gt;0</formula>
    </cfRule>
  </conditionalFormatting>
  <conditionalFormatting sqref="IP25:IV26">
    <cfRule type="notContainsBlanks" dxfId="27" priority="95">
      <formula>LEN(TRIM(IP25))&gt;0</formula>
    </cfRule>
  </conditionalFormatting>
  <conditionalFormatting sqref="IW25:JD27">
    <cfRule type="notContainsBlanks" dxfId="26" priority="101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F9" sqref="F9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2"/>
      <c r="B1" s="162"/>
      <c r="C1" s="162" t="s">
        <v>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30" ht="15" thickBot="1" x14ac:dyDescent="0.4">
      <c r="A2" s="162"/>
      <c r="B2" s="162"/>
      <c r="C2" s="134" t="str">
        <f>Neu!$B4</f>
        <v>B63s</v>
      </c>
      <c r="D2" s="105" t="str">
        <f>Neu!$B5</f>
        <v>B63a</v>
      </c>
      <c r="E2" s="105" t="str">
        <f>Neu!$B6</f>
        <v>B31s</v>
      </c>
      <c r="F2" s="105" t="str">
        <f>Neu!$B7</f>
        <v>B64s</v>
      </c>
      <c r="G2" s="105" t="str">
        <f>Neu!$B8</f>
        <v>B64a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63" t="s">
        <v>5</v>
      </c>
      <c r="B3" s="159" t="str">
        <f>Neu!B4</f>
        <v>B63s</v>
      </c>
      <c r="C3" s="119"/>
      <c r="D3" s="120"/>
      <c r="E3" s="120"/>
      <c r="F3" s="120"/>
      <c r="G3" s="120"/>
      <c r="H3" s="121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63"/>
      <c r="B4" s="160"/>
      <c r="C4" s="123"/>
      <c r="D4" s="117"/>
      <c r="E4" s="117"/>
      <c r="F4" s="117"/>
      <c r="G4" s="117"/>
      <c r="H4" s="10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08"/>
      <c r="T4" s="117"/>
      <c r="U4" s="117"/>
      <c r="V4" s="117"/>
      <c r="W4" s="124"/>
      <c r="X4" s="143" t="s">
        <v>156</v>
      </c>
      <c r="Y4" s="145">
        <f>MAX($C$3:$W$44)-(ROW(Y4)-4)*0.5</f>
        <v>18</v>
      </c>
      <c r="Z4" s="69"/>
      <c r="AA4" s="69"/>
      <c r="AB4" s="69"/>
      <c r="AC4" s="69"/>
      <c r="AD4" s="69"/>
    </row>
    <row r="5" spans="1:30" ht="14.25" customHeight="1" x14ac:dyDescent="0.35">
      <c r="A5" s="163"/>
      <c r="B5" s="161" t="str">
        <f>Neu!B5</f>
        <v>B63a</v>
      </c>
      <c r="C5" s="125"/>
      <c r="D5" s="114"/>
      <c r="E5" s="116">
        <v>0.4</v>
      </c>
      <c r="F5" s="116"/>
      <c r="G5" s="116"/>
      <c r="H5" s="109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09"/>
      <c r="T5" s="116"/>
      <c r="U5" s="116"/>
      <c r="V5" s="116"/>
      <c r="W5" s="126"/>
      <c r="X5" s="69"/>
      <c r="Y5" s="145">
        <f t="shared" ref="Y5:Y26" si="0">MAX($C$3:$W$44)-(ROW(Y5)-4)*0.5</f>
        <v>17.5</v>
      </c>
      <c r="Z5" s="69"/>
      <c r="AA5" s="69"/>
      <c r="AB5" s="69"/>
      <c r="AC5" s="69"/>
      <c r="AD5" s="69"/>
    </row>
    <row r="6" spans="1:30" ht="14.25" customHeight="1" x14ac:dyDescent="0.35">
      <c r="A6" s="163"/>
      <c r="B6" s="160"/>
      <c r="C6" s="127"/>
      <c r="D6" s="118"/>
      <c r="E6" s="102">
        <v>18</v>
      </c>
      <c r="F6" s="102"/>
      <c r="G6" s="102"/>
      <c r="H6" s="103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3"/>
      <c r="T6" s="102"/>
      <c r="U6" s="102"/>
      <c r="V6" s="102"/>
      <c r="W6" s="104"/>
      <c r="X6" s="69"/>
      <c r="Y6" s="145">
        <f t="shared" si="0"/>
        <v>17</v>
      </c>
      <c r="Z6" s="69"/>
      <c r="AA6" s="69"/>
      <c r="AB6" s="69"/>
      <c r="AC6" s="69"/>
      <c r="AD6" s="69"/>
    </row>
    <row r="7" spans="1:30" ht="14.25" customHeight="1" x14ac:dyDescent="0.35">
      <c r="A7" s="163"/>
      <c r="B7" s="161" t="str">
        <f>Neu!B6</f>
        <v>B31s</v>
      </c>
      <c r="C7" s="125"/>
      <c r="D7" s="116"/>
      <c r="E7" s="114"/>
      <c r="F7" s="116"/>
      <c r="G7" s="116"/>
      <c r="H7" s="109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09"/>
      <c r="T7" s="116"/>
      <c r="U7" s="116"/>
      <c r="V7" s="116"/>
      <c r="W7" s="126"/>
      <c r="X7" s="69"/>
      <c r="Y7" s="145">
        <f t="shared" si="0"/>
        <v>16.5</v>
      </c>
      <c r="Z7" s="69"/>
      <c r="AA7" s="69"/>
      <c r="AB7" s="69"/>
      <c r="AC7" s="69"/>
      <c r="AD7" s="69"/>
    </row>
    <row r="8" spans="1:30" ht="14.25" customHeight="1" x14ac:dyDescent="0.35">
      <c r="A8" s="163"/>
      <c r="B8" s="160"/>
      <c r="C8" s="127"/>
      <c r="D8" s="102"/>
      <c r="E8" s="118"/>
      <c r="F8" s="102"/>
      <c r="G8" s="102"/>
      <c r="H8" s="103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/>
      <c r="T8" s="102"/>
      <c r="U8" s="102"/>
      <c r="V8" s="102"/>
      <c r="W8" s="104"/>
      <c r="X8" s="69"/>
      <c r="Y8" s="145">
        <f t="shared" si="0"/>
        <v>16</v>
      </c>
      <c r="Z8" s="69"/>
      <c r="AA8" s="69"/>
      <c r="AB8" s="69"/>
      <c r="AC8" s="69"/>
      <c r="AD8" s="69"/>
    </row>
    <row r="9" spans="1:30" ht="14.25" customHeight="1" x14ac:dyDescent="0.35">
      <c r="A9" s="163"/>
      <c r="B9" s="161" t="str">
        <f>Neu!B7</f>
        <v>B64s</v>
      </c>
      <c r="C9" s="125"/>
      <c r="D9" s="116"/>
      <c r="E9" s="116"/>
      <c r="F9" s="114"/>
      <c r="G9" s="116"/>
      <c r="H9" s="109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09"/>
      <c r="T9" s="116"/>
      <c r="U9" s="116"/>
      <c r="V9" s="116"/>
      <c r="W9" s="126"/>
      <c r="X9" s="69"/>
      <c r="Y9" s="145">
        <f t="shared" si="0"/>
        <v>15.5</v>
      </c>
      <c r="Z9" s="69"/>
      <c r="AA9" s="69"/>
      <c r="AB9" s="69"/>
      <c r="AC9" s="69"/>
      <c r="AD9" s="69"/>
    </row>
    <row r="10" spans="1:30" ht="14.25" customHeight="1" x14ac:dyDescent="0.35">
      <c r="A10" s="163"/>
      <c r="B10" s="160"/>
      <c r="C10" s="127"/>
      <c r="D10" s="102"/>
      <c r="E10" s="102"/>
      <c r="F10" s="118"/>
      <c r="G10" s="102"/>
      <c r="H10" s="103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3"/>
      <c r="T10" s="102"/>
      <c r="U10" s="102"/>
      <c r="V10" s="102"/>
      <c r="W10" s="104"/>
      <c r="X10" s="69"/>
      <c r="Y10" s="145">
        <f t="shared" si="0"/>
        <v>15</v>
      </c>
      <c r="Z10" s="69"/>
      <c r="AA10" s="69"/>
      <c r="AB10" s="69"/>
      <c r="AC10" s="69"/>
      <c r="AD10" s="69"/>
    </row>
    <row r="11" spans="1:30" ht="14.25" customHeight="1" x14ac:dyDescent="0.35">
      <c r="A11" s="163"/>
      <c r="B11" s="161" t="str">
        <f>Neu!B8</f>
        <v>B64a</v>
      </c>
      <c r="C11" s="125"/>
      <c r="D11" s="116"/>
      <c r="E11" s="116"/>
      <c r="F11" s="116"/>
      <c r="G11" s="114"/>
      <c r="H11" s="109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09"/>
      <c r="T11" s="116"/>
      <c r="U11" s="116"/>
      <c r="V11" s="116"/>
      <c r="W11" s="126"/>
      <c r="X11" s="69"/>
      <c r="Y11" s="145">
        <f t="shared" si="0"/>
        <v>14.5</v>
      </c>
      <c r="Z11" s="69"/>
      <c r="AA11" s="69"/>
      <c r="AB11" s="69"/>
      <c r="AC11" s="69"/>
      <c r="AD11" s="69"/>
    </row>
    <row r="12" spans="1:30" ht="14.25" customHeight="1" x14ac:dyDescent="0.35">
      <c r="A12" s="163"/>
      <c r="B12" s="160"/>
      <c r="C12" s="127"/>
      <c r="D12" s="102"/>
      <c r="E12" s="102"/>
      <c r="F12" s="102"/>
      <c r="G12" s="118"/>
      <c r="H12" s="103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3"/>
      <c r="T12" s="102"/>
      <c r="U12" s="102"/>
      <c r="V12" s="102"/>
      <c r="W12" s="104"/>
      <c r="X12" s="69"/>
      <c r="Y12" s="145">
        <f t="shared" si="0"/>
        <v>14</v>
      </c>
      <c r="Z12" s="69"/>
      <c r="AA12" s="69"/>
      <c r="AB12" s="69"/>
      <c r="AC12" s="69"/>
      <c r="AD12" s="69"/>
    </row>
    <row r="13" spans="1:30" ht="14.25" customHeight="1" x14ac:dyDescent="0.35">
      <c r="A13" s="163"/>
      <c r="B13" s="161">
        <f>Neu!B9</f>
        <v>0</v>
      </c>
      <c r="C13" s="125"/>
      <c r="D13" s="116"/>
      <c r="E13" s="116"/>
      <c r="F13" s="116"/>
      <c r="G13" s="116"/>
      <c r="H13" s="107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09"/>
      <c r="T13" s="116"/>
      <c r="U13" s="116"/>
      <c r="V13" s="116"/>
      <c r="W13" s="126"/>
      <c r="X13" s="69"/>
      <c r="Y13" s="145">
        <f t="shared" si="0"/>
        <v>13.5</v>
      </c>
      <c r="Z13" s="69"/>
      <c r="AA13" s="69"/>
      <c r="AB13" s="69"/>
      <c r="AC13" s="69"/>
      <c r="AD13" s="69"/>
    </row>
    <row r="14" spans="1:30" ht="14.25" customHeight="1" x14ac:dyDescent="0.35">
      <c r="A14" s="163"/>
      <c r="B14" s="160"/>
      <c r="C14" s="128"/>
      <c r="D14" s="117"/>
      <c r="E14" s="117"/>
      <c r="F14" s="117"/>
      <c r="G14" s="117"/>
      <c r="H14" s="110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08"/>
      <c r="T14" s="117"/>
      <c r="U14" s="117"/>
      <c r="V14" s="117"/>
      <c r="W14" s="124"/>
      <c r="X14" s="69"/>
      <c r="Y14" s="145">
        <f t="shared" si="0"/>
        <v>13</v>
      </c>
      <c r="Z14" s="69"/>
      <c r="AA14" s="69"/>
      <c r="AB14" s="69"/>
      <c r="AC14" s="69"/>
      <c r="AD14" s="69"/>
    </row>
    <row r="15" spans="1:30" ht="14.25" customHeight="1" x14ac:dyDescent="0.35">
      <c r="A15" s="163"/>
      <c r="B15" s="161">
        <f>Neu!B10</f>
        <v>0</v>
      </c>
      <c r="C15" s="125"/>
      <c r="D15" s="116"/>
      <c r="E15" s="116"/>
      <c r="F15" s="116"/>
      <c r="G15" s="116"/>
      <c r="H15" s="109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09"/>
      <c r="T15" s="116"/>
      <c r="U15" s="116"/>
      <c r="V15" s="116"/>
      <c r="W15" s="126"/>
      <c r="X15" s="69"/>
      <c r="Y15" s="145">
        <f t="shared" si="0"/>
        <v>12.5</v>
      </c>
      <c r="Z15" s="69"/>
      <c r="AA15" s="69"/>
      <c r="AB15" s="69"/>
      <c r="AC15" s="69"/>
      <c r="AD15" s="69"/>
    </row>
    <row r="16" spans="1:30" ht="14.25" customHeight="1" x14ac:dyDescent="0.35">
      <c r="A16" s="163"/>
      <c r="B16" s="160"/>
      <c r="C16" s="127"/>
      <c r="D16" s="102"/>
      <c r="E16" s="102"/>
      <c r="F16" s="102"/>
      <c r="G16" s="102"/>
      <c r="H16" s="103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3"/>
      <c r="T16" s="102"/>
      <c r="U16" s="102"/>
      <c r="V16" s="102"/>
      <c r="W16" s="104"/>
      <c r="X16" s="69"/>
      <c r="Y16" s="145">
        <f t="shared" si="0"/>
        <v>12</v>
      </c>
      <c r="Z16" s="69"/>
      <c r="AA16" s="69"/>
      <c r="AB16" s="69"/>
      <c r="AC16" s="69"/>
      <c r="AD16" s="69"/>
    </row>
    <row r="17" spans="1:30" ht="14.25" customHeight="1" x14ac:dyDescent="0.35">
      <c r="A17" s="163"/>
      <c r="B17" s="161">
        <f>Neu!B11</f>
        <v>0</v>
      </c>
      <c r="C17" s="125"/>
      <c r="D17" s="116"/>
      <c r="E17" s="116"/>
      <c r="F17" s="116"/>
      <c r="G17" s="116"/>
      <c r="H17" s="109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09"/>
      <c r="T17" s="116"/>
      <c r="U17" s="116"/>
      <c r="V17" s="116"/>
      <c r="W17" s="126"/>
      <c r="X17" s="69"/>
      <c r="Y17" s="145">
        <f t="shared" si="0"/>
        <v>11.5</v>
      </c>
      <c r="Z17" s="69"/>
      <c r="AA17" s="69"/>
      <c r="AB17" s="69"/>
      <c r="AC17" s="69"/>
      <c r="AD17" s="69"/>
    </row>
    <row r="18" spans="1:30" ht="14.25" customHeight="1" x14ac:dyDescent="0.35">
      <c r="A18" s="163"/>
      <c r="B18" s="160"/>
      <c r="C18" s="127"/>
      <c r="D18" s="102"/>
      <c r="E18" s="102"/>
      <c r="F18" s="102"/>
      <c r="G18" s="102"/>
      <c r="H18" s="103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3"/>
      <c r="T18" s="102"/>
      <c r="U18" s="102"/>
      <c r="V18" s="102"/>
      <c r="W18" s="104"/>
      <c r="X18" s="69"/>
      <c r="Y18" s="145">
        <f t="shared" si="0"/>
        <v>11</v>
      </c>
      <c r="Z18" s="69"/>
      <c r="AA18" s="69"/>
      <c r="AB18" s="69"/>
      <c r="AC18" s="69"/>
      <c r="AD18" s="69"/>
    </row>
    <row r="19" spans="1:30" ht="14.25" customHeight="1" x14ac:dyDescent="0.35">
      <c r="A19" s="163"/>
      <c r="B19" s="161">
        <f>Neu!B12</f>
        <v>0</v>
      </c>
      <c r="C19" s="125"/>
      <c r="D19" s="116"/>
      <c r="E19" s="116"/>
      <c r="F19" s="116"/>
      <c r="G19" s="116"/>
      <c r="H19" s="109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09"/>
      <c r="T19" s="116"/>
      <c r="U19" s="116"/>
      <c r="V19" s="116"/>
      <c r="W19" s="126"/>
      <c r="X19" s="69"/>
      <c r="Y19" s="145">
        <f t="shared" si="0"/>
        <v>10.5</v>
      </c>
      <c r="Z19" s="69"/>
      <c r="AA19" s="69"/>
      <c r="AB19" s="69"/>
      <c r="AC19" s="69"/>
      <c r="AD19" s="69"/>
    </row>
    <row r="20" spans="1:30" ht="14.25" customHeight="1" x14ac:dyDescent="0.35">
      <c r="A20" s="163"/>
      <c r="B20" s="160"/>
      <c r="C20" s="127"/>
      <c r="D20" s="102"/>
      <c r="E20" s="102"/>
      <c r="F20" s="102"/>
      <c r="G20" s="102"/>
      <c r="H20" s="103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3"/>
      <c r="T20" s="102"/>
      <c r="U20" s="102"/>
      <c r="V20" s="102"/>
      <c r="W20" s="104"/>
      <c r="X20" s="69"/>
      <c r="Y20" s="145">
        <f t="shared" si="0"/>
        <v>10</v>
      </c>
      <c r="Z20" s="69"/>
      <c r="AA20" s="69"/>
      <c r="AB20" s="69"/>
      <c r="AC20" s="69"/>
      <c r="AD20" s="69"/>
    </row>
    <row r="21" spans="1:30" ht="14.25" customHeight="1" x14ac:dyDescent="0.35">
      <c r="A21" s="163"/>
      <c r="B21" s="161">
        <f>Neu!B13</f>
        <v>0</v>
      </c>
      <c r="C21" s="125"/>
      <c r="D21" s="116"/>
      <c r="E21" s="116"/>
      <c r="F21" s="116"/>
      <c r="G21" s="116"/>
      <c r="H21" s="109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09"/>
      <c r="T21" s="116"/>
      <c r="U21" s="116"/>
      <c r="V21" s="116"/>
      <c r="W21" s="126"/>
      <c r="X21" s="69"/>
      <c r="Y21" s="145">
        <f t="shared" si="0"/>
        <v>9.5</v>
      </c>
      <c r="Z21" s="69"/>
      <c r="AA21" s="69"/>
      <c r="AB21" s="69"/>
      <c r="AC21" s="69"/>
      <c r="AD21" s="69"/>
    </row>
    <row r="22" spans="1:30" ht="14.25" customHeight="1" x14ac:dyDescent="0.35">
      <c r="A22" s="163"/>
      <c r="B22" s="160"/>
      <c r="C22" s="127"/>
      <c r="D22" s="102"/>
      <c r="E22" s="102"/>
      <c r="F22" s="102"/>
      <c r="G22" s="102"/>
      <c r="H22" s="103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3"/>
      <c r="T22" s="102"/>
      <c r="U22" s="102"/>
      <c r="V22" s="102"/>
      <c r="W22" s="104"/>
      <c r="X22" s="69"/>
      <c r="Y22" s="145">
        <f t="shared" si="0"/>
        <v>9</v>
      </c>
      <c r="Z22" s="69"/>
      <c r="AA22" s="69"/>
      <c r="AB22" s="69"/>
      <c r="AC22" s="69"/>
      <c r="AD22" s="69"/>
    </row>
    <row r="23" spans="1:30" ht="14.25" customHeight="1" x14ac:dyDescent="0.35">
      <c r="A23" s="163"/>
      <c r="B23" s="161">
        <f>Neu!B14</f>
        <v>0</v>
      </c>
      <c r="C23" s="125"/>
      <c r="D23" s="116"/>
      <c r="E23" s="116"/>
      <c r="F23" s="116"/>
      <c r="G23" s="116"/>
      <c r="H23" s="109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09"/>
      <c r="T23" s="116"/>
      <c r="U23" s="116"/>
      <c r="V23" s="116"/>
      <c r="W23" s="126"/>
      <c r="X23" s="69"/>
      <c r="Y23" s="145">
        <f t="shared" si="0"/>
        <v>8.5</v>
      </c>
      <c r="Z23" s="69"/>
      <c r="AA23" s="69"/>
      <c r="AB23" s="69"/>
      <c r="AC23" s="69"/>
      <c r="AD23" s="69"/>
    </row>
    <row r="24" spans="1:30" ht="14.25" customHeight="1" x14ac:dyDescent="0.35">
      <c r="A24" s="163"/>
      <c r="B24" s="160"/>
      <c r="C24" s="128"/>
      <c r="D24" s="117"/>
      <c r="E24" s="117"/>
      <c r="F24" s="117"/>
      <c r="G24" s="117"/>
      <c r="H24" s="108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08"/>
      <c r="T24" s="117"/>
      <c r="U24" s="117"/>
      <c r="V24" s="117"/>
      <c r="W24" s="124"/>
      <c r="X24" s="69"/>
      <c r="Y24" s="145">
        <f t="shared" si="0"/>
        <v>8</v>
      </c>
      <c r="Z24" s="69"/>
      <c r="AA24" s="69"/>
      <c r="AB24" s="69"/>
      <c r="AC24" s="69"/>
      <c r="AD24" s="69"/>
    </row>
    <row r="25" spans="1:30" ht="14.25" customHeight="1" x14ac:dyDescent="0.35">
      <c r="A25" s="163"/>
      <c r="B25" s="161">
        <f>Neu!B15</f>
        <v>0</v>
      </c>
      <c r="C25" s="125"/>
      <c r="D25" s="116"/>
      <c r="E25" s="116"/>
      <c r="F25" s="116"/>
      <c r="G25" s="116"/>
      <c r="H25" s="109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09"/>
      <c r="T25" s="116"/>
      <c r="U25" s="116"/>
      <c r="V25" s="116"/>
      <c r="W25" s="126"/>
      <c r="X25" s="69"/>
      <c r="Y25" s="145">
        <f t="shared" si="0"/>
        <v>7.5</v>
      </c>
      <c r="Z25" s="69"/>
      <c r="AA25" s="69"/>
      <c r="AB25" s="69"/>
      <c r="AC25" s="69"/>
      <c r="AD25" s="69"/>
    </row>
    <row r="26" spans="1:30" ht="14.25" customHeight="1" x14ac:dyDescent="0.35">
      <c r="A26" s="163"/>
      <c r="B26" s="160"/>
      <c r="C26" s="127"/>
      <c r="D26" s="102"/>
      <c r="E26" s="102"/>
      <c r="F26" s="102"/>
      <c r="G26" s="102"/>
      <c r="H26" s="103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3"/>
      <c r="T26" s="102"/>
      <c r="U26" s="102"/>
      <c r="V26" s="102"/>
      <c r="W26" s="104"/>
      <c r="X26" s="69"/>
      <c r="Y26" s="145">
        <f t="shared" si="0"/>
        <v>7</v>
      </c>
      <c r="Z26" s="69"/>
      <c r="AA26" s="69"/>
      <c r="AB26" s="69"/>
      <c r="AC26" s="69"/>
      <c r="AD26" s="69"/>
    </row>
    <row r="27" spans="1:30" ht="14.25" customHeight="1" x14ac:dyDescent="0.35">
      <c r="A27" s="163"/>
      <c r="B27" s="161">
        <f>Neu!B16</f>
        <v>0</v>
      </c>
      <c r="C27" s="125"/>
      <c r="D27" s="116"/>
      <c r="E27" s="116"/>
      <c r="F27" s="116"/>
      <c r="G27" s="116"/>
      <c r="H27" s="109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09"/>
      <c r="T27" s="116"/>
      <c r="U27" s="116"/>
      <c r="V27" s="116"/>
      <c r="W27" s="126"/>
      <c r="X27" s="69"/>
      <c r="Y27" s="69"/>
      <c r="Z27" s="69"/>
      <c r="AA27" s="69"/>
      <c r="AB27" s="69"/>
      <c r="AC27" s="69"/>
      <c r="AD27" s="69"/>
    </row>
    <row r="28" spans="1:30" ht="14.25" customHeight="1" x14ac:dyDescent="0.35">
      <c r="A28" s="163"/>
      <c r="B28" s="160"/>
      <c r="C28" s="127"/>
      <c r="D28" s="102"/>
      <c r="E28" s="102"/>
      <c r="F28" s="102"/>
      <c r="G28" s="102"/>
      <c r="H28" s="103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3"/>
      <c r="T28" s="102"/>
      <c r="U28" s="102"/>
      <c r="V28" s="102"/>
      <c r="W28" s="104"/>
      <c r="X28" s="69"/>
      <c r="Y28" s="69"/>
      <c r="Z28" s="69"/>
      <c r="AA28" s="69"/>
      <c r="AB28" s="69"/>
      <c r="AC28" s="69"/>
      <c r="AD28" s="69"/>
    </row>
    <row r="29" spans="1:30" ht="14.25" customHeight="1" x14ac:dyDescent="0.35">
      <c r="A29" s="163"/>
      <c r="B29" s="161">
        <f>Neu!B17</f>
        <v>0</v>
      </c>
      <c r="C29" s="125"/>
      <c r="D29" s="116"/>
      <c r="E29" s="116"/>
      <c r="F29" s="116"/>
      <c r="G29" s="116"/>
      <c r="H29" s="109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09"/>
      <c r="T29" s="116"/>
      <c r="U29" s="116"/>
      <c r="V29" s="116"/>
      <c r="W29" s="126"/>
      <c r="X29" s="69"/>
      <c r="Y29" s="69"/>
      <c r="Z29" s="69"/>
      <c r="AA29" s="69"/>
      <c r="AB29" s="69"/>
      <c r="AC29" s="69"/>
      <c r="AD29" s="69"/>
    </row>
    <row r="30" spans="1:30" ht="14.25" customHeight="1" x14ac:dyDescent="0.35">
      <c r="A30" s="163"/>
      <c r="B30" s="160"/>
      <c r="C30" s="128"/>
      <c r="D30" s="117"/>
      <c r="E30" s="117"/>
      <c r="F30" s="117"/>
      <c r="G30" s="117"/>
      <c r="H30" s="108"/>
      <c r="I30" s="117"/>
      <c r="J30" s="117"/>
      <c r="K30" s="117"/>
      <c r="L30" s="117"/>
      <c r="M30" s="117"/>
      <c r="N30" s="117"/>
      <c r="O30" s="117"/>
      <c r="P30" s="115"/>
      <c r="Q30" s="117"/>
      <c r="R30" s="117"/>
      <c r="S30" s="108"/>
      <c r="T30" s="117"/>
      <c r="U30" s="117"/>
      <c r="V30" s="117"/>
      <c r="W30" s="124"/>
      <c r="X30" s="69"/>
      <c r="Y30" s="69"/>
      <c r="Z30" s="69"/>
      <c r="AA30" s="69"/>
      <c r="AB30" s="69"/>
      <c r="AC30" s="69"/>
      <c r="AD30" s="69"/>
    </row>
    <row r="31" spans="1:30" ht="14.25" customHeight="1" x14ac:dyDescent="0.35">
      <c r="A31" s="163"/>
      <c r="B31" s="161">
        <f>Neu!B18</f>
        <v>0</v>
      </c>
      <c r="C31" s="125"/>
      <c r="D31" s="116"/>
      <c r="E31" s="116"/>
      <c r="F31" s="116"/>
      <c r="G31" s="116"/>
      <c r="H31" s="109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09"/>
      <c r="T31" s="116"/>
      <c r="U31" s="116"/>
      <c r="V31" s="116"/>
      <c r="W31" s="126"/>
      <c r="X31" s="69"/>
      <c r="Y31" s="69"/>
      <c r="Z31" s="69"/>
      <c r="AA31" s="69"/>
      <c r="AB31" s="69"/>
      <c r="AC31" s="69"/>
      <c r="AD31" s="69"/>
    </row>
    <row r="32" spans="1:30" ht="14.25" customHeight="1" x14ac:dyDescent="0.35">
      <c r="A32" s="163"/>
      <c r="B32" s="160"/>
      <c r="C32" s="127"/>
      <c r="D32" s="102"/>
      <c r="E32" s="102"/>
      <c r="F32" s="102"/>
      <c r="G32" s="102"/>
      <c r="H32" s="103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3"/>
      <c r="T32" s="102"/>
      <c r="U32" s="102"/>
      <c r="V32" s="102"/>
      <c r="W32" s="104"/>
      <c r="X32" s="69"/>
      <c r="Y32" s="69"/>
      <c r="Z32" s="69"/>
      <c r="AA32" s="69"/>
      <c r="AB32" s="69"/>
      <c r="AC32" s="69"/>
      <c r="AD32" s="69"/>
    </row>
    <row r="33" spans="1:30" ht="14.25" customHeight="1" x14ac:dyDescent="0.35">
      <c r="A33" s="163"/>
      <c r="B33" s="161">
        <f>Neu!B19</f>
        <v>0</v>
      </c>
      <c r="C33" s="125"/>
      <c r="D33" s="116"/>
      <c r="E33" s="116"/>
      <c r="F33" s="116"/>
      <c r="G33" s="116"/>
      <c r="H33" s="109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09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63"/>
      <c r="B34" s="160"/>
      <c r="C34" s="127"/>
      <c r="D34" s="102"/>
      <c r="E34" s="102"/>
      <c r="F34" s="102"/>
      <c r="G34" s="102"/>
      <c r="H34" s="103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3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63"/>
      <c r="B35" s="161">
        <f>Neu!B20</f>
        <v>0</v>
      </c>
      <c r="C35" s="125"/>
      <c r="D35" s="116"/>
      <c r="E35" s="116"/>
      <c r="F35" s="116"/>
      <c r="G35" s="116"/>
      <c r="H35" s="109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07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63"/>
      <c r="B36" s="160"/>
      <c r="C36" s="127"/>
      <c r="D36" s="102"/>
      <c r="E36" s="102"/>
      <c r="F36" s="102"/>
      <c r="G36" s="102"/>
      <c r="H36" s="103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11"/>
      <c r="T36" s="102"/>
      <c r="U36" s="102"/>
      <c r="V36" s="102"/>
      <c r="W36" s="10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63"/>
      <c r="B37" s="161">
        <f>Neu!B21</f>
        <v>0</v>
      </c>
      <c r="C37" s="125"/>
      <c r="D37" s="116"/>
      <c r="E37" s="116"/>
      <c r="F37" s="116"/>
      <c r="G37" s="116"/>
      <c r="H37" s="109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09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63"/>
      <c r="B38" s="160"/>
      <c r="C38" s="128"/>
      <c r="D38" s="117"/>
      <c r="E38" s="117"/>
      <c r="F38" s="117"/>
      <c r="G38" s="11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08"/>
      <c r="T38" s="115"/>
      <c r="U38" s="117"/>
      <c r="V38" s="117"/>
      <c r="W38" s="12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63"/>
      <c r="B39" s="161">
        <f>Neu!B22</f>
        <v>0</v>
      </c>
      <c r="C39" s="125"/>
      <c r="D39" s="116"/>
      <c r="E39" s="116"/>
      <c r="F39" s="116"/>
      <c r="G39" s="116"/>
      <c r="H39" s="109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09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63"/>
      <c r="B40" s="160"/>
      <c r="C40" s="127"/>
      <c r="D40" s="102"/>
      <c r="E40" s="102"/>
      <c r="F40" s="102"/>
      <c r="G40" s="102"/>
      <c r="H40" s="103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63"/>
      <c r="B41" s="161">
        <f>Neu!B23</f>
        <v>0</v>
      </c>
      <c r="C41" s="125"/>
      <c r="D41" s="116"/>
      <c r="E41" s="116"/>
      <c r="F41" s="116"/>
      <c r="G41" s="116"/>
      <c r="H41" s="109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09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63"/>
      <c r="B42" s="160"/>
      <c r="C42" s="127"/>
      <c r="D42" s="102"/>
      <c r="E42" s="102"/>
      <c r="F42" s="102"/>
      <c r="G42" s="102"/>
      <c r="H42" s="103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63"/>
      <c r="B43" s="161">
        <f>Neu!B24</f>
        <v>0</v>
      </c>
      <c r="C43" s="125"/>
      <c r="D43" s="116"/>
      <c r="E43" s="116"/>
      <c r="F43" s="116"/>
      <c r="G43" s="116"/>
      <c r="H43" s="109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09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4"/>
      <c r="C44" s="130"/>
      <c r="D44" s="131"/>
      <c r="E44" s="131"/>
      <c r="F44" s="131"/>
      <c r="G44" s="131"/>
      <c r="H44" s="132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2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25" priority="4" operator="equal">
      <formula>0</formula>
    </cfRule>
  </conditionalFormatting>
  <conditionalFormatting sqref="C2:W2">
    <cfRule type="cellIs" dxfId="24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23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E7" sqref="E7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2"/>
      <c r="B1" s="162"/>
      <c r="C1" s="162" t="s">
        <v>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30" ht="15" thickBot="1" x14ac:dyDescent="0.4">
      <c r="A2" s="162"/>
      <c r="B2" s="162"/>
      <c r="C2" s="134" t="str">
        <f>Neu!$B4</f>
        <v>B63s</v>
      </c>
      <c r="D2" s="105" t="str">
        <f>Neu!$B5</f>
        <v>B63a</v>
      </c>
      <c r="E2" s="105" t="str">
        <f>Neu!$B6</f>
        <v>B31s</v>
      </c>
      <c r="F2" s="105" t="str">
        <f>Neu!$B7</f>
        <v>B64s</v>
      </c>
      <c r="G2" s="105" t="str">
        <f>Neu!$B8</f>
        <v>B64a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63" t="s">
        <v>5</v>
      </c>
      <c r="B3" s="159" t="str">
        <f>Neu!B4</f>
        <v>B63s</v>
      </c>
      <c r="C3" s="138"/>
      <c r="D3" s="120"/>
      <c r="E3" s="120"/>
      <c r="F3" s="120"/>
      <c r="G3" s="121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63"/>
      <c r="B4" s="160"/>
      <c r="C4" s="137"/>
      <c r="D4" s="102"/>
      <c r="E4" s="102"/>
      <c r="F4" s="102"/>
      <c r="G4" s="10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4"/>
      <c r="X4" s="143" t="s">
        <v>156</v>
      </c>
      <c r="Y4" s="145">
        <f>MAX($C$3:$W$44)-(ROW(Y4)-4)*10</f>
        <v>0</v>
      </c>
      <c r="Z4" s="69"/>
      <c r="AA4" s="69"/>
      <c r="AB4" s="69"/>
      <c r="AC4" s="69"/>
      <c r="AD4" s="69"/>
    </row>
    <row r="5" spans="1:30" ht="14.25" customHeight="1" x14ac:dyDescent="0.35">
      <c r="A5" s="163"/>
      <c r="B5" s="161" t="str">
        <f>Neu!B5</f>
        <v>B63a</v>
      </c>
      <c r="C5" s="112"/>
      <c r="D5" s="114"/>
      <c r="E5" s="116">
        <v>0</v>
      </c>
      <c r="F5" s="116"/>
      <c r="G5" s="109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26"/>
      <c r="X5" s="69"/>
      <c r="Y5" s="145">
        <f t="shared" ref="Y5:Y32" si="0">MAX($C$3:$W$44)-(ROW(Y5)-4)*10</f>
        <v>-10</v>
      </c>
      <c r="Z5" s="69"/>
      <c r="AA5" s="69"/>
      <c r="AB5" s="69"/>
      <c r="AC5" s="69"/>
      <c r="AD5" s="69"/>
    </row>
    <row r="6" spans="1:30" ht="14.25" customHeight="1" x14ac:dyDescent="0.35">
      <c r="A6" s="163"/>
      <c r="B6" s="160"/>
      <c r="C6" s="135"/>
      <c r="D6" s="118"/>
      <c r="E6" s="102">
        <v>-2</v>
      </c>
      <c r="F6" s="102"/>
      <c r="G6" s="103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4"/>
      <c r="X6" s="69"/>
      <c r="Y6" s="145">
        <f t="shared" si="0"/>
        <v>-20</v>
      </c>
      <c r="Z6" s="69"/>
      <c r="AA6" s="69"/>
      <c r="AB6" s="69"/>
      <c r="AC6" s="69"/>
      <c r="AD6" s="69"/>
    </row>
    <row r="7" spans="1:30" ht="14.25" customHeight="1" x14ac:dyDescent="0.35">
      <c r="A7" s="163"/>
      <c r="B7" s="161" t="str">
        <f>Neu!B6</f>
        <v>B31s</v>
      </c>
      <c r="C7" s="112"/>
      <c r="D7" s="116"/>
      <c r="E7" s="114"/>
      <c r="F7" s="116"/>
      <c r="G7" s="109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26"/>
      <c r="X7" s="69"/>
      <c r="Y7" s="145">
        <f t="shared" si="0"/>
        <v>-30</v>
      </c>
      <c r="Z7" s="69"/>
      <c r="AA7" s="69"/>
      <c r="AB7" s="69"/>
      <c r="AC7" s="69"/>
      <c r="AD7" s="69"/>
    </row>
    <row r="8" spans="1:30" ht="14.25" customHeight="1" x14ac:dyDescent="0.35">
      <c r="A8" s="163"/>
      <c r="B8" s="160"/>
      <c r="C8" s="135"/>
      <c r="D8" s="102"/>
      <c r="E8" s="118"/>
      <c r="F8" s="102"/>
      <c r="G8" s="103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4"/>
      <c r="X8" s="69"/>
      <c r="Y8" s="145">
        <f t="shared" si="0"/>
        <v>-40</v>
      </c>
      <c r="Z8" s="69"/>
      <c r="AA8" s="69"/>
      <c r="AB8" s="69"/>
      <c r="AC8" s="69"/>
      <c r="AD8" s="69"/>
    </row>
    <row r="9" spans="1:30" ht="14.25" customHeight="1" x14ac:dyDescent="0.35">
      <c r="A9" s="163"/>
      <c r="B9" s="161" t="str">
        <f>Neu!B7</f>
        <v>B64s</v>
      </c>
      <c r="C9" s="112"/>
      <c r="D9" s="116"/>
      <c r="E9" s="116"/>
      <c r="F9" s="114"/>
      <c r="G9" s="109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26"/>
      <c r="X9" s="69"/>
      <c r="Y9" s="145">
        <f t="shared" si="0"/>
        <v>-50</v>
      </c>
      <c r="Z9" s="69"/>
      <c r="AA9" s="69"/>
      <c r="AB9" s="69"/>
      <c r="AC9" s="69"/>
      <c r="AD9" s="69"/>
    </row>
    <row r="10" spans="1:30" ht="14.25" customHeight="1" x14ac:dyDescent="0.35">
      <c r="A10" s="163"/>
      <c r="B10" s="160"/>
      <c r="C10" s="135"/>
      <c r="D10" s="102"/>
      <c r="E10" s="102"/>
      <c r="F10" s="118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4"/>
      <c r="X10" s="69"/>
      <c r="Y10" s="145">
        <f t="shared" si="0"/>
        <v>-60</v>
      </c>
      <c r="Z10" s="69"/>
      <c r="AA10" s="69"/>
      <c r="AB10" s="69"/>
      <c r="AC10" s="69"/>
      <c r="AD10" s="69"/>
    </row>
    <row r="11" spans="1:30" ht="14.25" customHeight="1" x14ac:dyDescent="0.35">
      <c r="A11" s="163"/>
      <c r="B11" s="161" t="str">
        <f>Neu!B8</f>
        <v>B64a</v>
      </c>
      <c r="C11" s="112"/>
      <c r="D11" s="116"/>
      <c r="E11" s="116"/>
      <c r="F11" s="116"/>
      <c r="G11" s="107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26"/>
      <c r="X11" s="69"/>
      <c r="Y11" s="145">
        <f t="shared" si="0"/>
        <v>-70</v>
      </c>
      <c r="Z11" s="69"/>
      <c r="AA11" s="69"/>
      <c r="AB11" s="69"/>
      <c r="AC11" s="69"/>
      <c r="AD11" s="69"/>
    </row>
    <row r="12" spans="1:30" ht="14.25" customHeight="1" x14ac:dyDescent="0.35">
      <c r="A12" s="163"/>
      <c r="B12" s="160"/>
      <c r="C12" s="136"/>
      <c r="D12" s="117"/>
      <c r="E12" s="117"/>
      <c r="F12" s="117"/>
      <c r="G12" s="110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4"/>
      <c r="X12" s="69"/>
      <c r="Y12" s="145">
        <f t="shared" si="0"/>
        <v>-80</v>
      </c>
      <c r="Z12" s="69"/>
      <c r="AA12" s="69"/>
      <c r="AB12" s="69"/>
      <c r="AC12" s="69"/>
      <c r="AD12" s="69"/>
    </row>
    <row r="13" spans="1:30" ht="14.25" customHeight="1" x14ac:dyDescent="0.35">
      <c r="A13" s="163"/>
      <c r="B13" s="161">
        <f>Neu!B9</f>
        <v>0</v>
      </c>
      <c r="C13" s="112"/>
      <c r="D13" s="116"/>
      <c r="E13" s="116"/>
      <c r="F13" s="116"/>
      <c r="G13" s="109"/>
      <c r="H13" s="114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26"/>
      <c r="X13" s="69"/>
      <c r="Y13" s="145">
        <f t="shared" si="0"/>
        <v>-90</v>
      </c>
      <c r="Z13" s="69"/>
      <c r="AA13" s="69"/>
      <c r="AB13" s="69"/>
      <c r="AC13" s="69"/>
      <c r="AD13" s="69"/>
    </row>
    <row r="14" spans="1:30" ht="14.25" customHeight="1" x14ac:dyDescent="0.35">
      <c r="A14" s="163"/>
      <c r="B14" s="160"/>
      <c r="C14" s="135"/>
      <c r="D14" s="102"/>
      <c r="E14" s="102"/>
      <c r="F14" s="102"/>
      <c r="G14" s="103"/>
      <c r="H14" s="118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4"/>
      <c r="X14" s="69"/>
      <c r="Y14" s="145">
        <f t="shared" si="0"/>
        <v>-100</v>
      </c>
      <c r="Z14" s="69"/>
      <c r="AA14" s="69"/>
      <c r="AB14" s="69"/>
      <c r="AC14" s="69"/>
      <c r="AD14" s="69"/>
    </row>
    <row r="15" spans="1:30" ht="14.25" customHeight="1" x14ac:dyDescent="0.35">
      <c r="A15" s="163"/>
      <c r="B15" s="161">
        <f>Neu!B10</f>
        <v>0</v>
      </c>
      <c r="C15" s="112"/>
      <c r="D15" s="116"/>
      <c r="E15" s="116"/>
      <c r="F15" s="116"/>
      <c r="G15" s="109"/>
      <c r="H15" s="116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26"/>
      <c r="X15" s="69"/>
      <c r="Y15" s="145">
        <f t="shared" si="0"/>
        <v>-110</v>
      </c>
      <c r="Z15" s="69"/>
      <c r="AA15" s="69"/>
      <c r="AB15" s="69"/>
      <c r="AC15" s="69"/>
      <c r="AD15" s="69"/>
    </row>
    <row r="16" spans="1:30" ht="14.25" customHeight="1" x14ac:dyDescent="0.35">
      <c r="A16" s="163"/>
      <c r="B16" s="160"/>
      <c r="C16" s="135"/>
      <c r="D16" s="102"/>
      <c r="E16" s="102"/>
      <c r="F16" s="102"/>
      <c r="G16" s="103"/>
      <c r="H16" s="102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4"/>
      <c r="X16" s="69"/>
      <c r="Y16" s="145">
        <f t="shared" si="0"/>
        <v>-120</v>
      </c>
      <c r="Z16" s="69"/>
      <c r="AA16" s="69"/>
      <c r="AB16" s="69"/>
      <c r="AC16" s="69"/>
      <c r="AD16" s="69"/>
    </row>
    <row r="17" spans="1:30" ht="14.25" customHeight="1" x14ac:dyDescent="0.35">
      <c r="A17" s="163"/>
      <c r="B17" s="161">
        <f>Neu!B11</f>
        <v>0</v>
      </c>
      <c r="C17" s="112"/>
      <c r="D17" s="116"/>
      <c r="E17" s="116"/>
      <c r="F17" s="116"/>
      <c r="G17" s="109"/>
      <c r="H17" s="116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26"/>
      <c r="X17" s="69"/>
      <c r="Y17" s="145">
        <f t="shared" si="0"/>
        <v>-130</v>
      </c>
      <c r="Z17" s="69"/>
      <c r="AA17" s="69"/>
      <c r="AB17" s="69"/>
      <c r="AC17" s="69"/>
      <c r="AD17" s="69"/>
    </row>
    <row r="18" spans="1:30" ht="14.25" customHeight="1" x14ac:dyDescent="0.35">
      <c r="A18" s="163"/>
      <c r="B18" s="160"/>
      <c r="C18" s="135"/>
      <c r="D18" s="102"/>
      <c r="E18" s="102"/>
      <c r="F18" s="102"/>
      <c r="G18" s="103"/>
      <c r="H18" s="102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4"/>
      <c r="X18" s="69"/>
      <c r="Y18" s="145">
        <f t="shared" si="0"/>
        <v>-140</v>
      </c>
      <c r="Z18" s="69"/>
      <c r="AA18" s="69"/>
      <c r="AB18" s="69"/>
      <c r="AC18" s="69"/>
      <c r="AD18" s="69"/>
    </row>
    <row r="19" spans="1:30" ht="14.25" customHeight="1" x14ac:dyDescent="0.35">
      <c r="A19" s="163"/>
      <c r="B19" s="161">
        <f>Neu!B12</f>
        <v>0</v>
      </c>
      <c r="C19" s="112"/>
      <c r="D19" s="116"/>
      <c r="E19" s="116"/>
      <c r="F19" s="116"/>
      <c r="G19" s="109"/>
      <c r="H19" s="116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26"/>
      <c r="X19" s="69"/>
      <c r="Y19" s="145">
        <f t="shared" si="0"/>
        <v>-150</v>
      </c>
      <c r="Z19" s="69"/>
      <c r="AA19" s="69"/>
      <c r="AB19" s="69"/>
      <c r="AC19" s="69"/>
      <c r="AD19" s="69"/>
    </row>
    <row r="20" spans="1:30" ht="14.25" customHeight="1" x14ac:dyDescent="0.35">
      <c r="A20" s="163"/>
      <c r="B20" s="160"/>
      <c r="C20" s="135"/>
      <c r="D20" s="102"/>
      <c r="E20" s="102"/>
      <c r="F20" s="102"/>
      <c r="G20" s="103"/>
      <c r="H20" s="102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4"/>
      <c r="X20" s="69"/>
      <c r="Y20" s="145">
        <f t="shared" si="0"/>
        <v>-160</v>
      </c>
      <c r="Z20" s="69"/>
      <c r="AA20" s="69"/>
      <c r="AB20" s="69"/>
      <c r="AC20" s="69"/>
      <c r="AD20" s="69"/>
    </row>
    <row r="21" spans="1:30" ht="14.25" customHeight="1" x14ac:dyDescent="0.35">
      <c r="A21" s="163"/>
      <c r="B21" s="161">
        <f>Neu!B13</f>
        <v>0</v>
      </c>
      <c r="C21" s="112"/>
      <c r="D21" s="116"/>
      <c r="E21" s="116"/>
      <c r="F21" s="116"/>
      <c r="G21" s="109"/>
      <c r="H21" s="116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26"/>
      <c r="X21" s="69"/>
      <c r="Y21" s="145">
        <f t="shared" si="0"/>
        <v>-170</v>
      </c>
      <c r="Z21" s="69"/>
      <c r="AA21" s="69"/>
      <c r="AB21" s="69"/>
      <c r="AC21" s="69"/>
      <c r="AD21" s="69"/>
    </row>
    <row r="22" spans="1:30" ht="14.25" customHeight="1" x14ac:dyDescent="0.35">
      <c r="A22" s="163"/>
      <c r="B22" s="160"/>
      <c r="C22" s="135"/>
      <c r="D22" s="102"/>
      <c r="E22" s="102"/>
      <c r="F22" s="102"/>
      <c r="G22" s="103"/>
      <c r="H22" s="102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4"/>
      <c r="X22" s="69"/>
      <c r="Y22" s="145">
        <f t="shared" si="0"/>
        <v>-180</v>
      </c>
      <c r="Z22" s="69"/>
      <c r="AA22" s="69"/>
      <c r="AB22" s="69"/>
      <c r="AC22" s="69"/>
      <c r="AD22" s="69"/>
    </row>
    <row r="23" spans="1:30" ht="14.25" customHeight="1" x14ac:dyDescent="0.35">
      <c r="A23" s="163"/>
      <c r="B23" s="161">
        <f>Neu!B14</f>
        <v>0</v>
      </c>
      <c r="C23" s="112"/>
      <c r="D23" s="116"/>
      <c r="E23" s="116"/>
      <c r="F23" s="116"/>
      <c r="G23" s="109"/>
      <c r="H23" s="116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16"/>
      <c r="T23" s="116"/>
      <c r="U23" s="116"/>
      <c r="V23" s="116"/>
      <c r="W23" s="126"/>
      <c r="X23" s="69"/>
      <c r="Y23" s="145">
        <f t="shared" si="0"/>
        <v>-190</v>
      </c>
      <c r="Z23" s="69"/>
      <c r="AA23" s="69"/>
      <c r="AB23" s="69"/>
      <c r="AC23" s="69"/>
      <c r="AD23" s="69"/>
    </row>
    <row r="24" spans="1:30" ht="14.25" customHeight="1" x14ac:dyDescent="0.35">
      <c r="A24" s="163"/>
      <c r="B24" s="160"/>
      <c r="C24" s="136"/>
      <c r="D24" s="117"/>
      <c r="E24" s="117"/>
      <c r="F24" s="117"/>
      <c r="G24" s="108"/>
      <c r="H24" s="117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17"/>
      <c r="T24" s="117"/>
      <c r="U24" s="117"/>
      <c r="V24" s="117"/>
      <c r="W24" s="124"/>
      <c r="X24" s="69"/>
      <c r="Y24" s="145">
        <f t="shared" si="0"/>
        <v>-200</v>
      </c>
      <c r="Z24" s="69"/>
      <c r="AA24" s="69"/>
      <c r="AB24" s="69"/>
      <c r="AC24" s="69"/>
      <c r="AD24" s="69"/>
    </row>
    <row r="25" spans="1:30" ht="14.25" customHeight="1" x14ac:dyDescent="0.35">
      <c r="A25" s="163"/>
      <c r="B25" s="161">
        <f>Neu!B15</f>
        <v>0</v>
      </c>
      <c r="C25" s="112"/>
      <c r="D25" s="116"/>
      <c r="E25" s="116"/>
      <c r="F25" s="116"/>
      <c r="G25" s="109"/>
      <c r="H25" s="116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16"/>
      <c r="T25" s="116"/>
      <c r="U25" s="116"/>
      <c r="V25" s="116"/>
      <c r="W25" s="126"/>
      <c r="X25" s="69"/>
      <c r="Y25" s="145">
        <f t="shared" si="0"/>
        <v>-210</v>
      </c>
      <c r="Z25" s="69"/>
      <c r="AA25" s="69"/>
      <c r="AB25" s="69"/>
      <c r="AC25" s="69"/>
      <c r="AD25" s="69"/>
    </row>
    <row r="26" spans="1:30" ht="14.25" customHeight="1" x14ac:dyDescent="0.35">
      <c r="A26" s="163"/>
      <c r="B26" s="160"/>
      <c r="C26" s="135"/>
      <c r="D26" s="102"/>
      <c r="E26" s="102"/>
      <c r="F26" s="102"/>
      <c r="G26" s="103"/>
      <c r="H26" s="102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2"/>
      <c r="T26" s="102"/>
      <c r="U26" s="102"/>
      <c r="V26" s="102"/>
      <c r="W26" s="104"/>
      <c r="X26" s="69"/>
      <c r="Y26" s="145">
        <f t="shared" si="0"/>
        <v>-220</v>
      </c>
      <c r="Z26" s="69"/>
      <c r="AA26" s="69"/>
      <c r="AB26" s="69"/>
      <c r="AC26" s="69"/>
      <c r="AD26" s="69"/>
    </row>
    <row r="27" spans="1:30" ht="14.25" customHeight="1" x14ac:dyDescent="0.35">
      <c r="A27" s="163"/>
      <c r="B27" s="161">
        <f>Neu!B16</f>
        <v>0</v>
      </c>
      <c r="C27" s="112"/>
      <c r="D27" s="116"/>
      <c r="E27" s="116"/>
      <c r="F27" s="116"/>
      <c r="G27" s="109"/>
      <c r="H27" s="116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16"/>
      <c r="T27" s="116"/>
      <c r="U27" s="116"/>
      <c r="V27" s="116"/>
      <c r="W27" s="126"/>
      <c r="X27" s="69"/>
      <c r="Y27" s="145">
        <f t="shared" si="0"/>
        <v>-230</v>
      </c>
      <c r="Z27" s="69"/>
      <c r="AA27" s="69"/>
      <c r="AB27" s="69"/>
      <c r="AC27" s="69"/>
      <c r="AD27" s="69"/>
    </row>
    <row r="28" spans="1:30" ht="14.25" customHeight="1" x14ac:dyDescent="0.35">
      <c r="A28" s="163"/>
      <c r="B28" s="160"/>
      <c r="C28" s="135"/>
      <c r="D28" s="102"/>
      <c r="E28" s="102"/>
      <c r="F28" s="102"/>
      <c r="G28" s="103"/>
      <c r="H28" s="102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2"/>
      <c r="T28" s="102"/>
      <c r="U28" s="102"/>
      <c r="V28" s="102"/>
      <c r="W28" s="104"/>
      <c r="X28" s="69"/>
      <c r="Y28" s="145">
        <f t="shared" si="0"/>
        <v>-240</v>
      </c>
      <c r="Z28" s="69"/>
      <c r="AA28" s="69"/>
      <c r="AB28" s="69"/>
      <c r="AC28" s="69"/>
      <c r="AD28" s="69"/>
    </row>
    <row r="29" spans="1:30" ht="14.25" customHeight="1" x14ac:dyDescent="0.35">
      <c r="A29" s="163"/>
      <c r="B29" s="161">
        <f>Neu!B17</f>
        <v>0</v>
      </c>
      <c r="C29" s="112"/>
      <c r="D29" s="116"/>
      <c r="E29" s="116"/>
      <c r="F29" s="116"/>
      <c r="G29" s="109"/>
      <c r="H29" s="116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16"/>
      <c r="T29" s="116"/>
      <c r="U29" s="116"/>
      <c r="V29" s="116"/>
      <c r="W29" s="126"/>
      <c r="X29" s="69"/>
      <c r="Y29" s="145">
        <f t="shared" si="0"/>
        <v>-250</v>
      </c>
      <c r="Z29" s="69"/>
      <c r="AA29" s="69"/>
      <c r="AB29" s="69"/>
      <c r="AC29" s="69"/>
      <c r="AD29" s="69"/>
    </row>
    <row r="30" spans="1:30" ht="14.25" customHeight="1" x14ac:dyDescent="0.35">
      <c r="A30" s="163"/>
      <c r="B30" s="160"/>
      <c r="C30" s="135"/>
      <c r="D30" s="102"/>
      <c r="E30" s="102"/>
      <c r="F30" s="102"/>
      <c r="G30" s="103"/>
      <c r="H30" s="102"/>
      <c r="I30" s="102"/>
      <c r="J30" s="102"/>
      <c r="K30" s="102"/>
      <c r="L30" s="102"/>
      <c r="M30" s="102"/>
      <c r="N30" s="102"/>
      <c r="O30" s="102"/>
      <c r="P30" s="118"/>
      <c r="Q30" s="102"/>
      <c r="R30" s="102"/>
      <c r="S30" s="102"/>
      <c r="T30" s="102"/>
      <c r="U30" s="102"/>
      <c r="V30" s="102"/>
      <c r="W30" s="104"/>
      <c r="X30" s="69"/>
      <c r="Y30" s="145">
        <f t="shared" si="0"/>
        <v>-260</v>
      </c>
      <c r="Z30" s="69"/>
      <c r="AA30" s="69"/>
      <c r="AB30" s="69"/>
      <c r="AC30" s="69"/>
      <c r="AD30" s="69"/>
    </row>
    <row r="31" spans="1:30" ht="14.25" customHeight="1" x14ac:dyDescent="0.35">
      <c r="A31" s="163"/>
      <c r="B31" s="161">
        <f>Neu!B18</f>
        <v>0</v>
      </c>
      <c r="C31" s="112"/>
      <c r="D31" s="116"/>
      <c r="E31" s="116"/>
      <c r="F31" s="116"/>
      <c r="G31" s="109"/>
      <c r="H31" s="116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16"/>
      <c r="T31" s="116"/>
      <c r="U31" s="116"/>
      <c r="V31" s="116"/>
      <c r="W31" s="126"/>
      <c r="X31" s="69"/>
      <c r="Y31" s="145">
        <f t="shared" si="0"/>
        <v>-270</v>
      </c>
      <c r="Z31" s="69"/>
      <c r="AA31" s="69"/>
      <c r="AB31" s="69"/>
      <c r="AC31" s="69"/>
      <c r="AD31" s="69"/>
    </row>
    <row r="32" spans="1:30" ht="14.25" customHeight="1" x14ac:dyDescent="0.35">
      <c r="A32" s="163"/>
      <c r="B32" s="160"/>
      <c r="C32" s="135"/>
      <c r="D32" s="102"/>
      <c r="E32" s="102"/>
      <c r="F32" s="102"/>
      <c r="G32" s="103"/>
      <c r="H32" s="102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2"/>
      <c r="T32" s="102"/>
      <c r="U32" s="102"/>
      <c r="V32" s="102"/>
      <c r="W32" s="104"/>
      <c r="X32" s="69"/>
      <c r="Y32" s="145">
        <f t="shared" si="0"/>
        <v>-280</v>
      </c>
      <c r="Z32" s="69"/>
      <c r="AA32" s="69"/>
      <c r="AB32" s="69"/>
      <c r="AC32" s="69"/>
      <c r="AD32" s="69"/>
    </row>
    <row r="33" spans="1:30" ht="14.25" customHeight="1" x14ac:dyDescent="0.35">
      <c r="A33" s="163"/>
      <c r="B33" s="161">
        <f>Neu!B19</f>
        <v>0</v>
      </c>
      <c r="C33" s="112"/>
      <c r="D33" s="116"/>
      <c r="E33" s="116"/>
      <c r="F33" s="116"/>
      <c r="G33" s="109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16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63"/>
      <c r="B34" s="160"/>
      <c r="C34" s="135"/>
      <c r="D34" s="102"/>
      <c r="E34" s="102"/>
      <c r="F34" s="102"/>
      <c r="G34" s="103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2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63"/>
      <c r="B35" s="161">
        <f>Neu!B20</f>
        <v>0</v>
      </c>
      <c r="C35" s="112"/>
      <c r="D35" s="116"/>
      <c r="E35" s="116"/>
      <c r="F35" s="116"/>
      <c r="G35" s="109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4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63"/>
      <c r="B36" s="160"/>
      <c r="C36" s="136"/>
      <c r="D36" s="117"/>
      <c r="E36" s="117"/>
      <c r="F36" s="117"/>
      <c r="G36" s="108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5"/>
      <c r="T36" s="117"/>
      <c r="U36" s="117"/>
      <c r="V36" s="117"/>
      <c r="W36" s="12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63"/>
      <c r="B37" s="161">
        <f>Neu!B21</f>
        <v>0</v>
      </c>
      <c r="C37" s="112"/>
      <c r="D37" s="116"/>
      <c r="E37" s="116"/>
      <c r="F37" s="116"/>
      <c r="G37" s="109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63"/>
      <c r="B38" s="160"/>
      <c r="C38" s="135"/>
      <c r="D38" s="102"/>
      <c r="E38" s="102"/>
      <c r="F38" s="102"/>
      <c r="G38" s="103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18"/>
      <c r="U38" s="102"/>
      <c r="V38" s="102"/>
      <c r="W38" s="10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63"/>
      <c r="B39" s="161">
        <f>Neu!B22</f>
        <v>0</v>
      </c>
      <c r="C39" s="112"/>
      <c r="D39" s="116"/>
      <c r="E39" s="116"/>
      <c r="F39" s="116"/>
      <c r="G39" s="109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63"/>
      <c r="B40" s="160"/>
      <c r="C40" s="135"/>
      <c r="D40" s="102"/>
      <c r="E40" s="102"/>
      <c r="F40" s="102"/>
      <c r="G40" s="103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63"/>
      <c r="B41" s="161">
        <f>Neu!B23</f>
        <v>0</v>
      </c>
      <c r="C41" s="112"/>
      <c r="D41" s="116"/>
      <c r="E41" s="116"/>
      <c r="F41" s="116"/>
      <c r="G41" s="109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63"/>
      <c r="B42" s="160"/>
      <c r="C42" s="135"/>
      <c r="D42" s="102"/>
      <c r="E42" s="102"/>
      <c r="F42" s="102"/>
      <c r="G42" s="103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63"/>
      <c r="B43" s="161">
        <f>Neu!B24</f>
        <v>0</v>
      </c>
      <c r="C43" s="112"/>
      <c r="D43" s="116"/>
      <c r="E43" s="116"/>
      <c r="F43" s="116"/>
      <c r="G43" s="109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4"/>
      <c r="C44" s="139"/>
      <c r="D44" s="131"/>
      <c r="E44" s="131"/>
      <c r="F44" s="131"/>
      <c r="G44" s="132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 B23 B25 B27 B29 B31 B33 B35 B37 B39 B41 B43">
    <cfRule type="cellIs" dxfId="22" priority="12" operator="equal">
      <formula>0</formula>
    </cfRule>
  </conditionalFormatting>
  <conditionalFormatting sqref="C2:W2">
    <cfRule type="cellIs" dxfId="21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20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H20" sqref="H20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2" customWidth="1"/>
    <col min="36" max="36" width="7.453125" style="72" customWidth="1"/>
    <col min="37" max="16384" width="9.1796875" style="1"/>
  </cols>
  <sheetData>
    <row r="1" spans="1:38" ht="15" thickBot="1" x14ac:dyDescent="0.4">
      <c r="A1" s="162"/>
      <c r="B1" s="162"/>
      <c r="C1" s="168" t="s">
        <v>4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AA1" s="166" t="s">
        <v>142</v>
      </c>
      <c r="AB1" s="167"/>
      <c r="AC1" s="71" t="s">
        <v>140</v>
      </c>
      <c r="AD1" s="4"/>
      <c r="AE1" s="165" t="s">
        <v>154</v>
      </c>
      <c r="AF1" s="165"/>
      <c r="AG1" s="165"/>
      <c r="AH1" s="165"/>
      <c r="AI1" s="165" t="s">
        <v>141</v>
      </c>
      <c r="AJ1" s="165"/>
    </row>
    <row r="2" spans="1:38" ht="15" thickBot="1" x14ac:dyDescent="0.4">
      <c r="A2" s="162"/>
      <c r="B2" s="162"/>
      <c r="C2" s="134" t="str">
        <f>Neu!$B4</f>
        <v>B63s</v>
      </c>
      <c r="D2" s="105" t="str">
        <f>Neu!$B5</f>
        <v>B63a</v>
      </c>
      <c r="E2" s="105" t="str">
        <f>Neu!$B6</f>
        <v>B31s</v>
      </c>
      <c r="F2" s="105" t="str">
        <f>Neu!$B7</f>
        <v>B64s</v>
      </c>
      <c r="G2" s="105" t="str">
        <f>Neu!$B8</f>
        <v>B64a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143</v>
      </c>
    </row>
    <row r="3" spans="1:38" ht="14.25" customHeight="1" x14ac:dyDescent="0.35">
      <c r="A3" s="163" t="s">
        <v>5</v>
      </c>
      <c r="B3" s="159" t="str">
        <f>Neu!B4</f>
        <v>B63s</v>
      </c>
      <c r="C3" s="119"/>
      <c r="D3" s="120"/>
      <c r="E3" s="120"/>
      <c r="F3" s="121"/>
      <c r="G3" s="120"/>
      <c r="H3" s="120"/>
      <c r="I3" s="120"/>
      <c r="J3" s="120"/>
      <c r="K3" s="121"/>
      <c r="L3" s="120"/>
      <c r="M3" s="120"/>
      <c r="N3" s="120"/>
      <c r="O3" s="120"/>
      <c r="P3" s="121"/>
      <c r="Q3" s="120"/>
      <c r="R3" s="120"/>
      <c r="S3" s="120"/>
      <c r="T3" s="120"/>
      <c r="U3" s="120"/>
      <c r="V3" s="120"/>
      <c r="W3" s="122"/>
      <c r="X3" s="70" t="s">
        <v>155</v>
      </c>
      <c r="Y3" s="1">
        <f>COUNTIF($C$3:$W$44,ROW(Z3)-2)</f>
        <v>1</v>
      </c>
      <c r="Z3" s="1">
        <f t="shared" ref="Z3:Z17" si="0">IF(ROW(AA3)-2&lt;=MAX($C$3:$W$44),ROW(AA3)-2,"")</f>
        <v>1</v>
      </c>
      <c r="AA3" s="29">
        <v>1E-3</v>
      </c>
      <c r="AB3" s="30">
        <v>0.01</v>
      </c>
      <c r="AC3" s="29">
        <v>-0.09</v>
      </c>
      <c r="AD3" s="31">
        <v>3.3</v>
      </c>
      <c r="AE3" s="32"/>
      <c r="AF3" s="33"/>
      <c r="AG3" s="33"/>
      <c r="AH3" s="31"/>
      <c r="AK3" s="70"/>
    </row>
    <row r="4" spans="1:38" ht="14.25" customHeight="1" x14ac:dyDescent="0.35">
      <c r="A4" s="163"/>
      <c r="B4" s="160"/>
      <c r="C4" s="123"/>
      <c r="D4" s="117"/>
      <c r="E4" s="117"/>
      <c r="F4" s="108"/>
      <c r="G4" s="117"/>
      <c r="H4" s="117"/>
      <c r="I4" s="117"/>
      <c r="J4" s="117"/>
      <c r="K4" s="108"/>
      <c r="L4" s="117"/>
      <c r="M4" s="117"/>
      <c r="N4" s="117"/>
      <c r="O4" s="117"/>
      <c r="P4" s="108"/>
      <c r="Q4" s="117"/>
      <c r="R4" s="117"/>
      <c r="S4" s="117"/>
      <c r="T4" s="117"/>
      <c r="U4" s="117"/>
      <c r="V4" s="117"/>
      <c r="W4" s="124"/>
      <c r="X4" s="70" t="s">
        <v>156</v>
      </c>
      <c r="Y4" s="1">
        <f t="shared" ref="Y4:Y43" si="1">COUNTIF($C$3:$W$44,ROW(Z4)-2)</f>
        <v>1</v>
      </c>
      <c r="Z4" s="1">
        <f t="shared" si="0"/>
        <v>2</v>
      </c>
      <c r="AA4" s="9">
        <v>1.4</v>
      </c>
      <c r="AB4" s="12">
        <v>2.8</v>
      </c>
      <c r="AC4" s="9">
        <v>-0.09</v>
      </c>
      <c r="AD4" s="11">
        <v>3.3</v>
      </c>
      <c r="AE4" s="13">
        <v>-50</v>
      </c>
      <c r="AF4" s="10">
        <v>4</v>
      </c>
      <c r="AG4" s="10">
        <v>1</v>
      </c>
      <c r="AH4" s="11">
        <v>0.3</v>
      </c>
      <c r="AK4" s="70"/>
    </row>
    <row r="5" spans="1:38" ht="14.25" customHeight="1" x14ac:dyDescent="0.35">
      <c r="A5" s="163"/>
      <c r="B5" s="161" t="str">
        <f>Neu!B5</f>
        <v>B63a</v>
      </c>
      <c r="C5" s="125"/>
      <c r="D5" s="114"/>
      <c r="E5" s="116">
        <v>1</v>
      </c>
      <c r="F5" s="109"/>
      <c r="G5" s="116"/>
      <c r="H5" s="116"/>
      <c r="I5" s="116"/>
      <c r="J5" s="116"/>
      <c r="K5" s="109"/>
      <c r="L5" s="116"/>
      <c r="M5" s="116"/>
      <c r="N5" s="116"/>
      <c r="O5" s="116"/>
      <c r="P5" s="109"/>
      <c r="Q5" s="116"/>
      <c r="R5" s="116"/>
      <c r="S5" s="116"/>
      <c r="T5" s="116"/>
      <c r="U5" s="116"/>
      <c r="V5" s="116"/>
      <c r="W5" s="126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163"/>
      <c r="B6" s="160"/>
      <c r="C6" s="127"/>
      <c r="D6" s="118"/>
      <c r="E6" s="102">
        <v>2</v>
      </c>
      <c r="F6" s="103"/>
      <c r="G6" s="102"/>
      <c r="H6" s="102"/>
      <c r="I6" s="102"/>
      <c r="J6" s="102"/>
      <c r="K6" s="103"/>
      <c r="L6" s="102"/>
      <c r="M6" s="102"/>
      <c r="N6" s="102"/>
      <c r="O6" s="102"/>
      <c r="P6" s="103"/>
      <c r="Q6" s="102"/>
      <c r="R6" s="102"/>
      <c r="S6" s="102"/>
      <c r="T6" s="102"/>
      <c r="U6" s="102"/>
      <c r="V6" s="102"/>
      <c r="W6" s="104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163"/>
      <c r="B7" s="161" t="str">
        <f>Neu!B6</f>
        <v>B31s</v>
      </c>
      <c r="C7" s="125"/>
      <c r="D7" s="116"/>
      <c r="E7" s="114"/>
      <c r="F7" s="109"/>
      <c r="G7" s="116"/>
      <c r="H7" s="116"/>
      <c r="I7" s="116"/>
      <c r="J7" s="116"/>
      <c r="K7" s="109"/>
      <c r="L7" s="116"/>
      <c r="M7" s="116"/>
      <c r="N7" s="116"/>
      <c r="O7" s="116"/>
      <c r="P7" s="109"/>
      <c r="Q7" s="116"/>
      <c r="R7" s="116"/>
      <c r="S7" s="116"/>
      <c r="T7" s="116"/>
      <c r="U7" s="116"/>
      <c r="V7" s="116"/>
      <c r="W7" s="126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63"/>
      <c r="B8" s="160"/>
      <c r="C8" s="127"/>
      <c r="D8" s="102"/>
      <c r="E8" s="118"/>
      <c r="F8" s="103"/>
      <c r="G8" s="102"/>
      <c r="H8" s="102"/>
      <c r="I8" s="102"/>
      <c r="J8" s="102"/>
      <c r="K8" s="103"/>
      <c r="L8" s="102"/>
      <c r="M8" s="102"/>
      <c r="N8" s="102"/>
      <c r="O8" s="102"/>
      <c r="P8" s="103"/>
      <c r="Q8" s="102"/>
      <c r="R8" s="102"/>
      <c r="S8" s="102"/>
      <c r="T8" s="102"/>
      <c r="U8" s="102"/>
      <c r="V8" s="102"/>
      <c r="W8" s="104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63"/>
      <c r="B9" s="161" t="str">
        <f>Neu!B7</f>
        <v>B64s</v>
      </c>
      <c r="C9" s="125"/>
      <c r="D9" s="116"/>
      <c r="E9" s="116"/>
      <c r="F9" s="107"/>
      <c r="G9" s="116"/>
      <c r="H9" s="116"/>
      <c r="I9" s="116"/>
      <c r="J9" s="116"/>
      <c r="K9" s="109"/>
      <c r="L9" s="116"/>
      <c r="M9" s="116"/>
      <c r="N9" s="116"/>
      <c r="O9" s="116"/>
      <c r="P9" s="109"/>
      <c r="Q9" s="116"/>
      <c r="R9" s="116"/>
      <c r="S9" s="116"/>
      <c r="T9" s="116"/>
      <c r="U9" s="116"/>
      <c r="V9" s="116"/>
      <c r="W9" s="126"/>
      <c r="Y9" s="1">
        <f t="shared" si="1"/>
        <v>0</v>
      </c>
      <c r="Z9" s="1" t="str">
        <f t="shared" si="0"/>
        <v/>
      </c>
      <c r="AK9" s="70" t="s">
        <v>152</v>
      </c>
    </row>
    <row r="10" spans="1:38" ht="14.25" customHeight="1" x14ac:dyDescent="0.35">
      <c r="A10" s="163"/>
      <c r="B10" s="160"/>
      <c r="C10" s="127"/>
      <c r="D10" s="102"/>
      <c r="E10" s="102"/>
      <c r="F10" s="111"/>
      <c r="G10" s="102"/>
      <c r="H10" s="102"/>
      <c r="I10" s="102"/>
      <c r="J10" s="102"/>
      <c r="K10" s="103"/>
      <c r="L10" s="102"/>
      <c r="M10" s="102"/>
      <c r="N10" s="102"/>
      <c r="O10" s="102"/>
      <c r="P10" s="103"/>
      <c r="Q10" s="102"/>
      <c r="R10" s="102"/>
      <c r="S10" s="102"/>
      <c r="T10" s="102"/>
      <c r="U10" s="102"/>
      <c r="V10" s="102"/>
      <c r="W10" s="104"/>
      <c r="Y10" s="1">
        <f t="shared" si="1"/>
        <v>0</v>
      </c>
      <c r="Z10" s="1" t="str">
        <f t="shared" si="0"/>
        <v/>
      </c>
      <c r="AL10" s="70"/>
    </row>
    <row r="11" spans="1:38" ht="14.25" customHeight="1" x14ac:dyDescent="0.35">
      <c r="A11" s="163"/>
      <c r="B11" s="161" t="str">
        <f>Neu!B8</f>
        <v>B64a</v>
      </c>
      <c r="C11" s="125"/>
      <c r="D11" s="116"/>
      <c r="E11" s="116"/>
      <c r="F11" s="109"/>
      <c r="G11" s="114"/>
      <c r="H11" s="116"/>
      <c r="I11" s="116"/>
      <c r="J11" s="116"/>
      <c r="K11" s="109"/>
      <c r="L11" s="116"/>
      <c r="M11" s="116"/>
      <c r="N11" s="116"/>
      <c r="O11" s="116"/>
      <c r="P11" s="109"/>
      <c r="Q11" s="116"/>
      <c r="R11" s="116"/>
      <c r="S11" s="116"/>
      <c r="T11" s="116"/>
      <c r="U11" s="116"/>
      <c r="V11" s="116"/>
      <c r="W11" s="126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63"/>
      <c r="B12" s="160"/>
      <c r="C12" s="127"/>
      <c r="D12" s="102"/>
      <c r="E12" s="102"/>
      <c r="F12" s="103"/>
      <c r="G12" s="118"/>
      <c r="H12" s="102"/>
      <c r="I12" s="102"/>
      <c r="J12" s="102"/>
      <c r="K12" s="103"/>
      <c r="L12" s="102"/>
      <c r="M12" s="102"/>
      <c r="N12" s="102"/>
      <c r="O12" s="102"/>
      <c r="P12" s="103"/>
      <c r="Q12" s="102"/>
      <c r="R12" s="102"/>
      <c r="S12" s="102"/>
      <c r="T12" s="102"/>
      <c r="U12" s="102"/>
      <c r="V12" s="102"/>
      <c r="W12" s="104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63"/>
      <c r="B13" s="161">
        <f>Neu!B9</f>
        <v>0</v>
      </c>
      <c r="C13" s="125"/>
      <c r="D13" s="116"/>
      <c r="E13" s="116"/>
      <c r="F13" s="109"/>
      <c r="G13" s="116"/>
      <c r="H13" s="114"/>
      <c r="I13" s="116"/>
      <c r="J13" s="116"/>
      <c r="K13" s="109"/>
      <c r="L13" s="116"/>
      <c r="M13" s="116"/>
      <c r="N13" s="116"/>
      <c r="O13" s="116"/>
      <c r="P13" s="109"/>
      <c r="Q13" s="116"/>
      <c r="R13" s="116"/>
      <c r="S13" s="116"/>
      <c r="T13" s="116"/>
      <c r="U13" s="116"/>
      <c r="V13" s="116"/>
      <c r="W13" s="126"/>
      <c r="Y13" s="1">
        <f t="shared" si="1"/>
        <v>0</v>
      </c>
      <c r="Z13" s="1" t="str">
        <f t="shared" si="0"/>
        <v/>
      </c>
      <c r="AK13" s="144" t="s">
        <v>157</v>
      </c>
    </row>
    <row r="14" spans="1:38" ht="14.25" customHeight="1" x14ac:dyDescent="0.35">
      <c r="A14" s="163"/>
      <c r="B14" s="160"/>
      <c r="C14" s="127"/>
      <c r="D14" s="102"/>
      <c r="E14" s="102"/>
      <c r="F14" s="103"/>
      <c r="G14" s="102"/>
      <c r="H14" s="118"/>
      <c r="I14" s="102"/>
      <c r="J14" s="102"/>
      <c r="K14" s="103"/>
      <c r="L14" s="102"/>
      <c r="M14" s="102"/>
      <c r="N14" s="102"/>
      <c r="O14" s="102"/>
      <c r="P14" s="103"/>
      <c r="Q14" s="102"/>
      <c r="R14" s="102"/>
      <c r="S14" s="102"/>
      <c r="T14" s="102"/>
      <c r="U14" s="102"/>
      <c r="V14" s="102"/>
      <c r="W14" s="104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63"/>
      <c r="B15" s="161">
        <f>Neu!B10</f>
        <v>0</v>
      </c>
      <c r="C15" s="125"/>
      <c r="D15" s="116"/>
      <c r="E15" s="116"/>
      <c r="F15" s="109"/>
      <c r="G15" s="116"/>
      <c r="H15" s="116"/>
      <c r="I15" s="114"/>
      <c r="J15" s="116"/>
      <c r="K15" s="109"/>
      <c r="L15" s="116"/>
      <c r="M15" s="116"/>
      <c r="N15" s="116"/>
      <c r="O15" s="116"/>
      <c r="P15" s="109"/>
      <c r="Q15" s="116"/>
      <c r="R15" s="116"/>
      <c r="S15" s="116"/>
      <c r="T15" s="116"/>
      <c r="U15" s="116"/>
      <c r="V15" s="116"/>
      <c r="W15" s="126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63"/>
      <c r="B16" s="160"/>
      <c r="C16" s="128"/>
      <c r="D16" s="117"/>
      <c r="E16" s="117"/>
      <c r="F16" s="108"/>
      <c r="G16" s="117"/>
      <c r="H16" s="117"/>
      <c r="I16" s="115"/>
      <c r="J16" s="117"/>
      <c r="K16" s="108"/>
      <c r="L16" s="117"/>
      <c r="M16" s="117"/>
      <c r="N16" s="117"/>
      <c r="O16" s="117"/>
      <c r="P16" s="108"/>
      <c r="Q16" s="117"/>
      <c r="R16" s="117"/>
      <c r="S16" s="117"/>
      <c r="T16" s="117"/>
      <c r="U16" s="117"/>
      <c r="V16" s="117"/>
      <c r="W16" s="124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63"/>
      <c r="B17" s="161">
        <f>Neu!B11</f>
        <v>0</v>
      </c>
      <c r="C17" s="125"/>
      <c r="D17" s="116"/>
      <c r="E17" s="116"/>
      <c r="F17" s="109"/>
      <c r="G17" s="116"/>
      <c r="H17" s="116"/>
      <c r="I17" s="116"/>
      <c r="J17" s="114"/>
      <c r="K17" s="109"/>
      <c r="L17" s="116"/>
      <c r="M17" s="116"/>
      <c r="N17" s="116"/>
      <c r="O17" s="116"/>
      <c r="P17" s="109"/>
      <c r="Q17" s="116"/>
      <c r="R17" s="116"/>
      <c r="S17" s="116"/>
      <c r="T17" s="116"/>
      <c r="U17" s="116"/>
      <c r="V17" s="116"/>
      <c r="W17" s="126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63"/>
      <c r="B18" s="160"/>
      <c r="C18" s="127"/>
      <c r="D18" s="102"/>
      <c r="E18" s="102"/>
      <c r="F18" s="103"/>
      <c r="G18" s="102"/>
      <c r="H18" s="102"/>
      <c r="I18" s="102"/>
      <c r="J18" s="118"/>
      <c r="K18" s="103"/>
      <c r="L18" s="102"/>
      <c r="M18" s="102"/>
      <c r="N18" s="102"/>
      <c r="O18" s="102"/>
      <c r="P18" s="103"/>
      <c r="Q18" s="102"/>
      <c r="R18" s="102"/>
      <c r="S18" s="102"/>
      <c r="T18" s="102"/>
      <c r="U18" s="102"/>
      <c r="V18" s="102"/>
      <c r="W18" s="104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63"/>
      <c r="B19" s="161">
        <f>Neu!B12</f>
        <v>0</v>
      </c>
      <c r="C19" s="125"/>
      <c r="D19" s="116"/>
      <c r="E19" s="116"/>
      <c r="F19" s="109"/>
      <c r="G19" s="116"/>
      <c r="H19" s="116"/>
      <c r="I19" s="116"/>
      <c r="J19" s="116"/>
      <c r="K19" s="107"/>
      <c r="L19" s="116"/>
      <c r="M19" s="116"/>
      <c r="N19" s="116"/>
      <c r="O19" s="116"/>
      <c r="P19" s="109"/>
      <c r="Q19" s="116"/>
      <c r="R19" s="116"/>
      <c r="S19" s="116"/>
      <c r="T19" s="116"/>
      <c r="U19" s="116"/>
      <c r="V19" s="116"/>
      <c r="W19" s="126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63"/>
      <c r="B20" s="160"/>
      <c r="C20" s="127"/>
      <c r="D20" s="102"/>
      <c r="E20" s="102"/>
      <c r="F20" s="103"/>
      <c r="G20" s="102"/>
      <c r="H20" s="102"/>
      <c r="I20" s="102"/>
      <c r="J20" s="102"/>
      <c r="K20" s="111"/>
      <c r="L20" s="102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4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63"/>
      <c r="B21" s="161">
        <f>Neu!B13</f>
        <v>0</v>
      </c>
      <c r="C21" s="125"/>
      <c r="D21" s="116"/>
      <c r="E21" s="116"/>
      <c r="F21" s="109"/>
      <c r="G21" s="116"/>
      <c r="H21" s="116"/>
      <c r="I21" s="116"/>
      <c r="J21" s="116"/>
      <c r="K21" s="109"/>
      <c r="L21" s="114"/>
      <c r="M21" s="116"/>
      <c r="N21" s="116"/>
      <c r="O21" s="116"/>
      <c r="P21" s="109"/>
      <c r="Q21" s="116"/>
      <c r="R21" s="116"/>
      <c r="S21" s="116"/>
      <c r="T21" s="116"/>
      <c r="U21" s="116"/>
      <c r="V21" s="116"/>
      <c r="W21" s="126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63"/>
      <c r="B22" s="160"/>
      <c r="C22" s="127"/>
      <c r="D22" s="102"/>
      <c r="E22" s="102"/>
      <c r="F22" s="103"/>
      <c r="G22" s="102"/>
      <c r="H22" s="102"/>
      <c r="I22" s="102"/>
      <c r="J22" s="102"/>
      <c r="K22" s="103"/>
      <c r="L22" s="118"/>
      <c r="M22" s="102"/>
      <c r="N22" s="102"/>
      <c r="O22" s="102"/>
      <c r="P22" s="103"/>
      <c r="Q22" s="102"/>
      <c r="R22" s="102"/>
      <c r="S22" s="102"/>
      <c r="T22" s="102"/>
      <c r="U22" s="102"/>
      <c r="V22" s="102"/>
      <c r="W22" s="104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63"/>
      <c r="B23" s="161">
        <f>Neu!B14</f>
        <v>0</v>
      </c>
      <c r="C23" s="125"/>
      <c r="D23" s="116"/>
      <c r="E23" s="116"/>
      <c r="F23" s="109"/>
      <c r="G23" s="116"/>
      <c r="H23" s="116"/>
      <c r="I23" s="116"/>
      <c r="J23" s="116"/>
      <c r="K23" s="109"/>
      <c r="L23" s="116"/>
      <c r="M23" s="114"/>
      <c r="N23" s="116"/>
      <c r="O23" s="116"/>
      <c r="P23" s="109"/>
      <c r="Q23" s="116"/>
      <c r="R23" s="116"/>
      <c r="S23" s="116"/>
      <c r="T23" s="116"/>
      <c r="U23" s="116"/>
      <c r="V23" s="116"/>
      <c r="W23" s="126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63"/>
      <c r="B24" s="160"/>
      <c r="C24" s="128"/>
      <c r="D24" s="117"/>
      <c r="E24" s="117"/>
      <c r="F24" s="108"/>
      <c r="G24" s="117"/>
      <c r="H24" s="117"/>
      <c r="I24" s="117"/>
      <c r="J24" s="117"/>
      <c r="K24" s="108"/>
      <c r="L24" s="117"/>
      <c r="M24" s="115"/>
      <c r="N24" s="117"/>
      <c r="O24" s="117"/>
      <c r="P24" s="108"/>
      <c r="Q24" s="117"/>
      <c r="R24" s="117"/>
      <c r="S24" s="117"/>
      <c r="T24" s="117"/>
      <c r="U24" s="117"/>
      <c r="V24" s="117"/>
      <c r="W24" s="124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63"/>
      <c r="B25" s="161">
        <f>Neu!B15</f>
        <v>0</v>
      </c>
      <c r="C25" s="125"/>
      <c r="D25" s="116"/>
      <c r="E25" s="116"/>
      <c r="F25" s="109"/>
      <c r="G25" s="116"/>
      <c r="H25" s="116"/>
      <c r="I25" s="116"/>
      <c r="J25" s="116"/>
      <c r="K25" s="109"/>
      <c r="L25" s="116"/>
      <c r="M25" s="116"/>
      <c r="N25" s="114"/>
      <c r="O25" s="116"/>
      <c r="P25" s="109"/>
      <c r="Q25" s="116"/>
      <c r="R25" s="116"/>
      <c r="S25" s="116"/>
      <c r="T25" s="116"/>
      <c r="U25" s="116"/>
      <c r="V25" s="116"/>
      <c r="W25" s="126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63"/>
      <c r="B26" s="160"/>
      <c r="C26" s="127"/>
      <c r="D26" s="102"/>
      <c r="E26" s="102"/>
      <c r="F26" s="103"/>
      <c r="G26" s="102"/>
      <c r="H26" s="102"/>
      <c r="I26" s="102"/>
      <c r="J26" s="102"/>
      <c r="K26" s="103"/>
      <c r="L26" s="102"/>
      <c r="M26" s="102"/>
      <c r="N26" s="118"/>
      <c r="O26" s="102"/>
      <c r="P26" s="103"/>
      <c r="Q26" s="102"/>
      <c r="R26" s="102"/>
      <c r="S26" s="102"/>
      <c r="T26" s="102"/>
      <c r="U26" s="102"/>
      <c r="V26" s="102"/>
      <c r="W26" s="104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63"/>
      <c r="B27" s="161">
        <f>Neu!B16</f>
        <v>0</v>
      </c>
      <c r="C27" s="125"/>
      <c r="D27" s="116"/>
      <c r="E27" s="116"/>
      <c r="F27" s="109"/>
      <c r="G27" s="116"/>
      <c r="H27" s="116"/>
      <c r="I27" s="116"/>
      <c r="J27" s="116"/>
      <c r="K27" s="109"/>
      <c r="L27" s="116"/>
      <c r="M27" s="116"/>
      <c r="N27" s="116"/>
      <c r="O27" s="114"/>
      <c r="P27" s="109"/>
      <c r="Q27" s="116"/>
      <c r="R27" s="116"/>
      <c r="S27" s="116"/>
      <c r="T27" s="116"/>
      <c r="U27" s="116"/>
      <c r="V27" s="116"/>
      <c r="W27" s="126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63"/>
      <c r="B28" s="160"/>
      <c r="C28" s="127"/>
      <c r="D28" s="102"/>
      <c r="E28" s="102"/>
      <c r="F28" s="103"/>
      <c r="G28" s="102"/>
      <c r="H28" s="102"/>
      <c r="I28" s="102"/>
      <c r="J28" s="102"/>
      <c r="K28" s="103"/>
      <c r="L28" s="102"/>
      <c r="M28" s="102"/>
      <c r="N28" s="102"/>
      <c r="O28" s="118"/>
      <c r="P28" s="103"/>
      <c r="Q28" s="102"/>
      <c r="R28" s="102"/>
      <c r="S28" s="102"/>
      <c r="T28" s="102"/>
      <c r="U28" s="102"/>
      <c r="V28" s="102"/>
      <c r="W28" s="104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63"/>
      <c r="B29" s="161">
        <f>Neu!B17</f>
        <v>0</v>
      </c>
      <c r="C29" s="125"/>
      <c r="D29" s="116"/>
      <c r="E29" s="116"/>
      <c r="F29" s="109"/>
      <c r="G29" s="116"/>
      <c r="H29" s="116"/>
      <c r="I29" s="116"/>
      <c r="J29" s="116"/>
      <c r="K29" s="109"/>
      <c r="L29" s="116"/>
      <c r="M29" s="116"/>
      <c r="N29" s="116"/>
      <c r="O29" s="116"/>
      <c r="P29" s="107"/>
      <c r="Q29" s="116"/>
      <c r="R29" s="116"/>
      <c r="S29" s="116"/>
      <c r="T29" s="116"/>
      <c r="U29" s="116"/>
      <c r="V29" s="116"/>
      <c r="W29" s="126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63"/>
      <c r="B30" s="160"/>
      <c r="C30" s="127"/>
      <c r="D30" s="102"/>
      <c r="E30" s="102"/>
      <c r="F30" s="103"/>
      <c r="G30" s="102"/>
      <c r="H30" s="102"/>
      <c r="I30" s="102"/>
      <c r="J30" s="102"/>
      <c r="K30" s="103"/>
      <c r="L30" s="102"/>
      <c r="M30" s="102"/>
      <c r="N30" s="102"/>
      <c r="O30" s="102"/>
      <c r="P30" s="111"/>
      <c r="Q30" s="102"/>
      <c r="R30" s="102"/>
      <c r="S30" s="102"/>
      <c r="T30" s="102"/>
      <c r="U30" s="102"/>
      <c r="V30" s="102"/>
      <c r="W30" s="104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63"/>
      <c r="B31" s="161">
        <f>Neu!B18</f>
        <v>0</v>
      </c>
      <c r="C31" s="125"/>
      <c r="D31" s="116"/>
      <c r="E31" s="116"/>
      <c r="F31" s="109"/>
      <c r="G31" s="116"/>
      <c r="H31" s="116"/>
      <c r="I31" s="116"/>
      <c r="J31" s="116"/>
      <c r="K31" s="109"/>
      <c r="L31" s="116"/>
      <c r="M31" s="116"/>
      <c r="N31" s="116"/>
      <c r="O31" s="116"/>
      <c r="P31" s="109"/>
      <c r="Q31" s="114"/>
      <c r="R31" s="116"/>
      <c r="S31" s="116"/>
      <c r="T31" s="116"/>
      <c r="U31" s="116"/>
      <c r="V31" s="116"/>
      <c r="W31" s="126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63"/>
      <c r="B32" s="160"/>
      <c r="C32" s="128"/>
      <c r="D32" s="117"/>
      <c r="E32" s="117"/>
      <c r="F32" s="108"/>
      <c r="G32" s="117"/>
      <c r="H32" s="117"/>
      <c r="I32" s="117"/>
      <c r="J32" s="117"/>
      <c r="K32" s="108"/>
      <c r="L32" s="117"/>
      <c r="M32" s="117"/>
      <c r="N32" s="117"/>
      <c r="O32" s="117"/>
      <c r="P32" s="108"/>
      <c r="Q32" s="115"/>
      <c r="R32" s="117"/>
      <c r="S32" s="117"/>
      <c r="T32" s="117"/>
      <c r="U32" s="117"/>
      <c r="V32" s="117"/>
      <c r="W32" s="124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63"/>
      <c r="B33" s="161">
        <f>Neu!B19</f>
        <v>0</v>
      </c>
      <c r="C33" s="125"/>
      <c r="D33" s="116"/>
      <c r="E33" s="116"/>
      <c r="F33" s="109"/>
      <c r="G33" s="116"/>
      <c r="H33" s="116"/>
      <c r="I33" s="116"/>
      <c r="J33" s="116"/>
      <c r="K33" s="109"/>
      <c r="L33" s="116"/>
      <c r="M33" s="116"/>
      <c r="N33" s="116"/>
      <c r="O33" s="116"/>
      <c r="P33" s="109"/>
      <c r="Q33" s="116"/>
      <c r="R33" s="114"/>
      <c r="S33" s="116"/>
      <c r="T33" s="116"/>
      <c r="U33" s="116"/>
      <c r="V33" s="116"/>
      <c r="W33" s="126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63"/>
      <c r="B34" s="160"/>
      <c r="C34" s="127"/>
      <c r="D34" s="102"/>
      <c r="E34" s="102"/>
      <c r="F34" s="103"/>
      <c r="G34" s="102"/>
      <c r="H34" s="102"/>
      <c r="I34" s="102"/>
      <c r="J34" s="102"/>
      <c r="K34" s="103"/>
      <c r="L34" s="102"/>
      <c r="M34" s="102"/>
      <c r="N34" s="102"/>
      <c r="O34" s="102"/>
      <c r="P34" s="103"/>
      <c r="Q34" s="102"/>
      <c r="R34" s="118"/>
      <c r="S34" s="102"/>
      <c r="T34" s="102"/>
      <c r="U34" s="102"/>
      <c r="V34" s="102"/>
      <c r="W34" s="104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63"/>
      <c r="B35" s="161">
        <f>Neu!B20</f>
        <v>0</v>
      </c>
      <c r="C35" s="125"/>
      <c r="D35" s="116"/>
      <c r="E35" s="116"/>
      <c r="F35" s="109"/>
      <c r="G35" s="116"/>
      <c r="H35" s="116"/>
      <c r="I35" s="116"/>
      <c r="J35" s="116"/>
      <c r="K35" s="109"/>
      <c r="L35" s="116"/>
      <c r="M35" s="116"/>
      <c r="N35" s="116"/>
      <c r="O35" s="116"/>
      <c r="P35" s="109"/>
      <c r="Q35" s="116"/>
      <c r="R35" s="116"/>
      <c r="S35" s="114"/>
      <c r="T35" s="116"/>
      <c r="U35" s="116"/>
      <c r="V35" s="116"/>
      <c r="W35" s="126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63"/>
      <c r="B36" s="160"/>
      <c r="C36" s="127"/>
      <c r="D36" s="102"/>
      <c r="E36" s="102"/>
      <c r="F36" s="103"/>
      <c r="G36" s="102"/>
      <c r="H36" s="102"/>
      <c r="I36" s="102"/>
      <c r="J36" s="102"/>
      <c r="K36" s="103"/>
      <c r="L36" s="102"/>
      <c r="M36" s="102"/>
      <c r="N36" s="102"/>
      <c r="O36" s="102"/>
      <c r="P36" s="103"/>
      <c r="Q36" s="102"/>
      <c r="R36" s="102"/>
      <c r="S36" s="118"/>
      <c r="T36" s="102"/>
      <c r="U36" s="102"/>
      <c r="V36" s="102"/>
      <c r="W36" s="104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63"/>
      <c r="B37" s="161">
        <f>Neu!B21</f>
        <v>0</v>
      </c>
      <c r="C37" s="125"/>
      <c r="D37" s="116"/>
      <c r="E37" s="116"/>
      <c r="F37" s="109"/>
      <c r="G37" s="116"/>
      <c r="H37" s="116"/>
      <c r="I37" s="116"/>
      <c r="J37" s="116"/>
      <c r="K37" s="109"/>
      <c r="L37" s="116"/>
      <c r="M37" s="116"/>
      <c r="N37" s="116"/>
      <c r="O37" s="116"/>
      <c r="P37" s="109"/>
      <c r="Q37" s="116"/>
      <c r="R37" s="116"/>
      <c r="S37" s="116"/>
      <c r="T37" s="114"/>
      <c r="U37" s="116"/>
      <c r="V37" s="116"/>
      <c r="W37" s="126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63"/>
      <c r="B38" s="160"/>
      <c r="C38" s="127"/>
      <c r="D38" s="102"/>
      <c r="E38" s="102"/>
      <c r="F38" s="103"/>
      <c r="G38" s="102"/>
      <c r="H38" s="102"/>
      <c r="I38" s="102"/>
      <c r="J38" s="102"/>
      <c r="K38" s="103"/>
      <c r="L38" s="102"/>
      <c r="M38" s="102"/>
      <c r="N38" s="102"/>
      <c r="O38" s="102"/>
      <c r="P38" s="103"/>
      <c r="Q38" s="102"/>
      <c r="R38" s="102"/>
      <c r="S38" s="102"/>
      <c r="T38" s="118"/>
      <c r="U38" s="102"/>
      <c r="V38" s="102"/>
      <c r="W38" s="104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63"/>
      <c r="B39" s="161">
        <f>Neu!B22</f>
        <v>0</v>
      </c>
      <c r="C39" s="125"/>
      <c r="D39" s="116"/>
      <c r="E39" s="116"/>
      <c r="F39" s="109"/>
      <c r="G39" s="116"/>
      <c r="H39" s="116"/>
      <c r="I39" s="116"/>
      <c r="J39" s="116"/>
      <c r="K39" s="109"/>
      <c r="L39" s="116"/>
      <c r="M39" s="116"/>
      <c r="N39" s="116"/>
      <c r="O39" s="116"/>
      <c r="P39" s="109"/>
      <c r="Q39" s="116"/>
      <c r="R39" s="116"/>
      <c r="S39" s="116"/>
      <c r="T39" s="116"/>
      <c r="U39" s="114"/>
      <c r="V39" s="116"/>
      <c r="W39" s="126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63"/>
      <c r="B40" s="160"/>
      <c r="C40" s="127"/>
      <c r="D40" s="102"/>
      <c r="E40" s="102"/>
      <c r="F40" s="103"/>
      <c r="G40" s="102"/>
      <c r="H40" s="102"/>
      <c r="I40" s="102"/>
      <c r="J40" s="102"/>
      <c r="K40" s="103"/>
      <c r="L40" s="102"/>
      <c r="M40" s="102"/>
      <c r="N40" s="102"/>
      <c r="O40" s="102"/>
      <c r="P40" s="103"/>
      <c r="Q40" s="102"/>
      <c r="R40" s="102"/>
      <c r="S40" s="102"/>
      <c r="T40" s="102"/>
      <c r="U40" s="118"/>
      <c r="V40" s="102"/>
      <c r="W40" s="104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63"/>
      <c r="B41" s="161">
        <f>Neu!B23</f>
        <v>0</v>
      </c>
      <c r="C41" s="125"/>
      <c r="D41" s="116"/>
      <c r="E41" s="116"/>
      <c r="F41" s="109"/>
      <c r="G41" s="116"/>
      <c r="H41" s="116"/>
      <c r="I41" s="116"/>
      <c r="J41" s="116"/>
      <c r="K41" s="109"/>
      <c r="L41" s="116"/>
      <c r="M41" s="116"/>
      <c r="N41" s="116"/>
      <c r="O41" s="116"/>
      <c r="P41" s="109"/>
      <c r="Q41" s="116"/>
      <c r="R41" s="116"/>
      <c r="S41" s="116"/>
      <c r="T41" s="116"/>
      <c r="U41" s="116"/>
      <c r="V41" s="114"/>
      <c r="W41" s="126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63"/>
      <c r="B42" s="160"/>
      <c r="C42" s="127"/>
      <c r="D42" s="102"/>
      <c r="E42" s="102"/>
      <c r="F42" s="103"/>
      <c r="G42" s="102"/>
      <c r="H42" s="102"/>
      <c r="I42" s="102"/>
      <c r="J42" s="102"/>
      <c r="K42" s="103"/>
      <c r="L42" s="102"/>
      <c r="M42" s="102"/>
      <c r="N42" s="102"/>
      <c r="O42" s="102"/>
      <c r="P42" s="103"/>
      <c r="Q42" s="102"/>
      <c r="R42" s="102"/>
      <c r="S42" s="102"/>
      <c r="T42" s="102"/>
      <c r="U42" s="102"/>
      <c r="V42" s="118"/>
      <c r="W42" s="104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63"/>
      <c r="B43" s="161">
        <f>Neu!B24</f>
        <v>0</v>
      </c>
      <c r="C43" s="125"/>
      <c r="D43" s="116"/>
      <c r="E43" s="116"/>
      <c r="F43" s="109"/>
      <c r="G43" s="116"/>
      <c r="H43" s="116"/>
      <c r="I43" s="116"/>
      <c r="J43" s="116"/>
      <c r="K43" s="109"/>
      <c r="L43" s="116"/>
      <c r="M43" s="116"/>
      <c r="N43" s="116"/>
      <c r="O43" s="116"/>
      <c r="P43" s="109"/>
      <c r="Q43" s="116"/>
      <c r="R43" s="116"/>
      <c r="S43" s="116"/>
      <c r="T43" s="116"/>
      <c r="U43" s="116"/>
      <c r="V43" s="116"/>
      <c r="W43" s="129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3"/>
      <c r="B44" s="164"/>
      <c r="C44" s="130"/>
      <c r="D44" s="131"/>
      <c r="E44" s="131"/>
      <c r="F44" s="132"/>
      <c r="G44" s="131"/>
      <c r="H44" s="131"/>
      <c r="I44" s="131"/>
      <c r="J44" s="131"/>
      <c r="K44" s="132"/>
      <c r="L44" s="131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3"/>
      <c r="Z44" s="1" t="str">
        <f t="shared" si="2"/>
        <v/>
      </c>
    </row>
    <row r="45" spans="1:26" x14ac:dyDescent="0.35">
      <c r="V45" s="101" t="s">
        <v>153</v>
      </c>
      <c r="W45" s="1">
        <f>(MAX(Z:Z)+MIN(Z:Z))/2</f>
        <v>1.5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B3:B4"/>
    <mergeCell ref="C1:W1"/>
  </mergeCells>
  <conditionalFormatting sqref="B3 B5 B7 B9 B11 B13 B15 B17 B19 B21 B23 B25 B27 B29 B31 B33 B35 B37 B39 B41 B43">
    <cfRule type="cellIs" dxfId="19" priority="6" operator="equal">
      <formula>0</formula>
    </cfRule>
  </conditionalFormatting>
  <conditionalFormatting sqref="C2:W2">
    <cfRule type="cellIs" dxfId="18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zoomScale="90" zoomScaleNormal="90" workbookViewId="0">
      <selection activeCell="F9" sqref="F9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69"/>
      <c r="B1" s="169"/>
      <c r="C1" s="169" t="s">
        <v>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</row>
    <row r="2" spans="1:23" ht="15" thickBot="1" x14ac:dyDescent="0.4">
      <c r="A2" s="169"/>
      <c r="B2" s="169"/>
      <c r="C2" s="140" t="str">
        <f>Neu!B4</f>
        <v>B63s</v>
      </c>
      <c r="D2" s="141" t="str">
        <f>Neu!B5</f>
        <v>B63a</v>
      </c>
      <c r="E2" s="141" t="str">
        <f>Neu!B6</f>
        <v>B31s</v>
      </c>
      <c r="F2" s="141" t="str">
        <f>Neu!B7</f>
        <v>B64s</v>
      </c>
      <c r="G2" s="141" t="str">
        <f>Neu!B8</f>
        <v>B64a</v>
      </c>
      <c r="H2" s="141">
        <f>Neu!B9</f>
        <v>0</v>
      </c>
      <c r="I2" s="141">
        <f>Neu!B10</f>
        <v>0</v>
      </c>
      <c r="J2" s="141">
        <f>Neu!B11</f>
        <v>0</v>
      </c>
      <c r="K2" s="141">
        <f>Neu!B12</f>
        <v>0</v>
      </c>
      <c r="L2" s="141">
        <f>Neu!B13</f>
        <v>0</v>
      </c>
      <c r="M2" s="141">
        <f>Neu!B14</f>
        <v>0</v>
      </c>
      <c r="N2" s="141">
        <f>Neu!B15</f>
        <v>0</v>
      </c>
      <c r="O2" s="141">
        <f>Neu!B16</f>
        <v>0</v>
      </c>
      <c r="P2" s="141">
        <f>Neu!B17</f>
        <v>0</v>
      </c>
      <c r="Q2" s="141">
        <f>Neu!$B18</f>
        <v>0</v>
      </c>
      <c r="R2" s="141">
        <f>Neu!$B19</f>
        <v>0</v>
      </c>
      <c r="S2" s="141">
        <f>Neu!$B20</f>
        <v>0</v>
      </c>
      <c r="T2" s="141">
        <f>Neu!$B21</f>
        <v>0</v>
      </c>
      <c r="U2" s="141">
        <f>Neu!$B22</f>
        <v>0</v>
      </c>
      <c r="V2" s="141">
        <f>Neu!$B23</f>
        <v>0</v>
      </c>
      <c r="W2" s="142">
        <f>Neu!$B24</f>
        <v>0</v>
      </c>
    </row>
    <row r="3" spans="1:23" ht="29.15" customHeight="1" x14ac:dyDescent="0.35">
      <c r="A3" s="170" t="s">
        <v>5</v>
      </c>
      <c r="B3" s="2" t="str">
        <f>Neu!B4</f>
        <v>B63s</v>
      </c>
      <c r="C3" s="81"/>
      <c r="D3" s="82">
        <v>0.13</v>
      </c>
      <c r="E3" s="82">
        <v>0</v>
      </c>
      <c r="F3" s="82">
        <v>0</v>
      </c>
      <c r="G3" s="82">
        <v>0</v>
      </c>
      <c r="H3" s="82">
        <f>C8</f>
        <v>0</v>
      </c>
      <c r="I3" s="82">
        <f>C9</f>
        <v>0</v>
      </c>
      <c r="J3" s="82">
        <f>C10</f>
        <v>0</v>
      </c>
      <c r="K3" s="82">
        <f>C11</f>
        <v>0</v>
      </c>
      <c r="L3" s="82">
        <f>C12</f>
        <v>0</v>
      </c>
      <c r="M3" s="82">
        <f>C13</f>
        <v>0</v>
      </c>
      <c r="N3" s="82">
        <f>C14</f>
        <v>0</v>
      </c>
      <c r="O3" s="82">
        <f>C14</f>
        <v>0</v>
      </c>
      <c r="P3" s="82">
        <f>C16</f>
        <v>0</v>
      </c>
      <c r="Q3" s="83">
        <f>C17</f>
        <v>0</v>
      </c>
      <c r="R3" s="83">
        <f>C18</f>
        <v>0</v>
      </c>
      <c r="S3" s="83">
        <f>C19</f>
        <v>0</v>
      </c>
      <c r="T3" s="83">
        <f>C20</f>
        <v>0</v>
      </c>
      <c r="U3" s="83">
        <f>C21</f>
        <v>0</v>
      </c>
      <c r="V3" s="83">
        <f>C22</f>
        <v>0</v>
      </c>
      <c r="W3" s="84">
        <f>C23</f>
        <v>0</v>
      </c>
    </row>
    <row r="4" spans="1:23" ht="29.15" customHeight="1" x14ac:dyDescent="0.35">
      <c r="A4" s="170"/>
      <c r="B4" s="3" t="str">
        <f>Neu!B5</f>
        <v>B63a</v>
      </c>
      <c r="C4" s="85">
        <v>0.13</v>
      </c>
      <c r="D4" s="77"/>
      <c r="E4" s="7">
        <v>4.4999999999999998E-2</v>
      </c>
      <c r="F4" s="7"/>
      <c r="G4" s="7"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8">
        <f>D17</f>
        <v>0</v>
      </c>
      <c r="R4" s="78">
        <f>D18</f>
        <v>0</v>
      </c>
      <c r="S4" s="76">
        <f>D19</f>
        <v>0</v>
      </c>
      <c r="T4" s="76">
        <f>D20</f>
        <v>0</v>
      </c>
      <c r="U4" s="76">
        <f>D21</f>
        <v>0</v>
      </c>
      <c r="V4" s="76">
        <f>D22</f>
        <v>0</v>
      </c>
      <c r="W4" s="6">
        <f>D23</f>
        <v>0</v>
      </c>
    </row>
    <row r="5" spans="1:23" ht="29.15" customHeight="1" x14ac:dyDescent="0.35">
      <c r="A5" s="170"/>
      <c r="B5" s="3" t="str">
        <f>Neu!B6</f>
        <v>B31s</v>
      </c>
      <c r="C5" s="85"/>
      <c r="D5" s="7">
        <v>4.4999999999999998E-2</v>
      </c>
      <c r="E5" s="77"/>
      <c r="F5" s="7"/>
      <c r="G5" s="7"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8">
        <f>E17</f>
        <v>0</v>
      </c>
      <c r="R5" s="78">
        <f>E18</f>
        <v>0</v>
      </c>
      <c r="S5" s="76">
        <f>E19</f>
        <v>0</v>
      </c>
      <c r="T5" s="76">
        <f>E20</f>
        <v>0</v>
      </c>
      <c r="U5" s="76">
        <f>E21</f>
        <v>0</v>
      </c>
      <c r="V5" s="76">
        <f>E22</f>
        <v>0</v>
      </c>
      <c r="W5" s="6">
        <f>E23</f>
        <v>0</v>
      </c>
    </row>
    <row r="6" spans="1:23" ht="29.15" customHeight="1" x14ac:dyDescent="0.35">
      <c r="A6" s="170"/>
      <c r="B6" s="3" t="str">
        <f>Neu!B7</f>
        <v>B64s</v>
      </c>
      <c r="C6" s="85"/>
      <c r="D6" s="7"/>
      <c r="E6" s="7"/>
      <c r="F6" s="77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8">
        <f>F17</f>
        <v>0</v>
      </c>
      <c r="R6" s="78">
        <f>F18</f>
        <v>0</v>
      </c>
      <c r="S6" s="76">
        <f>F19</f>
        <v>0</v>
      </c>
      <c r="T6" s="76">
        <f>F20</f>
        <v>0</v>
      </c>
      <c r="U6" s="76">
        <f>F21</f>
        <v>0</v>
      </c>
      <c r="V6" s="76">
        <f>F22</f>
        <v>0</v>
      </c>
      <c r="W6" s="6">
        <f>F23</f>
        <v>0</v>
      </c>
    </row>
    <row r="7" spans="1:23" ht="29.15" customHeight="1" x14ac:dyDescent="0.35">
      <c r="A7" s="170"/>
      <c r="B7" s="3" t="str">
        <f>Neu!B8</f>
        <v>B64a</v>
      </c>
      <c r="C7" s="85"/>
      <c r="D7" s="7"/>
      <c r="E7" s="7"/>
      <c r="F7" s="7">
        <v>0.1</v>
      </c>
      <c r="G7" s="77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8">
        <f>G17</f>
        <v>0</v>
      </c>
      <c r="R7" s="78">
        <f>G18</f>
        <v>0</v>
      </c>
      <c r="S7" s="76">
        <f>G19</f>
        <v>0</v>
      </c>
      <c r="T7" s="76">
        <f>G20</f>
        <v>0</v>
      </c>
      <c r="U7" s="76">
        <f>G21</f>
        <v>0</v>
      </c>
      <c r="V7" s="76">
        <f>G22</f>
        <v>0</v>
      </c>
      <c r="W7" s="6">
        <f>G23</f>
        <v>0</v>
      </c>
    </row>
    <row r="8" spans="1:23" ht="29.15" customHeight="1" x14ac:dyDescent="0.35">
      <c r="A8" s="170"/>
      <c r="B8" s="3">
        <f>Neu!B9</f>
        <v>0</v>
      </c>
      <c r="C8" s="85"/>
      <c r="D8" s="7"/>
      <c r="E8" s="7"/>
      <c r="F8" s="7"/>
      <c r="G8" s="7"/>
      <c r="H8" s="77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8">
        <f>H17</f>
        <v>0</v>
      </c>
      <c r="R8" s="78">
        <f>H18</f>
        <v>0</v>
      </c>
      <c r="S8" s="76">
        <f>H19</f>
        <v>0</v>
      </c>
      <c r="T8" s="76">
        <f>H20</f>
        <v>0</v>
      </c>
      <c r="U8" s="76">
        <f>H21</f>
        <v>0</v>
      </c>
      <c r="V8" s="76">
        <f>H22</f>
        <v>0</v>
      </c>
      <c r="W8" s="6">
        <f>H23</f>
        <v>0</v>
      </c>
    </row>
    <row r="9" spans="1:23" ht="29.15" customHeight="1" x14ac:dyDescent="0.35">
      <c r="A9" s="170"/>
      <c r="B9" s="3">
        <f>Neu!B10</f>
        <v>0</v>
      </c>
      <c r="C9" s="85"/>
      <c r="D9" s="7"/>
      <c r="E9" s="7"/>
      <c r="F9" s="7"/>
      <c r="G9" s="7"/>
      <c r="H9" s="7"/>
      <c r="I9" s="77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8">
        <f>I17</f>
        <v>0</v>
      </c>
      <c r="R9" s="78">
        <f>I18</f>
        <v>0</v>
      </c>
      <c r="S9" s="76">
        <f>I19</f>
        <v>0</v>
      </c>
      <c r="T9" s="76">
        <f>I20</f>
        <v>0</v>
      </c>
      <c r="U9" s="76">
        <f>I21</f>
        <v>0</v>
      </c>
      <c r="V9" s="76">
        <f>I22</f>
        <v>0</v>
      </c>
      <c r="W9" s="6">
        <f>I23</f>
        <v>0</v>
      </c>
    </row>
    <row r="10" spans="1:23" ht="29.15" customHeight="1" x14ac:dyDescent="0.35">
      <c r="A10" s="170"/>
      <c r="B10" s="3">
        <f>Neu!B11</f>
        <v>0</v>
      </c>
      <c r="C10" s="85"/>
      <c r="D10" s="7"/>
      <c r="E10" s="7"/>
      <c r="F10" s="7"/>
      <c r="G10" s="7"/>
      <c r="H10" s="7"/>
      <c r="I10" s="7"/>
      <c r="J10" s="77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8">
        <f>J17</f>
        <v>0</v>
      </c>
      <c r="R10" s="78">
        <f>J18</f>
        <v>0</v>
      </c>
      <c r="S10" s="76">
        <f>J19</f>
        <v>0</v>
      </c>
      <c r="T10" s="76">
        <f>J20</f>
        <v>0</v>
      </c>
      <c r="U10" s="76">
        <f>J21</f>
        <v>0</v>
      </c>
      <c r="V10" s="76">
        <f>J22</f>
        <v>0</v>
      </c>
      <c r="W10" s="6">
        <f>J23</f>
        <v>0</v>
      </c>
    </row>
    <row r="11" spans="1:23" ht="29.15" customHeight="1" x14ac:dyDescent="0.35">
      <c r="A11" s="170"/>
      <c r="B11" s="3">
        <f>Neu!B12</f>
        <v>0</v>
      </c>
      <c r="C11" s="85"/>
      <c r="D11" s="7"/>
      <c r="E11" s="7"/>
      <c r="F11" s="7"/>
      <c r="G11" s="7"/>
      <c r="H11" s="7"/>
      <c r="I11" s="7"/>
      <c r="J11" s="7"/>
      <c r="K11" s="77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8">
        <f>K17</f>
        <v>0</v>
      </c>
      <c r="R11" s="78">
        <f>K18</f>
        <v>0</v>
      </c>
      <c r="S11" s="76">
        <f>K19</f>
        <v>0</v>
      </c>
      <c r="T11" s="76">
        <f>K20</f>
        <v>0</v>
      </c>
      <c r="U11" s="76">
        <f>K21</f>
        <v>0</v>
      </c>
      <c r="V11" s="76">
        <f>K22</f>
        <v>0</v>
      </c>
      <c r="W11" s="6">
        <f>K23</f>
        <v>0</v>
      </c>
    </row>
    <row r="12" spans="1:23" ht="29.15" customHeight="1" x14ac:dyDescent="0.35">
      <c r="A12" s="170"/>
      <c r="B12" s="3">
        <f>Neu!B13</f>
        <v>0</v>
      </c>
      <c r="C12" s="85"/>
      <c r="D12" s="7"/>
      <c r="E12" s="7"/>
      <c r="F12" s="7"/>
      <c r="G12" s="7"/>
      <c r="H12" s="7"/>
      <c r="I12" s="7"/>
      <c r="J12" s="7"/>
      <c r="K12" s="7"/>
      <c r="L12" s="77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8">
        <f>L17</f>
        <v>0</v>
      </c>
      <c r="R12" s="78">
        <f>L18</f>
        <v>0</v>
      </c>
      <c r="S12" s="76">
        <f>L19</f>
        <v>0</v>
      </c>
      <c r="T12" s="76">
        <f>L20</f>
        <v>0</v>
      </c>
      <c r="U12" s="76">
        <f>L21</f>
        <v>0</v>
      </c>
      <c r="V12" s="76">
        <f>L22</f>
        <v>0</v>
      </c>
      <c r="W12" s="6">
        <f>L23</f>
        <v>0</v>
      </c>
    </row>
    <row r="13" spans="1:23" ht="29.15" customHeight="1" x14ac:dyDescent="0.35">
      <c r="A13" s="170"/>
      <c r="B13" s="3">
        <f>Neu!B14</f>
        <v>0</v>
      </c>
      <c r="C13" s="85"/>
      <c r="D13" s="7"/>
      <c r="E13" s="7"/>
      <c r="F13" s="7"/>
      <c r="G13" s="7"/>
      <c r="H13" s="7"/>
      <c r="I13" s="7"/>
      <c r="J13" s="7"/>
      <c r="K13" s="7"/>
      <c r="L13" s="7"/>
      <c r="M13" s="77"/>
      <c r="N13" s="7">
        <f>M14</f>
        <v>0</v>
      </c>
      <c r="O13" s="7">
        <f>M15</f>
        <v>0</v>
      </c>
      <c r="P13" s="7">
        <f>M16</f>
        <v>0</v>
      </c>
      <c r="Q13" s="78">
        <f>M17</f>
        <v>0</v>
      </c>
      <c r="R13" s="78">
        <f>M18</f>
        <v>0</v>
      </c>
      <c r="S13" s="76">
        <f>M19</f>
        <v>0</v>
      </c>
      <c r="T13" s="76">
        <f>M20</f>
        <v>0</v>
      </c>
      <c r="U13" s="76">
        <f>M21</f>
        <v>0</v>
      </c>
      <c r="V13" s="76">
        <f>M22</f>
        <v>0</v>
      </c>
      <c r="W13" s="6">
        <f>M23</f>
        <v>0</v>
      </c>
    </row>
    <row r="14" spans="1:23" ht="29.15" customHeight="1" x14ac:dyDescent="0.35">
      <c r="A14" s="170"/>
      <c r="B14" s="3">
        <f>Neu!B15</f>
        <v>0</v>
      </c>
      <c r="C14" s="85"/>
      <c r="D14" s="7"/>
      <c r="E14" s="7"/>
      <c r="F14" s="7"/>
      <c r="G14" s="7"/>
      <c r="H14" s="7"/>
      <c r="I14" s="7"/>
      <c r="J14" s="7"/>
      <c r="K14" s="7"/>
      <c r="L14" s="7"/>
      <c r="M14" s="7"/>
      <c r="N14" s="77"/>
      <c r="O14" s="7">
        <f>N15</f>
        <v>0</v>
      </c>
      <c r="P14" s="7">
        <f>N16</f>
        <v>0</v>
      </c>
      <c r="Q14" s="78">
        <f>N17</f>
        <v>0</v>
      </c>
      <c r="R14" s="78">
        <f>N18</f>
        <v>0</v>
      </c>
      <c r="S14" s="76">
        <f>N19</f>
        <v>0</v>
      </c>
      <c r="T14" s="76">
        <f>N20</f>
        <v>0</v>
      </c>
      <c r="U14" s="76">
        <f>N21</f>
        <v>0</v>
      </c>
      <c r="V14" s="76">
        <f>N22</f>
        <v>0</v>
      </c>
      <c r="W14" s="6">
        <f>N23</f>
        <v>0</v>
      </c>
    </row>
    <row r="15" spans="1:23" ht="29.15" customHeight="1" x14ac:dyDescent="0.35">
      <c r="A15" s="170"/>
      <c r="B15" s="3">
        <f>Neu!B16</f>
        <v>0</v>
      </c>
      <c r="C15" s="8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7"/>
      <c r="P15" s="7">
        <f>O16</f>
        <v>0</v>
      </c>
      <c r="Q15" s="78">
        <f>O17</f>
        <v>0</v>
      </c>
      <c r="R15" s="78">
        <f>O18</f>
        <v>0</v>
      </c>
      <c r="S15" s="76">
        <f>O19</f>
        <v>0</v>
      </c>
      <c r="T15" s="76">
        <f>O20</f>
        <v>0</v>
      </c>
      <c r="U15" s="76">
        <f>O21</f>
        <v>0</v>
      </c>
      <c r="V15" s="76">
        <f>O22</f>
        <v>0</v>
      </c>
      <c r="W15" s="6">
        <f>O23</f>
        <v>0</v>
      </c>
    </row>
    <row r="16" spans="1:23" ht="29.15" customHeight="1" x14ac:dyDescent="0.35">
      <c r="A16" s="170"/>
      <c r="B16" s="3">
        <f>Neu!B17</f>
        <v>0</v>
      </c>
      <c r="C16" s="8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7"/>
      <c r="Q16" s="78">
        <f>P17</f>
        <v>0</v>
      </c>
      <c r="R16" s="78">
        <f>P18</f>
        <v>0</v>
      </c>
      <c r="S16" s="76">
        <f>P19</f>
        <v>0</v>
      </c>
      <c r="T16" s="76">
        <f>P20</f>
        <v>0</v>
      </c>
      <c r="U16" s="76">
        <f>P21</f>
        <v>0</v>
      </c>
      <c r="V16" s="76">
        <f>P22</f>
        <v>0</v>
      </c>
      <c r="W16" s="6">
        <f>P23</f>
        <v>0</v>
      </c>
    </row>
    <row r="17" spans="1:23" ht="29.15" customHeight="1" x14ac:dyDescent="0.35">
      <c r="A17" s="170"/>
      <c r="B17" s="3">
        <f>Neu!B18</f>
        <v>0</v>
      </c>
      <c r="C17" s="86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  <c r="R17" s="78">
        <f>Q18</f>
        <v>0</v>
      </c>
      <c r="S17" s="76">
        <f>Q19</f>
        <v>0</v>
      </c>
      <c r="T17" s="76">
        <f>Q20</f>
        <v>0</v>
      </c>
      <c r="U17" s="76">
        <f>Q21</f>
        <v>0</v>
      </c>
      <c r="V17" s="76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7"/>
      <c r="S18" s="76">
        <f>R19</f>
        <v>0</v>
      </c>
      <c r="T18" s="76">
        <f>R20</f>
        <v>0</v>
      </c>
      <c r="U18" s="76">
        <f>R21</f>
        <v>0</v>
      </c>
      <c r="V18" s="76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7"/>
      <c r="T19" s="76">
        <f>S20</f>
        <v>0</v>
      </c>
      <c r="U19" s="76">
        <f>S21</f>
        <v>0</v>
      </c>
      <c r="V19" s="76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7"/>
      <c r="U20" s="76">
        <f>T21</f>
        <v>0</v>
      </c>
      <c r="V20" s="76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7"/>
      <c r="V21" s="76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7"/>
      <c r="W22" s="6">
        <f>V23</f>
        <v>0</v>
      </c>
    </row>
    <row r="23" spans="1:23" ht="29.15" customHeight="1" thickBot="1" x14ac:dyDescent="0.4">
      <c r="B23" s="5">
        <f>Neu!B24</f>
        <v>0</v>
      </c>
      <c r="C23" s="8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8"/>
    </row>
  </sheetData>
  <mergeCells count="3">
    <mergeCell ref="A1:B2"/>
    <mergeCell ref="C1:Q1"/>
    <mergeCell ref="A3:A17"/>
  </mergeCells>
  <conditionalFormatting sqref="B3:B23">
    <cfRule type="cellIs" dxfId="17" priority="10" operator="equal">
      <formula>0</formula>
    </cfRule>
  </conditionalFormatting>
  <conditionalFormatting sqref="C2:W2">
    <cfRule type="cellIs" dxfId="16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15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C9" sqref="C9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D406-C275-4755-B308-93A4E40374F1}">
  <dimension ref="A1:Z87"/>
  <sheetViews>
    <sheetView tabSelected="1" zoomScale="90" zoomScaleNormal="90" workbookViewId="0">
      <selection activeCell="E29" sqref="E29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71" t="s">
        <v>69</v>
      </c>
      <c r="G1" s="171"/>
      <c r="H1" s="171"/>
      <c r="I1" s="171"/>
      <c r="J1" s="171"/>
      <c r="K1" s="171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167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60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57" t="s">
        <v>31</v>
      </c>
      <c r="C7" s="175"/>
      <c r="D7" s="175"/>
      <c r="E7" s="175"/>
      <c r="F7" s="176"/>
      <c r="G7" s="177" t="s">
        <v>35</v>
      </c>
      <c r="H7" s="175"/>
      <c r="I7" s="175"/>
      <c r="J7" s="175"/>
      <c r="K7" s="158"/>
      <c r="L7" s="157" t="s">
        <v>41</v>
      </c>
      <c r="M7" s="175"/>
      <c r="N7" s="175"/>
      <c r="O7" s="175"/>
      <c r="P7" s="158"/>
      <c r="Q7" s="157" t="s">
        <v>42</v>
      </c>
      <c r="R7" s="175"/>
      <c r="S7" s="175"/>
      <c r="T7" s="175"/>
      <c r="U7" s="158"/>
      <c r="V7" s="157" t="s">
        <v>43</v>
      </c>
      <c r="W7" s="175"/>
      <c r="X7" s="175"/>
      <c r="Y7" s="175"/>
      <c r="Z7" s="158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/>
      <c r="B9" s="66"/>
      <c r="C9" s="17"/>
      <c r="D9" s="17"/>
      <c r="E9" s="17"/>
      <c r="F9" s="49"/>
      <c r="G9" s="43"/>
      <c r="H9" s="17"/>
      <c r="I9" s="17"/>
      <c r="J9" s="17"/>
      <c r="K9" s="49"/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/>
      <c r="B10" s="66"/>
      <c r="C10" s="17"/>
      <c r="D10" s="17"/>
      <c r="E10" s="17"/>
      <c r="F10" s="49"/>
      <c r="G10" s="43"/>
      <c r="H10" s="17"/>
      <c r="I10" s="17"/>
      <c r="J10" s="17"/>
      <c r="K10" s="49"/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/>
      <c r="B11" s="66"/>
      <c r="C11" s="17"/>
      <c r="D11" s="17"/>
      <c r="E11" s="17"/>
      <c r="F11" s="49"/>
      <c r="G11" s="43"/>
      <c r="H11" s="17"/>
      <c r="I11" s="17"/>
      <c r="J11" s="17"/>
      <c r="K11" s="49"/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/>
      <c r="B12" s="66"/>
      <c r="C12" s="17"/>
      <c r="D12" s="17"/>
      <c r="E12" s="17"/>
      <c r="F12" s="49"/>
      <c r="G12" s="43"/>
      <c r="H12" s="17"/>
      <c r="I12" s="17"/>
      <c r="J12" s="17"/>
      <c r="K12" s="49"/>
      <c r="L12" s="43"/>
      <c r="M12" s="17"/>
      <c r="N12" s="17"/>
      <c r="O12" s="17"/>
      <c r="P12" s="49"/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/>
      <c r="B13" s="66"/>
      <c r="C13" s="17"/>
      <c r="D13" s="17"/>
      <c r="E13" s="17"/>
      <c r="F13" s="49"/>
      <c r="G13" s="43"/>
      <c r="H13" s="17"/>
      <c r="I13" s="17"/>
      <c r="J13" s="17"/>
      <c r="K13" s="49"/>
      <c r="L13" s="43"/>
      <c r="M13" s="17"/>
      <c r="N13" s="17"/>
      <c r="O13" s="17"/>
      <c r="P13" s="49"/>
      <c r="Q13" s="43"/>
      <c r="R13" s="17"/>
      <c r="S13" s="17"/>
      <c r="T13" s="17"/>
      <c r="U13" s="49"/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71" t="s">
        <v>64</v>
      </c>
      <c r="B25" s="171"/>
      <c r="C25" s="171"/>
      <c r="D25" s="171"/>
      <c r="E25" s="171"/>
      <c r="F25" s="171"/>
      <c r="G25" s="171"/>
      <c r="H25" s="171"/>
      <c r="I25" s="171"/>
      <c r="J25" s="171"/>
      <c r="L25" s="171" t="s">
        <v>65</v>
      </c>
      <c r="M25" s="171"/>
    </row>
    <row r="26" spans="1:26" ht="15" customHeight="1" x14ac:dyDescent="0.35">
      <c r="B26" s="155" t="s">
        <v>37</v>
      </c>
      <c r="C26" s="153"/>
      <c r="D26" s="153"/>
      <c r="E26" s="154"/>
      <c r="G26" s="172" t="s">
        <v>68</v>
      </c>
      <c r="H26" s="172"/>
      <c r="I26" s="172"/>
      <c r="J26" s="172"/>
      <c r="L26" s="43" t="s">
        <v>91</v>
      </c>
      <c r="M26" s="173" t="s">
        <v>66</v>
      </c>
      <c r="N26" s="174"/>
      <c r="O26" s="174"/>
      <c r="P26" s="174"/>
      <c r="Q26" s="17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73"/>
      <c r="N27" s="174"/>
      <c r="O27" s="174"/>
      <c r="P27" s="174"/>
      <c r="Q27" s="174"/>
    </row>
    <row r="28" spans="1:26" x14ac:dyDescent="0.35">
      <c r="B28" s="17" t="s">
        <v>168</v>
      </c>
      <c r="C28" s="17">
        <v>1</v>
      </c>
      <c r="D28" s="17">
        <v>60</v>
      </c>
      <c r="E28" s="17">
        <v>1</v>
      </c>
      <c r="G28" s="17"/>
      <c r="H28" s="17"/>
      <c r="I28" s="17"/>
      <c r="J28" s="17"/>
      <c r="L28" s="43"/>
      <c r="M28" s="14"/>
    </row>
    <row r="29" spans="1:26" x14ac:dyDescent="0.35">
      <c r="B29" s="17" t="s">
        <v>170</v>
      </c>
      <c r="C29" s="17">
        <v>1</v>
      </c>
      <c r="D29" s="17">
        <v>60</v>
      </c>
      <c r="E29" s="17">
        <v>1</v>
      </c>
      <c r="G29" s="17"/>
      <c r="H29" s="17"/>
      <c r="I29" s="17"/>
      <c r="J29" s="17"/>
      <c r="L29" s="43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3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A25:J25"/>
    <mergeCell ref="L25:M25"/>
    <mergeCell ref="B26:E26"/>
    <mergeCell ref="G26:J26"/>
    <mergeCell ref="M26:Q27"/>
    <mergeCell ref="F1:K1"/>
    <mergeCell ref="B7:F7"/>
    <mergeCell ref="G7:K7"/>
    <mergeCell ref="L7:P7"/>
    <mergeCell ref="Q7:U7"/>
    <mergeCell ref="V7:Z7"/>
  </mergeCells>
  <conditionalFormatting sqref="C3">
    <cfRule type="cellIs" dxfId="4" priority="1" operator="notEqual">
      <formula>MAX($E$9:$E$14)</formula>
    </cfRule>
  </conditionalFormatting>
  <conditionalFormatting sqref="M16">
    <cfRule type="containsBlanks" dxfId="3" priority="2">
      <formula>LEN(TRIM(M16))=0</formula>
    </cfRule>
    <cfRule type="cellIs" dxfId="2" priority="3" operator="equal">
      <formula>0</formula>
    </cfRule>
    <cfRule type="containsBlanks" dxfId="1" priority="4">
      <formula>LEN(TRIM(M16))=0</formula>
    </cfRule>
    <cfRule type="cellIs" dxfId="0" priority="5" operator="equal">
      <formula>0</formula>
    </cfRule>
  </conditionalFormatting>
  <dataValidations count="1">
    <dataValidation type="list" allowBlank="1" showInputMessage="1" showErrorMessage="1" sqref="Z9:Z23 U9:U23 P9:P23 F9:F23 K9:K23" xr:uid="{8A680B89-0364-41C9-A988-729056A898F6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1AC4-2E2B-4706-AB30-3217FA36DCBE}">
  <dimension ref="A1:Z87"/>
  <sheetViews>
    <sheetView topLeftCell="A3" zoomScale="90" zoomScaleNormal="90" workbookViewId="0">
      <selection activeCell="G20" sqref="G20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71" t="s">
        <v>69</v>
      </c>
      <c r="G1" s="171"/>
      <c r="H1" s="171"/>
      <c r="I1" s="171"/>
      <c r="J1" s="171"/>
      <c r="K1" s="171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167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60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57" t="s">
        <v>31</v>
      </c>
      <c r="C7" s="175"/>
      <c r="D7" s="175"/>
      <c r="E7" s="175"/>
      <c r="F7" s="176"/>
      <c r="G7" s="177" t="s">
        <v>35</v>
      </c>
      <c r="H7" s="175"/>
      <c r="I7" s="175"/>
      <c r="J7" s="175"/>
      <c r="K7" s="158"/>
      <c r="L7" s="157" t="s">
        <v>41</v>
      </c>
      <c r="M7" s="175"/>
      <c r="N7" s="175"/>
      <c r="O7" s="175"/>
      <c r="P7" s="158"/>
      <c r="Q7" s="157" t="s">
        <v>42</v>
      </c>
      <c r="R7" s="175"/>
      <c r="S7" s="175"/>
      <c r="T7" s="175"/>
      <c r="U7" s="158"/>
      <c r="V7" s="157" t="s">
        <v>43</v>
      </c>
      <c r="W7" s="175"/>
      <c r="X7" s="175"/>
      <c r="Y7" s="175"/>
      <c r="Z7" s="158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/>
      <c r="B9" s="66"/>
      <c r="C9" s="17"/>
      <c r="D9" s="17"/>
      <c r="E9" s="17"/>
      <c r="F9" s="49"/>
      <c r="G9" s="43"/>
      <c r="H9" s="17"/>
      <c r="I9" s="17"/>
      <c r="J9" s="17"/>
      <c r="K9" s="49"/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/>
      <c r="B10" s="66"/>
      <c r="C10" s="17"/>
      <c r="D10" s="17"/>
      <c r="E10" s="17"/>
      <c r="F10" s="49"/>
      <c r="G10" s="43"/>
      <c r="H10" s="17"/>
      <c r="I10" s="17"/>
      <c r="J10" s="17"/>
      <c r="K10" s="49"/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/>
      <c r="B11" s="66"/>
      <c r="C11" s="17"/>
      <c r="D11" s="17"/>
      <c r="E11" s="17"/>
      <c r="F11" s="49"/>
      <c r="G11" s="43"/>
      <c r="H11" s="17"/>
      <c r="I11" s="17"/>
      <c r="J11" s="17"/>
      <c r="K11" s="49"/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/>
      <c r="B12" s="66"/>
      <c r="C12" s="17"/>
      <c r="D12" s="17"/>
      <c r="E12" s="17"/>
      <c r="F12" s="49"/>
      <c r="G12" s="43"/>
      <c r="H12" s="17"/>
      <c r="I12" s="17"/>
      <c r="J12" s="17"/>
      <c r="K12" s="49"/>
      <c r="L12" s="43"/>
      <c r="M12" s="17"/>
      <c r="N12" s="17"/>
      <c r="O12" s="17"/>
      <c r="P12" s="49"/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/>
      <c r="B13" s="66"/>
      <c r="C13" s="17"/>
      <c r="D13" s="17"/>
      <c r="E13" s="17"/>
      <c r="F13" s="49"/>
      <c r="G13" s="43"/>
      <c r="H13" s="17"/>
      <c r="I13" s="17"/>
      <c r="J13" s="17"/>
      <c r="K13" s="49"/>
      <c r="L13" s="43"/>
      <c r="M13" s="17"/>
      <c r="N13" s="17"/>
      <c r="O13" s="17"/>
      <c r="P13" s="49"/>
      <c r="Q13" s="43"/>
      <c r="R13" s="17"/>
      <c r="S13" s="17"/>
      <c r="T13" s="17"/>
      <c r="U13" s="49"/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71" t="s">
        <v>64</v>
      </c>
      <c r="B25" s="171"/>
      <c r="C25" s="171"/>
      <c r="D25" s="171"/>
      <c r="E25" s="171"/>
      <c r="F25" s="171"/>
      <c r="G25" s="171"/>
      <c r="H25" s="171"/>
      <c r="I25" s="171"/>
      <c r="J25" s="171"/>
      <c r="L25" s="171" t="s">
        <v>65</v>
      </c>
      <c r="M25" s="171"/>
    </row>
    <row r="26" spans="1:26" ht="15" customHeight="1" x14ac:dyDescent="0.35">
      <c r="B26" s="155" t="s">
        <v>37</v>
      </c>
      <c r="C26" s="153"/>
      <c r="D26" s="153"/>
      <c r="E26" s="154"/>
      <c r="G26" s="172" t="s">
        <v>68</v>
      </c>
      <c r="H26" s="172"/>
      <c r="I26" s="172"/>
      <c r="J26" s="172"/>
      <c r="L26" s="43" t="s">
        <v>91</v>
      </c>
      <c r="M26" s="173" t="s">
        <v>66</v>
      </c>
      <c r="N26" s="174"/>
      <c r="O26" s="174"/>
      <c r="P26" s="174"/>
      <c r="Q26" s="17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73"/>
      <c r="N27" s="174"/>
      <c r="O27" s="174"/>
      <c r="P27" s="174"/>
      <c r="Q27" s="174"/>
    </row>
    <row r="28" spans="1:26" x14ac:dyDescent="0.35">
      <c r="B28" s="17" t="s">
        <v>168</v>
      </c>
      <c r="C28" s="17">
        <v>1</v>
      </c>
      <c r="D28" s="17">
        <v>60</v>
      </c>
      <c r="E28" s="17">
        <v>1.2</v>
      </c>
      <c r="G28" s="17"/>
      <c r="H28" s="17"/>
      <c r="I28" s="17"/>
      <c r="J28" s="17"/>
      <c r="L28" s="43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3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3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B7:F7"/>
    <mergeCell ref="G7:K7"/>
    <mergeCell ref="L7:P7"/>
    <mergeCell ref="Q7:U7"/>
    <mergeCell ref="A25:J25"/>
    <mergeCell ref="L25:M25"/>
    <mergeCell ref="B26:E26"/>
    <mergeCell ref="G26:J26"/>
    <mergeCell ref="M26:Q27"/>
  </mergeCells>
  <conditionalFormatting sqref="C3">
    <cfRule type="cellIs" dxfId="14" priority="1" operator="notEqual">
      <formula>MAX($E$9:$E$14)</formula>
    </cfRule>
  </conditionalFormatting>
  <conditionalFormatting sqref="M16">
    <cfRule type="containsBlanks" dxfId="13" priority="2">
      <formula>LEN(TRIM(M16))=0</formula>
    </cfRule>
    <cfRule type="cellIs" dxfId="12" priority="3" operator="equal">
      <formula>0</formula>
    </cfRule>
    <cfRule type="containsBlanks" dxfId="11" priority="4">
      <formula>LEN(TRIM(M16))=0</formula>
    </cfRule>
    <cfRule type="cellIs" dxfId="10" priority="5" operator="equal">
      <formula>0</formula>
    </cfRule>
  </conditionalFormatting>
  <dataValidations count="1">
    <dataValidation type="list" allowBlank="1" showInputMessage="1" showErrorMessage="1" sqref="Z9:Z23 U9:U23 P9:P23 F9:F23 K9:K23" xr:uid="{C4CA76C5-6CF5-4373-AE0B-EAF088ECA785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topLeftCell="A20" zoomScale="90" zoomScaleNormal="90" workbookViewId="0">
      <selection activeCell="C35" sqref="C35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71" t="s">
        <v>69</v>
      </c>
      <c r="G1" s="171"/>
      <c r="H1" s="171"/>
      <c r="I1" s="171"/>
      <c r="J1" s="171"/>
      <c r="K1" s="171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166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24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57" t="s">
        <v>31</v>
      </c>
      <c r="C7" s="175"/>
      <c r="D7" s="175"/>
      <c r="E7" s="175"/>
      <c r="F7" s="176"/>
      <c r="G7" s="177" t="s">
        <v>35</v>
      </c>
      <c r="H7" s="175"/>
      <c r="I7" s="175"/>
      <c r="J7" s="175"/>
      <c r="K7" s="158"/>
      <c r="L7" s="157" t="s">
        <v>41</v>
      </c>
      <c r="M7" s="175"/>
      <c r="N7" s="175"/>
      <c r="O7" s="175"/>
      <c r="P7" s="158"/>
      <c r="Q7" s="157" t="s">
        <v>42</v>
      </c>
      <c r="R7" s="175"/>
      <c r="S7" s="175"/>
      <c r="T7" s="175"/>
      <c r="U7" s="158"/>
      <c r="V7" s="157" t="s">
        <v>43</v>
      </c>
      <c r="W7" s="175"/>
      <c r="X7" s="175"/>
      <c r="Y7" s="175"/>
      <c r="Z7" s="158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/>
      <c r="B9" s="66"/>
      <c r="C9" s="17"/>
      <c r="D9" s="17"/>
      <c r="E9" s="17"/>
      <c r="F9" s="49"/>
      <c r="G9" s="43"/>
      <c r="H9" s="17"/>
      <c r="I9" s="17"/>
      <c r="J9" s="17"/>
      <c r="K9" s="49"/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/>
      <c r="B10" s="66"/>
      <c r="C10" s="17"/>
      <c r="D10" s="17"/>
      <c r="E10" s="17"/>
      <c r="F10" s="49"/>
      <c r="G10" s="43"/>
      <c r="H10" s="17"/>
      <c r="I10" s="17"/>
      <c r="J10" s="17"/>
      <c r="K10" s="49"/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/>
      <c r="B11" s="66"/>
      <c r="C11" s="17"/>
      <c r="D11" s="17"/>
      <c r="E11" s="17"/>
      <c r="F11" s="49"/>
      <c r="G11" s="43"/>
      <c r="H11" s="17"/>
      <c r="I11" s="17"/>
      <c r="J11" s="17"/>
      <c r="K11" s="49"/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/>
      <c r="B12" s="66"/>
      <c r="C12" s="17"/>
      <c r="D12" s="17"/>
      <c r="E12" s="17"/>
      <c r="F12" s="49"/>
      <c r="G12" s="43"/>
      <c r="H12" s="17"/>
      <c r="I12" s="17"/>
      <c r="J12" s="17"/>
      <c r="K12" s="49"/>
      <c r="L12" s="43"/>
      <c r="M12" s="17"/>
      <c r="N12" s="17"/>
      <c r="O12" s="17"/>
      <c r="P12" s="49"/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/>
      <c r="B13" s="66"/>
      <c r="C13" s="17"/>
      <c r="D13" s="17"/>
      <c r="E13" s="17"/>
      <c r="F13" s="49"/>
      <c r="G13" s="43"/>
      <c r="H13" s="17"/>
      <c r="I13" s="17"/>
      <c r="J13" s="17"/>
      <c r="K13" s="49"/>
      <c r="L13" s="43"/>
      <c r="M13" s="17"/>
      <c r="N13" s="17"/>
      <c r="O13" s="17"/>
      <c r="P13" s="49"/>
      <c r="Q13" s="43"/>
      <c r="R13" s="17"/>
      <c r="S13" s="17"/>
      <c r="T13" s="17"/>
      <c r="U13" s="49"/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71" t="s">
        <v>64</v>
      </c>
      <c r="B25" s="171"/>
      <c r="C25" s="171"/>
      <c r="D25" s="171"/>
      <c r="E25" s="171"/>
      <c r="F25" s="171"/>
      <c r="G25" s="171"/>
      <c r="H25" s="171"/>
      <c r="I25" s="171"/>
      <c r="J25" s="171"/>
      <c r="L25" s="171" t="s">
        <v>65</v>
      </c>
      <c r="M25" s="171"/>
    </row>
    <row r="26" spans="1:26" ht="15" customHeight="1" x14ac:dyDescent="0.35">
      <c r="B26" s="155" t="s">
        <v>37</v>
      </c>
      <c r="C26" s="153"/>
      <c r="D26" s="153"/>
      <c r="E26" s="154"/>
      <c r="G26" s="172" t="s">
        <v>68</v>
      </c>
      <c r="H26" s="172"/>
      <c r="I26" s="172"/>
      <c r="J26" s="172"/>
      <c r="L26" s="43" t="s">
        <v>91</v>
      </c>
      <c r="M26" s="173" t="s">
        <v>66</v>
      </c>
      <c r="N26" s="174"/>
      <c r="O26" s="174"/>
      <c r="P26" s="174"/>
      <c r="Q26" s="17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73"/>
      <c r="N27" s="174"/>
      <c r="O27" s="174"/>
      <c r="P27" s="174"/>
      <c r="Q27" s="174"/>
    </row>
    <row r="28" spans="1:26" x14ac:dyDescent="0.35">
      <c r="B28" s="17" t="s">
        <v>168</v>
      </c>
      <c r="C28" s="17">
        <v>0.5</v>
      </c>
      <c r="D28" s="17">
        <v>1.5</v>
      </c>
      <c r="E28" s="17">
        <v>1.2</v>
      </c>
      <c r="G28" s="17"/>
      <c r="H28" s="17"/>
      <c r="I28" s="17"/>
      <c r="J28" s="17"/>
      <c r="L28" s="43"/>
      <c r="M28" s="14"/>
    </row>
    <row r="29" spans="1:26" x14ac:dyDescent="0.35">
      <c r="B29" s="17" t="s">
        <v>168</v>
      </c>
      <c r="C29" s="17">
        <v>2.5</v>
      </c>
      <c r="D29" s="17">
        <v>3.5</v>
      </c>
      <c r="E29" s="17">
        <v>1.2</v>
      </c>
      <c r="G29" s="17"/>
      <c r="H29" s="17"/>
      <c r="I29" s="17"/>
      <c r="J29" s="17"/>
      <c r="L29" s="43"/>
      <c r="M29" s="14"/>
    </row>
    <row r="30" spans="1:26" x14ac:dyDescent="0.35">
      <c r="B30" s="17" t="s">
        <v>168</v>
      </c>
      <c r="C30" s="17">
        <v>4.5</v>
      </c>
      <c r="D30" s="17">
        <v>5.5</v>
      </c>
      <c r="E30" s="17">
        <v>1.2</v>
      </c>
      <c r="G30" s="17"/>
      <c r="H30" s="17"/>
      <c r="I30" s="17"/>
      <c r="J30" s="17"/>
      <c r="L30" s="43"/>
      <c r="M30" s="14"/>
    </row>
    <row r="31" spans="1:26" x14ac:dyDescent="0.35">
      <c r="B31" s="17" t="s">
        <v>168</v>
      </c>
      <c r="C31" s="17">
        <v>6.5</v>
      </c>
      <c r="D31" s="17">
        <v>7.5</v>
      </c>
      <c r="E31" s="17">
        <v>1.2</v>
      </c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9" priority="1" operator="notEqual">
      <formula>MAX($E$9:$E$14)</formula>
    </cfRule>
  </conditionalFormatting>
  <conditionalFormatting sqref="M16">
    <cfRule type="containsBlanks" dxfId="8" priority="10">
      <formula>LEN(TRIM(M16))=0</formula>
    </cfRule>
    <cfRule type="cellIs" dxfId="7" priority="11" operator="equal">
      <formula>0</formula>
    </cfRule>
    <cfRule type="containsBlanks" dxfId="6" priority="12">
      <formula>LEN(TRIM(M16))=0</formula>
    </cfRule>
    <cfRule type="cellIs" dxfId="5" priority="13" operator="equal">
      <formula>0</formula>
    </cfRule>
  </conditionalFormatting>
  <dataValidations count="1">
    <dataValidation type="list" allowBlank="1" showInputMessage="1" showErrorMessage="1" sqref="Z9:Z23 U9:U23 P9:P23 F9:F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Neu</vt:lpstr>
      <vt:lpstr>cs_g</vt:lpstr>
      <vt:lpstr>cs_E</vt:lpstr>
      <vt:lpstr>cs_FAT</vt:lpstr>
      <vt:lpstr>es</vt:lpstr>
      <vt:lpstr>noise</vt:lpstr>
      <vt:lpstr>BMP_test.smu</vt:lpstr>
      <vt:lpstr>BMP_TONIC.smu</vt:lpstr>
      <vt:lpstr>BMP2SIMPLE.smu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2025-03-14T15:06:02Z</dcterms:modified>
</cp:coreProperties>
</file>