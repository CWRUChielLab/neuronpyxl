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51D5B1D2-7F7D-41B9-AFA4-639BB0B306F4}" xr6:coauthVersionLast="47" xr6:coauthVersionMax="47" xr10:uidLastSave="{00000000-0000-0000-0000-000000000000}"/>
  <bookViews>
    <workbookView xWindow="28680" yWindow="-120" windowWidth="29040" windowHeight="15720" tabRatio="716" xr2:uid="{F0735362-4961-42D4-9F52-DCA2C5A03203}"/>
  </bookViews>
  <sheets>
    <sheet name="Neu" sheetId="3" r:id="rId1"/>
    <sheet name="cs_g" sheetId="1" r:id="rId2"/>
    <sheet name="cs_E" sheetId="2" r:id="rId3"/>
    <sheet name="cs_FAT" sheetId="4" r:id="rId4"/>
    <sheet name="es" sheetId="5" r:id="rId5"/>
    <sheet name="noise" sheetId="7" r:id="rId6"/>
    <sheet name="BMP2SIMPLE_l.smu" sheetId="12" r:id="rId7"/>
    <sheet name="BMP_TONIC_l.smu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3" l="1"/>
  <c r="A15" i="3"/>
  <c r="A16" i="3"/>
  <c r="A17" i="3"/>
  <c r="A18" i="3"/>
  <c r="A19" i="3"/>
  <c r="A20" i="3"/>
  <c r="A21" i="3"/>
  <c r="A22" i="3"/>
  <c r="A23" i="3"/>
  <c r="A24" i="3"/>
  <c r="L10" i="5" l="1"/>
  <c r="K10" i="5"/>
  <c r="L9" i="5"/>
  <c r="K9" i="5"/>
  <c r="J9" i="5"/>
  <c r="L8" i="5"/>
  <c r="K8" i="5"/>
  <c r="J8" i="5"/>
  <c r="I8" i="5"/>
  <c r="L7" i="5"/>
  <c r="K7" i="5"/>
  <c r="J7" i="5"/>
  <c r="I7" i="5"/>
  <c r="H7" i="5"/>
  <c r="L6" i="5"/>
  <c r="K6" i="5"/>
  <c r="J6" i="5"/>
  <c r="I6" i="5"/>
  <c r="H6" i="5"/>
  <c r="L5" i="5"/>
  <c r="K5" i="5"/>
  <c r="J5" i="5"/>
  <c r="I5" i="5"/>
  <c r="H5" i="5"/>
  <c r="G5" i="5"/>
  <c r="L4" i="5"/>
  <c r="K4" i="5"/>
  <c r="J4" i="5"/>
  <c r="I4" i="5"/>
  <c r="H4" i="5"/>
  <c r="G4" i="5"/>
  <c r="L3" i="5"/>
  <c r="K3" i="5"/>
  <c r="J3" i="5"/>
  <c r="I3" i="5"/>
  <c r="H3" i="5"/>
  <c r="G3" i="5"/>
  <c r="F3" i="5"/>
  <c r="E3" i="5"/>
  <c r="D3" i="5"/>
  <c r="BD40" i="3"/>
  <c r="Z40" i="3"/>
  <c r="O40" i="3"/>
  <c r="D40" i="3"/>
  <c r="BD39" i="3"/>
  <c r="Z39" i="3"/>
  <c r="O39" i="3"/>
  <c r="D39" i="3"/>
  <c r="BD38" i="3"/>
  <c r="Z38" i="3"/>
  <c r="O38" i="3"/>
  <c r="D38" i="3"/>
  <c r="BD37" i="3"/>
  <c r="Z37" i="3"/>
  <c r="O37" i="3"/>
  <c r="D37" i="3"/>
  <c r="BD36" i="3"/>
  <c r="Z36" i="3"/>
  <c r="O36" i="3"/>
  <c r="D36" i="3"/>
  <c r="BD35" i="3"/>
  <c r="Z35" i="3"/>
  <c r="O35" i="3"/>
  <c r="D35" i="3"/>
  <c r="BD34" i="3"/>
  <c r="Z34" i="3"/>
  <c r="O34" i="3"/>
  <c r="D34" i="3"/>
  <c r="BD33" i="3"/>
  <c r="Z33" i="3"/>
  <c r="O33" i="3"/>
  <c r="D33" i="3"/>
  <c r="BD32" i="3"/>
  <c r="Z32" i="3"/>
  <c r="O32" i="3"/>
  <c r="D32" i="3"/>
  <c r="BD31" i="3"/>
  <c r="Z31" i="3"/>
  <c r="O31" i="3"/>
  <c r="D31" i="3"/>
  <c r="D41" i="3"/>
  <c r="O41" i="3"/>
  <c r="Z41" i="3"/>
  <c r="Z38" i="4" l="1"/>
  <c r="Z39" i="4"/>
  <c r="Z40" i="4"/>
  <c r="Z41" i="4"/>
  <c r="Y3" i="4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O47" i="3"/>
  <c r="O46" i="3"/>
  <c r="O45" i="3"/>
  <c r="O44" i="3"/>
  <c r="O43" i="3"/>
  <c r="O42" i="3"/>
  <c r="D42" i="3"/>
  <c r="D43" i="3"/>
  <c r="D44" i="3"/>
  <c r="D45" i="3"/>
  <c r="D46" i="3"/>
  <c r="D47" i="3"/>
  <c r="B15" i="5" l="1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<sst xmlns="http://schemas.openxmlformats.org/spreadsheetml/2006/main" count="558" uniqueCount="183">
  <si>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</si>
  <si>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</si>
  <si>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</si>
  <si>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</si>
  <si>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</si>
  <si>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</si>
  <si>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</si>
  <si>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</si>
  <si>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</si>
  <si>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</si>
  <si>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</si>
  <si>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</si>
  <si>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</si>
  <si>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</si>
  <si>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</si>
  <si>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</si>
  <si>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</si>
  <si>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</si>
  <si>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</si>
  <si>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</si>
  <si>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</si>
  <si>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</si>
  <si>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</si>
  <si>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</si>
  <si>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</si>
  <si>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</si>
  <si>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</si>
  <si>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</si>
  <si>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</si>
  <si>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</si>
  <si>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</si>
  <si>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</si>
  <si>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</si>
  <si>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</si>
  <si>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</si>
  <si>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</si>
  <si>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</si>
  <si>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</si>
  <si>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</si>
  <si>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</si>
  <si>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</si>
  <si>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</si>
  <si>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</si>
  <si>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</si>
  <si>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</si>
  <si>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</si>
  <si>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</si>
  <si>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</si>
  <si>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</si>
  <si>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</si>
  <si>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</si>
  <si>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</si>
  <si>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</si>
  <si>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</si>
  <si>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</si>
  <si>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</si>
  <si>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</si>
  <si>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</si>
  <si>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</si>
  <si>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</si>
  <si>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</si>
  <si>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</si>
  <si>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</si>
  <si>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</si>
  <si>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</si>
  <si>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</si>
  <si>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</si>
  <si>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</si>
  <si>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</si>
  <si>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</si>
  <si>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</si>
  <si>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</si>
  <si>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</si>
  <si>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</si>
  <si>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</si>
  <si>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</si>
  <si>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</si>
  <si>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</si>
  <si>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</si>
  <si>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</si>
  <si>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</si>
  <si>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</si>
  <si>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</si>
  <si>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</si>
  <si>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</si>
  <si>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</si>
  <si>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</si>
  <si>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</si>
  <si>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</si>
  <si>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</si>
  <si>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</si>
  <si>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</si>
  <si>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</si>
  <si>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</si>
  <si>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</si>
  <si>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</si>
  <si>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</si>
  <si>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</si>
  <si>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</si>
  <si>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</si>
  <si>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</si>
  <si>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</si>
  <si>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</si>
  <si>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</si>
  <si>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</si>
  <si>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</si>
  <si>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</si>
  <si>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</si>
  <si>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</si>
  <si>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</si>
  <si>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</si>
  <si>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</si>
  <si>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</si>
  <si>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</si>
  <si>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</si>
  <si>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</si>
  <si>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</si>
  <si>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</si>
  <si>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</si>
  <si>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</si>
  <si>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</si>
  <si>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>cm</t>
  </si>
  <si>
    <t>IVDxREG</t>
  </si>
  <si>
    <t>currrent by conductance and regulation</t>
  </si>
  <si>
    <t>Napp</t>
  </si>
  <si>
    <t>for total current</t>
  </si>
  <si>
    <t>slex</t>
  </si>
  <si>
    <t>trt current</t>
  </si>
  <si>
    <t>d(ion)/dt = K1*(K2*sum(Ivd) - ion)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</si>
  <si>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</si>
  <si>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</si>
  <si>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</si>
  <si>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</si>
  <si>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</si>
  <si>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</si>
  <si>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</si>
  <si>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</si>
  <si>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</si>
  <si>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</si>
  <si>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</si>
  <si>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</si>
  <si>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</si>
  <si>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</si>
  <si>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</si>
  <si>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</si>
  <si>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</si>
  <si>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</si>
  <si>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</si>
  <si>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Initial voltage</t>
  </si>
  <si>
    <t>mV</t>
  </si>
  <si>
    <t>B63ls</t>
  </si>
  <si>
    <t>Ka</t>
  </si>
  <si>
    <t>Kv</t>
  </si>
  <si>
    <t>K_main</t>
  </si>
  <si>
    <t>B63la</t>
  </si>
  <si>
    <t>B31rs</t>
  </si>
  <si>
    <t>B64ls</t>
  </si>
  <si>
    <t>B64la</t>
  </si>
  <si>
    <t>B63rs</t>
  </si>
  <si>
    <t>B63ra</t>
  </si>
  <si>
    <t>B31ls</t>
  </si>
  <si>
    <t>B64rs</t>
  </si>
  <si>
    <t>B64ra</t>
  </si>
  <si>
    <t>BMP_TONIC_l</t>
  </si>
  <si>
    <t>SIVD_reg</t>
  </si>
  <si>
    <t>blue</t>
  </si>
  <si>
    <t>V.B31rs</t>
  </si>
  <si>
    <t>red</t>
  </si>
  <si>
    <t>V.B63ls</t>
  </si>
  <si>
    <t>magenta</t>
  </si>
  <si>
    <t>V.B64la</t>
  </si>
  <si>
    <t>yellow</t>
  </si>
  <si>
    <t>V.B64ls</t>
  </si>
  <si>
    <t>pink</t>
  </si>
  <si>
    <t>Ics.B63la.B31rs.s_exc</t>
  </si>
  <si>
    <t>Ics.B63la.B64ls.s_exc</t>
  </si>
  <si>
    <t xml:space="preserve">    Ivd.Napp.B64ls</t>
  </si>
  <si>
    <t xml:space="preserve">    Ivd.Ka.B64ls</t>
  </si>
  <si>
    <t>orange</t>
  </si>
  <si>
    <t xml:space="preserve">    Ivd.Kv.B64ls</t>
  </si>
  <si>
    <t>green</t>
  </si>
  <si>
    <t>BMP2SIMPLE_l</t>
  </si>
  <si>
    <t>variable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</si>
</sst>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rgb="FFFFCCCC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0" fontId="2" fillId="4" borderId="13" xfId="0" applyFont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3" borderId="43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4" xfId="0" applyFill="1" applyBorder="1"/>
    <xf numFmtId="0" fontId="0" fillId="4" borderId="4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6" xfId="0" applyFill="1" applyBorder="1"/>
    <xf numFmtId="0" fontId="0" fillId="3" borderId="37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39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3" fillId="4" borderId="58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4" borderId="7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7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5" fillId="4" borderId="3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71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30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34" xfId="0" applyFill="1" applyBorder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EK62"/>
  <sheetViews>
    <sheetView tabSelected="1" zoomScaleNormal="100" workbookViewId="0">
      <pane xSplit="1" topLeftCell="B1" activePane="topRight" state="frozen"/>
      <selection pane="topRight" activeCell="K22" sqref="K22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16384" width="9.1796875" style="14"/>
  </cols>
  <sheetData>
    <row r="1" spans="1:141" x14ac:dyDescent="0.35">
      <c r="D1" s="51" t="s">
        <v>85</v>
      </c>
      <c r="E1" s="156" t="s">
        <v>86</v>
      </c>
      <c r="F1" s="157"/>
      <c r="G1" s="152" t="s">
        <v>88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4"/>
      <c r="AH1" s="152" t="s">
        <v>151</v>
      </c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4"/>
      <c r="BI1" s="152" t="s">
        <v>152</v>
      </c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  <c r="CI1" s="154"/>
      <c r="CJ1" s="152" t="s">
        <v>153</v>
      </c>
      <c r="CK1" s="153"/>
      <c r="CL1" s="153"/>
      <c r="CM1" s="153"/>
      <c r="CN1" s="153"/>
      <c r="CO1" s="153"/>
      <c r="CP1" s="153"/>
      <c r="CQ1" s="153"/>
      <c r="CR1" s="153"/>
      <c r="CS1" s="153"/>
      <c r="CT1" s="153"/>
      <c r="CU1" s="153"/>
      <c r="CV1" s="153"/>
      <c r="CW1" s="153"/>
      <c r="CX1" s="153"/>
      <c r="CY1" s="153"/>
      <c r="CZ1" s="153"/>
      <c r="DA1" s="153"/>
      <c r="DB1" s="153"/>
      <c r="DC1" s="153"/>
      <c r="DD1" s="153"/>
      <c r="DE1" s="153"/>
      <c r="DF1" s="153"/>
      <c r="DG1" s="153"/>
      <c r="DH1" s="153"/>
      <c r="DI1" s="153"/>
      <c r="DJ1" s="154"/>
      <c r="DK1" s="152" t="s">
        <v>124</v>
      </c>
      <c r="DL1" s="153"/>
      <c r="DM1" s="153"/>
      <c r="DN1" s="153"/>
      <c r="DO1" s="153"/>
      <c r="DP1" s="153"/>
      <c r="DQ1" s="153"/>
      <c r="DR1" s="153"/>
      <c r="DS1" s="153"/>
      <c r="DT1" s="153"/>
      <c r="DU1" s="153"/>
      <c r="DV1" s="153"/>
      <c r="DW1" s="153"/>
      <c r="DX1" s="153"/>
      <c r="DY1" s="153"/>
      <c r="DZ1" s="153"/>
      <c r="EA1" s="153"/>
      <c r="EB1" s="153"/>
      <c r="EC1" s="153"/>
      <c r="ED1" s="153"/>
      <c r="EE1" s="153"/>
      <c r="EF1" s="153"/>
      <c r="EG1" s="153"/>
      <c r="EH1" s="153"/>
      <c r="EI1" s="153"/>
      <c r="EJ1" s="153"/>
      <c r="EK1" s="154"/>
    </row>
    <row r="2" spans="1:141" ht="15" thickBot="1" x14ac:dyDescent="0.4">
      <c r="E2" s="155" t="s">
        <v>87</v>
      </c>
      <c r="F2" s="150"/>
      <c r="G2" s="155" t="s">
        <v>87</v>
      </c>
      <c r="H2" s="149"/>
      <c r="I2" s="151"/>
      <c r="J2" s="148" t="s">
        <v>49</v>
      </c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51"/>
      <c r="V2" s="148" t="s">
        <v>50</v>
      </c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50"/>
      <c r="AH2" s="155" t="s">
        <v>87</v>
      </c>
      <c r="AI2" s="149"/>
      <c r="AJ2" s="151"/>
      <c r="AK2" s="148" t="s">
        <v>49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51"/>
      <c r="AW2" s="148" t="s">
        <v>50</v>
      </c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50"/>
      <c r="BI2" s="155" t="s">
        <v>87</v>
      </c>
      <c r="BJ2" s="149"/>
      <c r="BK2" s="151"/>
      <c r="BL2" s="148" t="s">
        <v>49</v>
      </c>
      <c r="BM2" s="149"/>
      <c r="BN2" s="149"/>
      <c r="BO2" s="149"/>
      <c r="BP2" s="149"/>
      <c r="BQ2" s="149"/>
      <c r="BR2" s="149"/>
      <c r="BS2" s="149"/>
      <c r="BT2" s="149"/>
      <c r="BU2" s="149"/>
      <c r="BV2" s="149"/>
      <c r="BW2" s="151"/>
      <c r="BX2" s="148" t="s">
        <v>50</v>
      </c>
      <c r="BY2" s="149"/>
      <c r="BZ2" s="149"/>
      <c r="CA2" s="149"/>
      <c r="CB2" s="149"/>
      <c r="CC2" s="149"/>
      <c r="CD2" s="149"/>
      <c r="CE2" s="149"/>
      <c r="CF2" s="149"/>
      <c r="CG2" s="149"/>
      <c r="CH2" s="149"/>
      <c r="CI2" s="150"/>
      <c r="CJ2" s="155" t="s">
        <v>87</v>
      </c>
      <c r="CK2" s="149"/>
      <c r="CL2" s="151"/>
      <c r="CM2" s="148" t="s">
        <v>49</v>
      </c>
      <c r="CN2" s="149"/>
      <c r="CO2" s="149"/>
      <c r="CP2" s="149"/>
      <c r="CQ2" s="149"/>
      <c r="CR2" s="149"/>
      <c r="CS2" s="149"/>
      <c r="CT2" s="149"/>
      <c r="CU2" s="149"/>
      <c r="CV2" s="149"/>
      <c r="CW2" s="149"/>
      <c r="CX2" s="151"/>
      <c r="CY2" s="148" t="s">
        <v>50</v>
      </c>
      <c r="CZ2" s="149"/>
      <c r="DA2" s="149"/>
      <c r="DB2" s="149"/>
      <c r="DC2" s="149"/>
      <c r="DD2" s="149"/>
      <c r="DE2" s="149"/>
      <c r="DF2" s="149"/>
      <c r="DG2" s="149"/>
      <c r="DH2" s="149"/>
      <c r="DI2" s="149"/>
      <c r="DJ2" s="150"/>
      <c r="DK2" s="155" t="s">
        <v>87</v>
      </c>
      <c r="DL2" s="149"/>
      <c r="DM2" s="151"/>
      <c r="DN2" s="148" t="s">
        <v>49</v>
      </c>
      <c r="DO2" s="149"/>
      <c r="DP2" s="149"/>
      <c r="DQ2" s="149"/>
      <c r="DR2" s="149"/>
      <c r="DS2" s="149"/>
      <c r="DT2" s="149"/>
      <c r="DU2" s="149"/>
      <c r="DV2" s="149"/>
      <c r="DW2" s="149"/>
      <c r="DX2" s="149"/>
      <c r="DY2" s="151"/>
      <c r="DZ2" s="148" t="s">
        <v>50</v>
      </c>
      <c r="EA2" s="149"/>
      <c r="EB2" s="149"/>
      <c r="EC2" s="149"/>
      <c r="ED2" s="149"/>
      <c r="EE2" s="149"/>
      <c r="EF2" s="149"/>
      <c r="EG2" s="149"/>
      <c r="EH2" s="149"/>
      <c r="EI2" s="149"/>
      <c r="EJ2" s="149"/>
      <c r="EK2" s="150"/>
    </row>
    <row r="3" spans="1:141" ht="15" thickBot="1" x14ac:dyDescent="0.4">
      <c r="B3" s="84" t="s">
        <v>0</v>
      </c>
      <c r="C3" s="85" t="s">
        <v>1</v>
      </c>
      <c r="D3" s="54" t="s">
        <v>121</v>
      </c>
      <c r="E3" s="90" t="s">
        <v>2</v>
      </c>
      <c r="F3" s="91" t="s">
        <v>3</v>
      </c>
      <c r="G3" s="92" t="s">
        <v>2</v>
      </c>
      <c r="H3" s="93" t="s">
        <v>10</v>
      </c>
      <c r="I3" s="93" t="s">
        <v>3</v>
      </c>
      <c r="J3" s="93" t="s">
        <v>92</v>
      </c>
      <c r="K3" s="93" t="s">
        <v>8</v>
      </c>
      <c r="L3" s="93" t="s">
        <v>9</v>
      </c>
      <c r="M3" s="93" t="s">
        <v>10</v>
      </c>
      <c r="N3" s="93" t="s">
        <v>89</v>
      </c>
      <c r="O3" s="93" t="s">
        <v>90</v>
      </c>
      <c r="P3" s="93" t="s">
        <v>94</v>
      </c>
      <c r="Q3" s="93" t="s">
        <v>95</v>
      </c>
      <c r="R3" s="93" t="s">
        <v>96</v>
      </c>
      <c r="S3" s="93" t="s">
        <v>97</v>
      </c>
      <c r="T3" s="93" t="s">
        <v>98</v>
      </c>
      <c r="U3" s="93" t="s">
        <v>99</v>
      </c>
      <c r="V3" s="93" t="s">
        <v>93</v>
      </c>
      <c r="W3" s="93" t="s">
        <v>8</v>
      </c>
      <c r="X3" s="93" t="s">
        <v>9</v>
      </c>
      <c r="Y3" s="93" t="s">
        <v>10</v>
      </c>
      <c r="Z3" s="93" t="s">
        <v>89</v>
      </c>
      <c r="AA3" s="93" t="s">
        <v>90</v>
      </c>
      <c r="AB3" s="93" t="s">
        <v>94</v>
      </c>
      <c r="AC3" s="93" t="s">
        <v>95</v>
      </c>
      <c r="AD3" s="93" t="s">
        <v>96</v>
      </c>
      <c r="AE3" s="93" t="s">
        <v>97</v>
      </c>
      <c r="AF3" s="93" t="s">
        <v>98</v>
      </c>
      <c r="AG3" s="94" t="s">
        <v>99</v>
      </c>
      <c r="AH3" s="92" t="s">
        <v>2</v>
      </c>
      <c r="AI3" s="93" t="s">
        <v>10</v>
      </c>
      <c r="AJ3" s="93" t="s">
        <v>3</v>
      </c>
      <c r="AK3" s="93" t="s">
        <v>92</v>
      </c>
      <c r="AL3" s="93" t="s">
        <v>8</v>
      </c>
      <c r="AM3" s="93" t="s">
        <v>9</v>
      </c>
      <c r="AN3" s="93" t="s">
        <v>10</v>
      </c>
      <c r="AO3" s="93" t="s">
        <v>89</v>
      </c>
      <c r="AP3" s="93" t="s">
        <v>90</v>
      </c>
      <c r="AQ3" s="93" t="s">
        <v>94</v>
      </c>
      <c r="AR3" s="93" t="s">
        <v>95</v>
      </c>
      <c r="AS3" s="93" t="s">
        <v>96</v>
      </c>
      <c r="AT3" s="93" t="s">
        <v>97</v>
      </c>
      <c r="AU3" s="93" t="s">
        <v>98</v>
      </c>
      <c r="AV3" s="93" t="s">
        <v>99</v>
      </c>
      <c r="AW3" s="93" t="s">
        <v>93</v>
      </c>
      <c r="AX3" s="93" t="s">
        <v>8</v>
      </c>
      <c r="AY3" s="93" t="s">
        <v>9</v>
      </c>
      <c r="AZ3" s="93" t="s">
        <v>10</v>
      </c>
      <c r="BA3" s="93" t="s">
        <v>89</v>
      </c>
      <c r="BB3" s="93" t="s">
        <v>90</v>
      </c>
      <c r="BC3" s="93" t="s">
        <v>94</v>
      </c>
      <c r="BD3" s="93" t="s">
        <v>95</v>
      </c>
      <c r="BE3" s="93" t="s">
        <v>96</v>
      </c>
      <c r="BF3" s="93" t="s">
        <v>97</v>
      </c>
      <c r="BG3" s="93" t="s">
        <v>98</v>
      </c>
      <c r="BH3" s="94" t="s">
        <v>99</v>
      </c>
      <c r="BI3" s="92" t="s">
        <v>2</v>
      </c>
      <c r="BJ3" s="93" t="s">
        <v>10</v>
      </c>
      <c r="BK3" s="93" t="s">
        <v>3</v>
      </c>
      <c r="BL3" s="93" t="s">
        <v>92</v>
      </c>
      <c r="BM3" s="93" t="s">
        <v>8</v>
      </c>
      <c r="BN3" s="93" t="s">
        <v>9</v>
      </c>
      <c r="BO3" s="93" t="s">
        <v>10</v>
      </c>
      <c r="BP3" s="93" t="s">
        <v>89</v>
      </c>
      <c r="BQ3" s="93" t="s">
        <v>90</v>
      </c>
      <c r="BR3" s="93" t="s">
        <v>94</v>
      </c>
      <c r="BS3" s="93" t="s">
        <v>95</v>
      </c>
      <c r="BT3" s="93" t="s">
        <v>96</v>
      </c>
      <c r="BU3" s="93" t="s">
        <v>97</v>
      </c>
      <c r="BV3" s="93" t="s">
        <v>98</v>
      </c>
      <c r="BW3" s="93" t="s">
        <v>99</v>
      </c>
      <c r="BX3" s="93" t="s">
        <v>93</v>
      </c>
      <c r="BY3" s="93" t="s">
        <v>8</v>
      </c>
      <c r="BZ3" s="93" t="s">
        <v>9</v>
      </c>
      <c r="CA3" s="93" t="s">
        <v>10</v>
      </c>
      <c r="CB3" s="93" t="s">
        <v>89</v>
      </c>
      <c r="CC3" s="93" t="s">
        <v>90</v>
      </c>
      <c r="CD3" s="93" t="s">
        <v>94</v>
      </c>
      <c r="CE3" s="93" t="s">
        <v>95</v>
      </c>
      <c r="CF3" s="93" t="s">
        <v>96</v>
      </c>
      <c r="CG3" s="93" t="s">
        <v>97</v>
      </c>
      <c r="CH3" s="93" t="s">
        <v>98</v>
      </c>
      <c r="CI3" s="94" t="s">
        <v>99</v>
      </c>
      <c r="CJ3" s="92" t="s">
        <v>2</v>
      </c>
      <c r="CK3" s="93" t="s">
        <v>10</v>
      </c>
      <c r="CL3" s="93" t="s">
        <v>3</v>
      </c>
      <c r="CM3" s="93" t="s">
        <v>92</v>
      </c>
      <c r="CN3" s="93" t="s">
        <v>8</v>
      </c>
      <c r="CO3" s="93" t="s">
        <v>9</v>
      </c>
      <c r="CP3" s="93" t="s">
        <v>10</v>
      </c>
      <c r="CQ3" s="93" t="s">
        <v>89</v>
      </c>
      <c r="CR3" s="93" t="s">
        <v>90</v>
      </c>
      <c r="CS3" s="93" t="s">
        <v>94</v>
      </c>
      <c r="CT3" s="93" t="s">
        <v>95</v>
      </c>
      <c r="CU3" s="93" t="s">
        <v>96</v>
      </c>
      <c r="CV3" s="93" t="s">
        <v>97</v>
      </c>
      <c r="CW3" s="93" t="s">
        <v>98</v>
      </c>
      <c r="CX3" s="93" t="s">
        <v>99</v>
      </c>
      <c r="CY3" s="93" t="s">
        <v>93</v>
      </c>
      <c r="CZ3" s="93" t="s">
        <v>8</v>
      </c>
      <c r="DA3" s="93" t="s">
        <v>9</v>
      </c>
      <c r="DB3" s="93" t="s">
        <v>10</v>
      </c>
      <c r="DC3" s="93" t="s">
        <v>89</v>
      </c>
      <c r="DD3" s="93" t="s">
        <v>90</v>
      </c>
      <c r="DE3" s="93" t="s">
        <v>94</v>
      </c>
      <c r="DF3" s="93" t="s">
        <v>95</v>
      </c>
      <c r="DG3" s="93" t="s">
        <v>96</v>
      </c>
      <c r="DH3" s="93" t="s">
        <v>97</v>
      </c>
      <c r="DI3" s="93" t="s">
        <v>98</v>
      </c>
      <c r="DJ3" s="94" t="s">
        <v>99</v>
      </c>
      <c r="DK3" s="92" t="s">
        <v>2</v>
      </c>
      <c r="DL3" s="93" t="s">
        <v>10</v>
      </c>
      <c r="DM3" s="93" t="s">
        <v>3</v>
      </c>
      <c r="DN3" s="93" t="s">
        <v>92</v>
      </c>
      <c r="DO3" s="93" t="s">
        <v>8</v>
      </c>
      <c r="DP3" s="93" t="s">
        <v>9</v>
      </c>
      <c r="DQ3" s="93" t="s">
        <v>10</v>
      </c>
      <c r="DR3" s="93" t="s">
        <v>89</v>
      </c>
      <c r="DS3" s="93" t="s">
        <v>90</v>
      </c>
      <c r="DT3" s="93" t="s">
        <v>94</v>
      </c>
      <c r="DU3" s="93" t="s">
        <v>95</v>
      </c>
      <c r="DV3" s="93" t="s">
        <v>96</v>
      </c>
      <c r="DW3" s="93" t="s">
        <v>97</v>
      </c>
      <c r="DX3" s="93" t="s">
        <v>98</v>
      </c>
      <c r="DY3" s="93" t="s">
        <v>99</v>
      </c>
      <c r="DZ3" s="93" t="s">
        <v>93</v>
      </c>
      <c r="EA3" s="93" t="s">
        <v>8</v>
      </c>
      <c r="EB3" s="93" t="s">
        <v>9</v>
      </c>
      <c r="EC3" s="93" t="s">
        <v>10</v>
      </c>
      <c r="ED3" s="93" t="s">
        <v>89</v>
      </c>
      <c r="EE3" s="93" t="s">
        <v>90</v>
      </c>
      <c r="EF3" s="93" t="s">
        <v>94</v>
      </c>
      <c r="EG3" s="93" t="s">
        <v>95</v>
      </c>
      <c r="EH3" s="93" t="s">
        <v>96</v>
      </c>
      <c r="EI3" s="93" t="s">
        <v>97</v>
      </c>
      <c r="EJ3" s="93" t="s">
        <v>98</v>
      </c>
      <c r="EK3" s="94" t="s">
        <v>99</v>
      </c>
    </row>
    <row r="4" spans="1:141" x14ac:dyDescent="0.35">
      <c r="A4" s="83" t="s">
        <v>150</v>
      </c>
      <c r="B4" s="86" t="s">
        <v>150</v>
      </c>
      <c r="C4" s="24"/>
      <c r="D4" s="19">
        <v>3.0000000000000001E-3</v>
      </c>
      <c r="E4" s="89">
        <v>2.5000000000000001E-2</v>
      </c>
      <c r="F4" s="18">
        <v>-60</v>
      </c>
      <c r="G4" s="141">
        <v>7.5</v>
      </c>
      <c r="H4" s="140">
        <v>1</v>
      </c>
      <c r="I4" s="140">
        <v>50</v>
      </c>
      <c r="J4" s="140">
        <v>0</v>
      </c>
      <c r="K4" s="140">
        <v>-42.1</v>
      </c>
      <c r="L4" s="140">
        <v>4.8</v>
      </c>
      <c r="M4" s="140">
        <v>3</v>
      </c>
      <c r="N4" s="140">
        <v>1.5E-3</v>
      </c>
      <c r="O4" s="140">
        <v>4.4999999999999999E-4</v>
      </c>
      <c r="P4" s="140">
        <v>-32.700000000000003</v>
      </c>
      <c r="Q4" s="140">
        <v>1.85</v>
      </c>
      <c r="R4" s="140">
        <v>1</v>
      </c>
      <c r="S4" s="140"/>
      <c r="T4" s="140"/>
      <c r="U4" s="140"/>
      <c r="V4" s="140">
        <v>0</v>
      </c>
      <c r="W4" s="140">
        <v>-51.5</v>
      </c>
      <c r="X4" s="140">
        <v>9.1999999999999993</v>
      </c>
      <c r="Y4" s="140">
        <v>1</v>
      </c>
      <c r="Z4" s="140">
        <v>0.01</v>
      </c>
      <c r="AA4" s="140">
        <v>2.3999999999999998E-3</v>
      </c>
      <c r="AB4" s="140">
        <v>-39.200000000000003</v>
      </c>
      <c r="AC4" s="140">
        <v>3.5</v>
      </c>
      <c r="AD4" s="140">
        <v>1</v>
      </c>
      <c r="AE4" s="140"/>
      <c r="AF4" s="140"/>
      <c r="AG4" s="142"/>
      <c r="AH4" s="141">
        <v>50</v>
      </c>
      <c r="AI4" s="140">
        <v>4</v>
      </c>
      <c r="AJ4" s="140">
        <v>-70</v>
      </c>
      <c r="AK4" s="140">
        <v>0</v>
      </c>
      <c r="AL4" s="140">
        <v>-26.4</v>
      </c>
      <c r="AM4" s="140">
        <v>8.8000000000000007</v>
      </c>
      <c r="AN4" s="140">
        <v>1</v>
      </c>
      <c r="AO4" s="140">
        <v>2.7E-2</v>
      </c>
      <c r="AP4" s="140">
        <v>2.16E-3</v>
      </c>
      <c r="AQ4" s="140">
        <v>-24</v>
      </c>
      <c r="AR4" s="140">
        <v>11.7</v>
      </c>
      <c r="AS4" s="140">
        <v>1</v>
      </c>
      <c r="AT4" s="140"/>
      <c r="AU4" s="140"/>
      <c r="AV4" s="140"/>
      <c r="AW4" s="140">
        <v>0.15</v>
      </c>
      <c r="AX4" s="140">
        <v>-16.399999999999999</v>
      </c>
      <c r="AY4" s="140">
        <v>1.5</v>
      </c>
      <c r="AZ4" s="140">
        <v>2</v>
      </c>
      <c r="BA4" s="140">
        <v>0.2</v>
      </c>
      <c r="BB4" s="140">
        <v>0.02</v>
      </c>
      <c r="BC4" s="140">
        <v>-24</v>
      </c>
      <c r="BD4" s="140">
        <v>8.3000000000000007</v>
      </c>
      <c r="BE4" s="140">
        <v>1</v>
      </c>
      <c r="BF4" s="140"/>
      <c r="BG4" s="140"/>
      <c r="BH4" s="142"/>
      <c r="BI4" s="141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2"/>
      <c r="CJ4" s="141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  <c r="DA4" s="140"/>
      <c r="DB4" s="140"/>
      <c r="DC4" s="140"/>
      <c r="DD4" s="140"/>
      <c r="DE4" s="140"/>
      <c r="DF4" s="140"/>
      <c r="DG4" s="140"/>
      <c r="DH4" s="140"/>
      <c r="DI4" s="140"/>
      <c r="DJ4" s="142"/>
      <c r="DK4" s="141"/>
      <c r="DL4" s="140"/>
      <c r="DM4" s="140"/>
      <c r="DN4" s="140"/>
      <c r="DO4" s="140"/>
      <c r="DP4" s="140"/>
      <c r="DQ4" s="140"/>
      <c r="DR4" s="140"/>
      <c r="DS4" s="140"/>
      <c r="DT4" s="140"/>
      <c r="DU4" s="140"/>
      <c r="DV4" s="140"/>
      <c r="DW4" s="140"/>
      <c r="DX4" s="140"/>
      <c r="DY4" s="140"/>
      <c r="DZ4" s="140"/>
      <c r="EA4" s="140"/>
      <c r="EB4" s="140"/>
      <c r="EC4" s="140"/>
      <c r="ED4" s="140"/>
      <c r="EE4" s="140"/>
      <c r="EF4" s="140"/>
      <c r="EG4" s="140"/>
      <c r="EH4" s="140"/>
      <c r="EI4" s="140"/>
      <c r="EJ4" s="140"/>
      <c r="EK4" s="142"/>
    </row>
    <row r="5" spans="1:141" x14ac:dyDescent="0.35">
      <c r="A5" s="83" t="s">
        <v>154</v>
      </c>
      <c r="B5" s="86" t="s">
        <v>154</v>
      </c>
      <c r="C5" s="24"/>
      <c r="D5" s="19">
        <v>3.0000000000000001E-3</v>
      </c>
      <c r="E5" s="43">
        <v>1.1999999999999999E-3</v>
      </c>
      <c r="F5" s="19">
        <v>-60</v>
      </c>
      <c r="G5" s="43">
        <v>7.5</v>
      </c>
      <c r="H5" s="17">
        <v>1</v>
      </c>
      <c r="I5" s="17">
        <v>50</v>
      </c>
      <c r="J5" s="17">
        <v>0</v>
      </c>
      <c r="K5" s="17">
        <v>-42.1</v>
      </c>
      <c r="L5" s="17">
        <v>4.8</v>
      </c>
      <c r="M5" s="17">
        <v>3</v>
      </c>
      <c r="N5" s="17">
        <v>1.5E-3</v>
      </c>
      <c r="O5" s="17">
        <v>4.4999999999999999E-4</v>
      </c>
      <c r="P5" s="17">
        <v>-32.700000000000003</v>
      </c>
      <c r="Q5" s="17">
        <v>1.85</v>
      </c>
      <c r="R5" s="17">
        <v>1</v>
      </c>
      <c r="S5" s="17"/>
      <c r="T5" s="17"/>
      <c r="U5" s="17"/>
      <c r="V5" s="17">
        <v>0</v>
      </c>
      <c r="W5" s="17">
        <v>-51.5</v>
      </c>
      <c r="X5" s="17">
        <v>9.1999999999999993</v>
      </c>
      <c r="Y5" s="17">
        <v>1</v>
      </c>
      <c r="Z5" s="17">
        <v>0.01</v>
      </c>
      <c r="AA5" s="17">
        <v>2.3999999999999998E-3</v>
      </c>
      <c r="AB5" s="17">
        <v>-39.200000000000003</v>
      </c>
      <c r="AC5" s="17">
        <v>3.5</v>
      </c>
      <c r="AD5" s="17">
        <v>1</v>
      </c>
      <c r="AE5" s="17"/>
      <c r="AF5" s="17"/>
      <c r="AG5" s="19"/>
      <c r="AH5" s="43">
        <v>60</v>
      </c>
      <c r="AI5" s="17">
        <v>4</v>
      </c>
      <c r="AJ5" s="17">
        <v>-70</v>
      </c>
      <c r="AK5" s="17">
        <v>0</v>
      </c>
      <c r="AL5" s="17">
        <v>-26.4</v>
      </c>
      <c r="AM5" s="17">
        <v>8.8000000000000007</v>
      </c>
      <c r="AN5" s="17">
        <v>1</v>
      </c>
      <c r="AO5" s="17">
        <v>2.7E-2</v>
      </c>
      <c r="AP5" s="17">
        <v>2.16E-3</v>
      </c>
      <c r="AQ5" s="17">
        <v>-24</v>
      </c>
      <c r="AR5" s="17">
        <v>11.7</v>
      </c>
      <c r="AS5" s="17">
        <v>1</v>
      </c>
      <c r="AT5" s="17"/>
      <c r="AU5" s="17"/>
      <c r="AV5" s="17"/>
      <c r="AW5" s="17">
        <v>0.15</v>
      </c>
      <c r="AX5" s="17">
        <v>-16.399999999999999</v>
      </c>
      <c r="AY5" s="17">
        <v>1.5</v>
      </c>
      <c r="AZ5" s="17">
        <v>2</v>
      </c>
      <c r="BA5" s="17">
        <v>0.2</v>
      </c>
      <c r="BB5" s="17">
        <v>0.02</v>
      </c>
      <c r="BC5" s="17">
        <v>-24</v>
      </c>
      <c r="BD5" s="17">
        <v>8.3000000000000007</v>
      </c>
      <c r="BE5" s="17">
        <v>1</v>
      </c>
      <c r="BF5" s="17"/>
      <c r="BG5" s="17"/>
      <c r="BH5" s="19"/>
      <c r="BI5" s="43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9"/>
      <c r="CJ5" s="43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9"/>
      <c r="DK5" s="43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9"/>
    </row>
    <row r="6" spans="1:141" x14ac:dyDescent="0.35">
      <c r="A6" s="83" t="s">
        <v>155</v>
      </c>
      <c r="B6" s="86" t="s">
        <v>155</v>
      </c>
      <c r="C6" s="24"/>
      <c r="D6" s="19">
        <v>1.0999999999999999E-2</v>
      </c>
      <c r="E6" s="43">
        <v>0.37</v>
      </c>
      <c r="F6" s="19">
        <v>-60</v>
      </c>
      <c r="G6" s="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  <c r="AH6" s="43">
        <v>9.5</v>
      </c>
      <c r="AI6" s="17">
        <v>1</v>
      </c>
      <c r="AJ6" s="17">
        <v>-85</v>
      </c>
      <c r="AK6" s="17">
        <v>0</v>
      </c>
      <c r="AL6" s="17">
        <v>-14</v>
      </c>
      <c r="AM6" s="17">
        <v>20</v>
      </c>
      <c r="AN6" s="17">
        <v>3</v>
      </c>
      <c r="AO6" s="17">
        <v>0.02</v>
      </c>
      <c r="AP6" s="17">
        <v>2.7500000000000002E-4</v>
      </c>
      <c r="AQ6" s="17">
        <v>-88</v>
      </c>
      <c r="AR6" s="17">
        <v>30</v>
      </c>
      <c r="AS6" s="17">
        <v>1</v>
      </c>
      <c r="AT6" s="17">
        <v>-50</v>
      </c>
      <c r="AU6" s="17">
        <v>-5</v>
      </c>
      <c r="AV6" s="17">
        <v>1</v>
      </c>
      <c r="AW6" s="17">
        <v>0</v>
      </c>
      <c r="AX6" s="17">
        <v>-30</v>
      </c>
      <c r="AY6" s="17">
        <v>11</v>
      </c>
      <c r="AZ6" s="17">
        <v>1</v>
      </c>
      <c r="BA6" s="17">
        <v>0.33</v>
      </c>
      <c r="BB6" s="17">
        <v>8.0000000000000002E-3</v>
      </c>
      <c r="BC6" s="17">
        <v>-80</v>
      </c>
      <c r="BD6" s="17">
        <v>70</v>
      </c>
      <c r="BE6" s="17">
        <v>1</v>
      </c>
      <c r="BF6" s="17">
        <v>-73</v>
      </c>
      <c r="BG6" s="17">
        <v>-9</v>
      </c>
      <c r="BH6" s="19">
        <v>1</v>
      </c>
      <c r="BI6" s="43">
        <v>15</v>
      </c>
      <c r="BJ6" s="17">
        <v>1</v>
      </c>
      <c r="BK6" s="17">
        <v>-70</v>
      </c>
      <c r="BL6" s="17">
        <v>0</v>
      </c>
      <c r="BM6" s="17">
        <v>6</v>
      </c>
      <c r="BN6" s="17">
        <v>14</v>
      </c>
      <c r="BO6" s="17">
        <v>1</v>
      </c>
      <c r="BP6" s="17">
        <v>1.4E-2</v>
      </c>
      <c r="BQ6" s="17">
        <v>3.0000000000000001E-3</v>
      </c>
      <c r="BR6" s="17">
        <v>20</v>
      </c>
      <c r="BS6" s="17">
        <v>7</v>
      </c>
      <c r="BT6" s="17">
        <v>1</v>
      </c>
      <c r="BU6" s="17">
        <v>-15</v>
      </c>
      <c r="BV6" s="17">
        <v>-6</v>
      </c>
      <c r="BW6" s="17">
        <v>1</v>
      </c>
      <c r="BX6" s="17">
        <v>0</v>
      </c>
      <c r="BY6" s="17">
        <v>-31</v>
      </c>
      <c r="BZ6" s="17">
        <v>7</v>
      </c>
      <c r="CA6" s="17">
        <v>1</v>
      </c>
      <c r="CB6" s="17">
        <v>0.875</v>
      </c>
      <c r="CC6" s="17">
        <v>0.11</v>
      </c>
      <c r="CD6" s="17">
        <v>-15</v>
      </c>
      <c r="CE6" s="17">
        <v>6</v>
      </c>
      <c r="CF6" s="17">
        <v>1</v>
      </c>
      <c r="CG6" s="17">
        <v>-73</v>
      </c>
      <c r="CH6" s="17">
        <v>-9</v>
      </c>
      <c r="CI6" s="19">
        <v>1</v>
      </c>
      <c r="CJ6" s="43">
        <v>5</v>
      </c>
      <c r="CK6" s="17">
        <v>1</v>
      </c>
      <c r="CL6" s="17">
        <v>-35</v>
      </c>
      <c r="CM6" s="17">
        <v>0</v>
      </c>
      <c r="CN6" s="17">
        <v>19</v>
      </c>
      <c r="CO6" s="17">
        <v>11</v>
      </c>
      <c r="CP6" s="17">
        <v>1</v>
      </c>
      <c r="CQ6" s="17">
        <v>1.4E-2</v>
      </c>
      <c r="CR6" s="17">
        <v>3.0000000000000001E-3</v>
      </c>
      <c r="CS6" s="17">
        <v>20</v>
      </c>
      <c r="CT6" s="17">
        <v>7</v>
      </c>
      <c r="CU6" s="17">
        <v>1</v>
      </c>
      <c r="CV6" s="17">
        <v>-15</v>
      </c>
      <c r="CW6" s="17">
        <v>-6</v>
      </c>
      <c r="CX6" s="17">
        <v>1</v>
      </c>
      <c r="CY6" s="17">
        <v>0</v>
      </c>
      <c r="CZ6" s="17">
        <v>1000</v>
      </c>
      <c r="DA6" s="17">
        <v>7</v>
      </c>
      <c r="DB6" s="17">
        <v>1</v>
      </c>
      <c r="DC6" s="17"/>
      <c r="DD6" s="17"/>
      <c r="DE6" s="17"/>
      <c r="DF6" s="17"/>
      <c r="DG6" s="17"/>
      <c r="DH6" s="17"/>
      <c r="DI6" s="17"/>
      <c r="DJ6" s="19"/>
      <c r="DK6" s="43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9"/>
    </row>
    <row r="7" spans="1:141" x14ac:dyDescent="0.35">
      <c r="A7" s="83" t="s">
        <v>156</v>
      </c>
      <c r="B7" s="86" t="s">
        <v>156</v>
      </c>
      <c r="C7" s="24"/>
      <c r="D7" s="19">
        <v>3.0000000000000001E-3</v>
      </c>
      <c r="E7" s="43">
        <v>0.05</v>
      </c>
      <c r="F7" s="19">
        <v>-60</v>
      </c>
      <c r="G7" s="43">
        <v>0.9</v>
      </c>
      <c r="H7" s="17">
        <v>1</v>
      </c>
      <c r="I7" s="17">
        <v>50</v>
      </c>
      <c r="J7" s="17">
        <v>0</v>
      </c>
      <c r="K7" s="17">
        <v>-42.1</v>
      </c>
      <c r="L7" s="17">
        <v>4.8</v>
      </c>
      <c r="M7" s="17">
        <v>3</v>
      </c>
      <c r="N7" s="17">
        <v>1.5E-3</v>
      </c>
      <c r="O7" s="17">
        <v>4.4999999999999999E-4</v>
      </c>
      <c r="P7" s="17">
        <v>-32.700000000000003</v>
      </c>
      <c r="Q7" s="17">
        <v>1.85</v>
      </c>
      <c r="R7" s="17">
        <v>1</v>
      </c>
      <c r="S7" s="17"/>
      <c r="T7" s="17"/>
      <c r="U7" s="17"/>
      <c r="V7" s="17">
        <v>0</v>
      </c>
      <c r="W7" s="17">
        <v>-51.5</v>
      </c>
      <c r="X7" s="17">
        <v>9.1999999999999993</v>
      </c>
      <c r="Y7" s="17">
        <v>1</v>
      </c>
      <c r="Z7" s="17">
        <v>0.01</v>
      </c>
      <c r="AA7" s="17">
        <v>2.3999999999999998E-3</v>
      </c>
      <c r="AB7" s="17">
        <v>-39.200000000000003</v>
      </c>
      <c r="AC7" s="17">
        <v>3.5</v>
      </c>
      <c r="AD7" s="17">
        <v>1</v>
      </c>
      <c r="AE7" s="17"/>
      <c r="AF7" s="17"/>
      <c r="AG7" s="19"/>
      <c r="AH7" s="43">
        <v>3</v>
      </c>
      <c r="AI7" s="17">
        <v>4</v>
      </c>
      <c r="AJ7" s="17">
        <v>-70</v>
      </c>
      <c r="AK7" s="17">
        <v>0</v>
      </c>
      <c r="AL7" s="17">
        <v>-33</v>
      </c>
      <c r="AM7" s="17">
        <v>8.8000000000000007</v>
      </c>
      <c r="AN7" s="17">
        <v>1</v>
      </c>
      <c r="AO7" s="17">
        <v>2.7E-2</v>
      </c>
      <c r="AP7" s="17">
        <v>3.0000000000000001E-3</v>
      </c>
      <c r="AQ7" s="17">
        <v>-24</v>
      </c>
      <c r="AR7" s="17">
        <v>11.7</v>
      </c>
      <c r="AS7" s="17">
        <v>1</v>
      </c>
      <c r="AT7" s="17"/>
      <c r="AU7" s="17"/>
      <c r="AV7" s="17"/>
      <c r="AW7" s="17">
        <v>0.15</v>
      </c>
      <c r="AX7" s="17">
        <v>-16.399999999999999</v>
      </c>
      <c r="AY7" s="17">
        <v>1.5</v>
      </c>
      <c r="AZ7" s="17">
        <v>2</v>
      </c>
      <c r="BA7" s="17">
        <v>0.2</v>
      </c>
      <c r="BB7" s="17">
        <v>0.02</v>
      </c>
      <c r="BC7" s="17">
        <v>-24</v>
      </c>
      <c r="BD7" s="17">
        <v>8.3000000000000007</v>
      </c>
      <c r="BE7" s="17">
        <v>1</v>
      </c>
      <c r="BF7" s="17"/>
      <c r="BG7" s="17"/>
      <c r="BH7" s="19"/>
      <c r="BI7" s="43">
        <v>70</v>
      </c>
      <c r="BJ7" s="17">
        <v>4</v>
      </c>
      <c r="BK7" s="17">
        <v>-70</v>
      </c>
      <c r="BL7" s="17">
        <v>0</v>
      </c>
      <c r="BM7" s="17">
        <v>-19</v>
      </c>
      <c r="BN7" s="17">
        <v>8.8000000000000007</v>
      </c>
      <c r="BO7" s="17">
        <v>1</v>
      </c>
      <c r="BP7" s="17">
        <v>0.27</v>
      </c>
      <c r="BQ7" s="17">
        <v>2.1600000000000001E-2</v>
      </c>
      <c r="BR7" s="17">
        <v>-24</v>
      </c>
      <c r="BS7" s="17">
        <v>11.7</v>
      </c>
      <c r="BT7" s="17">
        <v>1</v>
      </c>
      <c r="BU7" s="17"/>
      <c r="BV7" s="17"/>
      <c r="BW7" s="17"/>
      <c r="BX7" s="17">
        <v>0.15</v>
      </c>
      <c r="BY7" s="17">
        <v>-16.399999999999999</v>
      </c>
      <c r="BZ7" s="17">
        <v>1.5</v>
      </c>
      <c r="CA7" s="17">
        <v>2</v>
      </c>
      <c r="CB7" s="17">
        <v>2</v>
      </c>
      <c r="CC7" s="17">
        <v>0.2</v>
      </c>
      <c r="CD7" s="17">
        <v>-24</v>
      </c>
      <c r="CE7" s="17">
        <v>8.3000000000000007</v>
      </c>
      <c r="CF7" s="17">
        <v>1</v>
      </c>
      <c r="CG7" s="17"/>
      <c r="CH7" s="17"/>
      <c r="CI7" s="19"/>
      <c r="CJ7" s="43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9"/>
      <c r="DK7" s="43">
        <v>4.5999999999999996</v>
      </c>
      <c r="DL7" s="17">
        <v>3</v>
      </c>
      <c r="DM7" s="17">
        <v>50</v>
      </c>
      <c r="DN7" s="17">
        <v>0</v>
      </c>
      <c r="DO7" s="17">
        <v>-48</v>
      </c>
      <c r="DP7" s="17">
        <v>4</v>
      </c>
      <c r="DQ7" s="17">
        <v>2</v>
      </c>
      <c r="DR7" s="17">
        <v>0.16</v>
      </c>
      <c r="DS7" s="17">
        <v>1.4999999999999999E-4</v>
      </c>
      <c r="DT7" s="17">
        <v>-30</v>
      </c>
      <c r="DU7" s="17">
        <v>4</v>
      </c>
      <c r="DV7" s="17">
        <v>4</v>
      </c>
      <c r="DW7" s="17">
        <v>-50</v>
      </c>
      <c r="DX7" s="17">
        <v>-4</v>
      </c>
      <c r="DY7" s="17">
        <v>4</v>
      </c>
      <c r="DZ7" s="17">
        <v>0</v>
      </c>
      <c r="EA7" s="17">
        <v>-57</v>
      </c>
      <c r="EB7" s="17">
        <v>5</v>
      </c>
      <c r="EC7" s="17">
        <v>2</v>
      </c>
      <c r="ED7" s="17">
        <v>2</v>
      </c>
      <c r="EE7" s="17">
        <v>0.2</v>
      </c>
      <c r="EF7" s="17">
        <v>-44</v>
      </c>
      <c r="EG7" s="17">
        <v>-3</v>
      </c>
      <c r="EH7" s="17">
        <v>4</v>
      </c>
      <c r="EI7" s="17"/>
      <c r="EJ7" s="17"/>
      <c r="EK7" s="19"/>
    </row>
    <row r="8" spans="1:141" x14ac:dyDescent="0.35">
      <c r="A8" s="83" t="s">
        <v>157</v>
      </c>
      <c r="B8" s="86" t="s">
        <v>157</v>
      </c>
      <c r="C8" s="24"/>
      <c r="D8" s="19">
        <v>3.0000000000000001E-3</v>
      </c>
      <c r="E8" s="43">
        <v>0.03</v>
      </c>
      <c r="F8" s="19">
        <v>-60</v>
      </c>
      <c r="G8" s="43">
        <v>4</v>
      </c>
      <c r="H8" s="17">
        <v>1</v>
      </c>
      <c r="I8" s="17">
        <v>50</v>
      </c>
      <c r="J8" s="17">
        <v>0</v>
      </c>
      <c r="K8" s="17">
        <v>-42.1</v>
      </c>
      <c r="L8" s="17">
        <v>4.8</v>
      </c>
      <c r="M8" s="17">
        <v>3</v>
      </c>
      <c r="N8" s="17">
        <v>1.5E-3</v>
      </c>
      <c r="O8" s="17">
        <v>4.4999999999999999E-4</v>
      </c>
      <c r="P8" s="17">
        <v>-32.700000000000003</v>
      </c>
      <c r="Q8" s="17">
        <v>1.85</v>
      </c>
      <c r="R8" s="17">
        <v>1</v>
      </c>
      <c r="S8" s="17"/>
      <c r="T8" s="17"/>
      <c r="U8" s="17"/>
      <c r="V8" s="17">
        <v>0</v>
      </c>
      <c r="W8" s="17">
        <v>-51.5</v>
      </c>
      <c r="X8" s="17">
        <v>9.1999999999999993</v>
      </c>
      <c r="Y8" s="17">
        <v>1</v>
      </c>
      <c r="Z8" s="17">
        <v>0.01</v>
      </c>
      <c r="AA8" s="17">
        <v>2.3999999999999998E-3</v>
      </c>
      <c r="AB8" s="17">
        <v>-39.200000000000003</v>
      </c>
      <c r="AC8" s="17">
        <v>3.5</v>
      </c>
      <c r="AD8" s="17">
        <v>1</v>
      </c>
      <c r="AE8" s="17"/>
      <c r="AF8" s="17"/>
      <c r="AG8" s="19"/>
      <c r="AH8" s="43">
        <v>19</v>
      </c>
      <c r="AI8" s="17">
        <v>4</v>
      </c>
      <c r="AJ8" s="17">
        <v>-70</v>
      </c>
      <c r="AK8" s="17">
        <v>0</v>
      </c>
      <c r="AL8" s="17">
        <v>-33</v>
      </c>
      <c r="AM8" s="17">
        <v>8.8000000000000007</v>
      </c>
      <c r="AN8" s="17">
        <v>1</v>
      </c>
      <c r="AO8" s="17">
        <v>2.7E-2</v>
      </c>
      <c r="AP8" s="17">
        <v>3.0000000000000001E-3</v>
      </c>
      <c r="AQ8" s="17">
        <v>-24</v>
      </c>
      <c r="AR8" s="17">
        <v>11.7</v>
      </c>
      <c r="AS8" s="17">
        <v>1</v>
      </c>
      <c r="AT8" s="17"/>
      <c r="AU8" s="17"/>
      <c r="AV8" s="17"/>
      <c r="AW8" s="17">
        <v>0.15</v>
      </c>
      <c r="AX8" s="17">
        <v>-16.399999999999999</v>
      </c>
      <c r="AY8" s="17">
        <v>1.5</v>
      </c>
      <c r="AZ8" s="17">
        <v>2</v>
      </c>
      <c r="BA8" s="17">
        <v>0.2</v>
      </c>
      <c r="BB8" s="17">
        <v>0.02</v>
      </c>
      <c r="BC8" s="17">
        <v>-24</v>
      </c>
      <c r="BD8" s="17">
        <v>8.3000000000000007</v>
      </c>
      <c r="BE8" s="17">
        <v>1</v>
      </c>
      <c r="BF8" s="17"/>
      <c r="BG8" s="17"/>
      <c r="BH8" s="19"/>
      <c r="BI8" s="43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9"/>
      <c r="CJ8" s="43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9"/>
      <c r="DK8" s="43">
        <v>0.01</v>
      </c>
      <c r="DL8" s="17">
        <v>3</v>
      </c>
      <c r="DM8" s="17">
        <v>50</v>
      </c>
      <c r="DN8" s="17">
        <v>0</v>
      </c>
      <c r="DO8" s="17">
        <v>-48</v>
      </c>
      <c r="DP8" s="17">
        <v>4</v>
      </c>
      <c r="DQ8" s="17">
        <v>2</v>
      </c>
      <c r="DR8" s="17">
        <v>5.0000000000000001E-3</v>
      </c>
      <c r="DS8" s="17">
        <v>0.04</v>
      </c>
      <c r="DT8" s="17">
        <v>-56</v>
      </c>
      <c r="DU8" s="17">
        <v>-3</v>
      </c>
      <c r="DV8" s="17">
        <v>4</v>
      </c>
      <c r="DW8" s="17">
        <v>-30</v>
      </c>
      <c r="DX8" s="17">
        <v>-3</v>
      </c>
      <c r="DY8" s="17">
        <v>4</v>
      </c>
      <c r="DZ8" s="17">
        <v>0</v>
      </c>
      <c r="EA8" s="17">
        <v>-56</v>
      </c>
      <c r="EB8" s="17">
        <v>5</v>
      </c>
      <c r="EC8" s="17">
        <v>2</v>
      </c>
      <c r="ED8" s="17">
        <v>3</v>
      </c>
      <c r="EE8" s="17">
        <v>0.05</v>
      </c>
      <c r="EF8" s="17">
        <v>-40</v>
      </c>
      <c r="EG8" s="17">
        <v>-2</v>
      </c>
      <c r="EH8" s="17">
        <v>4</v>
      </c>
      <c r="EI8" s="17"/>
      <c r="EJ8" s="17"/>
      <c r="EK8" s="19"/>
    </row>
    <row r="9" spans="1:141" x14ac:dyDescent="0.35">
      <c r="A9" s="83" t="s">
        <v>158</v>
      </c>
      <c r="B9" s="86" t="s">
        <v>158</v>
      </c>
      <c r="C9" s="24"/>
      <c r="D9" s="19">
        <v>3.0000000000000001E-3</v>
      </c>
      <c r="E9" s="43">
        <v>2.5000000000000001E-2</v>
      </c>
      <c r="F9" s="19">
        <v>-60</v>
      </c>
      <c r="G9" s="43">
        <v>7.5</v>
      </c>
      <c r="H9" s="17">
        <v>1</v>
      </c>
      <c r="I9" s="17">
        <v>50</v>
      </c>
      <c r="J9" s="17">
        <v>0</v>
      </c>
      <c r="K9" s="17">
        <v>-42.1</v>
      </c>
      <c r="L9" s="17">
        <v>4.8</v>
      </c>
      <c r="M9" s="17">
        <v>3</v>
      </c>
      <c r="N9" s="17">
        <v>1.5E-3</v>
      </c>
      <c r="O9" s="17">
        <v>4.4999999999999999E-4</v>
      </c>
      <c r="P9" s="17">
        <v>-32.700000000000003</v>
      </c>
      <c r="Q9" s="17">
        <v>1.85</v>
      </c>
      <c r="R9" s="17">
        <v>1</v>
      </c>
      <c r="S9" s="17"/>
      <c r="T9" s="17"/>
      <c r="U9" s="17"/>
      <c r="V9" s="17">
        <v>0</v>
      </c>
      <c r="W9" s="17">
        <v>-51.5</v>
      </c>
      <c r="X9" s="17">
        <v>9.1999999999999993</v>
      </c>
      <c r="Y9" s="17">
        <v>1</v>
      </c>
      <c r="Z9" s="17">
        <v>0.01</v>
      </c>
      <c r="AA9" s="17">
        <v>2.3999999999999998E-3</v>
      </c>
      <c r="AB9" s="17">
        <v>-39.200000000000003</v>
      </c>
      <c r="AC9" s="17">
        <v>3.5</v>
      </c>
      <c r="AD9" s="17">
        <v>1</v>
      </c>
      <c r="AE9" s="17"/>
      <c r="AF9" s="17"/>
      <c r="AG9" s="19"/>
      <c r="AH9" s="43">
        <v>50</v>
      </c>
      <c r="AI9" s="17">
        <v>4</v>
      </c>
      <c r="AJ9" s="17">
        <v>-70</v>
      </c>
      <c r="AK9" s="17">
        <v>0</v>
      </c>
      <c r="AL9" s="17">
        <v>-26.4</v>
      </c>
      <c r="AM9" s="17">
        <v>8.8000000000000007</v>
      </c>
      <c r="AN9" s="17">
        <v>1</v>
      </c>
      <c r="AO9" s="17">
        <v>2.7E-2</v>
      </c>
      <c r="AP9" s="17">
        <v>2.16E-3</v>
      </c>
      <c r="AQ9" s="17">
        <v>-24</v>
      </c>
      <c r="AR9" s="17">
        <v>11.7</v>
      </c>
      <c r="AS9" s="17">
        <v>1</v>
      </c>
      <c r="AT9" s="17"/>
      <c r="AU9" s="17"/>
      <c r="AV9" s="17"/>
      <c r="AW9" s="17">
        <v>0.15</v>
      </c>
      <c r="AX9" s="17">
        <v>-16.399999999999999</v>
      </c>
      <c r="AY9" s="17">
        <v>1.5</v>
      </c>
      <c r="AZ9" s="17">
        <v>2</v>
      </c>
      <c r="BA9" s="17">
        <v>0.2</v>
      </c>
      <c r="BB9" s="17">
        <v>0.02</v>
      </c>
      <c r="BC9" s="17">
        <v>-24</v>
      </c>
      <c r="BD9" s="17">
        <v>8.3000000000000007</v>
      </c>
      <c r="BE9" s="17">
        <v>1</v>
      </c>
      <c r="BF9" s="17"/>
      <c r="BG9" s="17"/>
      <c r="BH9" s="19"/>
      <c r="BI9" s="43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9"/>
      <c r="CJ9" s="43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9"/>
      <c r="DK9" s="43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9"/>
    </row>
    <row r="10" spans="1:141" x14ac:dyDescent="0.35">
      <c r="A10" s="83" t="s">
        <v>159</v>
      </c>
      <c r="B10" s="86" t="s">
        <v>159</v>
      </c>
      <c r="C10" s="24"/>
      <c r="D10" s="19">
        <v>3.0000000000000001E-3</v>
      </c>
      <c r="E10" s="43">
        <v>1.1999999999999999E-3</v>
      </c>
      <c r="F10" s="19">
        <v>-60</v>
      </c>
      <c r="G10" s="43">
        <v>7.5</v>
      </c>
      <c r="H10" s="17">
        <v>1</v>
      </c>
      <c r="I10" s="17">
        <v>50</v>
      </c>
      <c r="J10" s="17">
        <v>0</v>
      </c>
      <c r="K10" s="17">
        <v>-42.1</v>
      </c>
      <c r="L10" s="17">
        <v>4.8</v>
      </c>
      <c r="M10" s="17">
        <v>3</v>
      </c>
      <c r="N10" s="17">
        <v>1.5E-3</v>
      </c>
      <c r="O10" s="17">
        <v>4.4999999999999999E-4</v>
      </c>
      <c r="P10" s="17">
        <v>-32.700000000000003</v>
      </c>
      <c r="Q10" s="17">
        <v>1.85</v>
      </c>
      <c r="R10" s="17">
        <v>1</v>
      </c>
      <c r="S10" s="17"/>
      <c r="T10" s="17"/>
      <c r="U10" s="17"/>
      <c r="V10" s="17">
        <v>0</v>
      </c>
      <c r="W10" s="17">
        <v>-51.5</v>
      </c>
      <c r="X10" s="17">
        <v>9.1999999999999993</v>
      </c>
      <c r="Y10" s="17">
        <v>1</v>
      </c>
      <c r="Z10" s="17">
        <v>0.01</v>
      </c>
      <c r="AA10" s="17">
        <v>2.3999999999999998E-3</v>
      </c>
      <c r="AB10" s="17">
        <v>-39.200000000000003</v>
      </c>
      <c r="AC10" s="17">
        <v>3.5</v>
      </c>
      <c r="AD10" s="17">
        <v>1</v>
      </c>
      <c r="AE10" s="17"/>
      <c r="AF10" s="17"/>
      <c r="AG10" s="19"/>
      <c r="AH10" s="43">
        <v>60</v>
      </c>
      <c r="AI10" s="17">
        <v>4</v>
      </c>
      <c r="AJ10" s="17">
        <v>-70</v>
      </c>
      <c r="AK10" s="17">
        <v>0</v>
      </c>
      <c r="AL10" s="17">
        <v>-26.4</v>
      </c>
      <c r="AM10" s="17">
        <v>8.8000000000000007</v>
      </c>
      <c r="AN10" s="17">
        <v>1</v>
      </c>
      <c r="AO10" s="17">
        <v>2.7E-2</v>
      </c>
      <c r="AP10" s="17">
        <v>2.16E-3</v>
      </c>
      <c r="AQ10" s="17">
        <v>-24</v>
      </c>
      <c r="AR10" s="17">
        <v>11.7</v>
      </c>
      <c r="AS10" s="17">
        <v>1</v>
      </c>
      <c r="AT10" s="17"/>
      <c r="AU10" s="17"/>
      <c r="AV10" s="17"/>
      <c r="AW10" s="17">
        <v>0.15</v>
      </c>
      <c r="AX10" s="17">
        <v>-16.399999999999999</v>
      </c>
      <c r="AY10" s="17">
        <v>1.5</v>
      </c>
      <c r="AZ10" s="17">
        <v>2</v>
      </c>
      <c r="BA10" s="17">
        <v>0.2</v>
      </c>
      <c r="BB10" s="17">
        <v>0.02</v>
      </c>
      <c r="BC10" s="17">
        <v>-24</v>
      </c>
      <c r="BD10" s="17">
        <v>8.3000000000000007</v>
      </c>
      <c r="BE10" s="17">
        <v>1</v>
      </c>
      <c r="BF10" s="17"/>
      <c r="BG10" s="17"/>
      <c r="BH10" s="19"/>
      <c r="BI10" s="43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9"/>
      <c r="CJ10" s="43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9"/>
      <c r="DK10" s="43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9"/>
    </row>
    <row r="11" spans="1:141" x14ac:dyDescent="0.35">
      <c r="A11" s="83" t="s">
        <v>160</v>
      </c>
      <c r="B11" s="86" t="s">
        <v>160</v>
      </c>
      <c r="C11" s="24"/>
      <c r="D11" s="19">
        <v>1.0999999999999999E-2</v>
      </c>
      <c r="E11" s="43">
        <v>0.37</v>
      </c>
      <c r="F11" s="19">
        <v>-60</v>
      </c>
      <c r="G11" s="43">
        <v>0.8</v>
      </c>
      <c r="H11" s="17">
        <v>3</v>
      </c>
      <c r="I11" s="17">
        <v>-2</v>
      </c>
      <c r="J11" s="17">
        <v>0</v>
      </c>
      <c r="K11" s="17">
        <v>-50</v>
      </c>
      <c r="L11" s="17">
        <v>4</v>
      </c>
      <c r="M11" s="17">
        <v>1</v>
      </c>
      <c r="N11" s="17">
        <v>1.6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9"/>
      <c r="AH11" s="43">
        <v>9.5</v>
      </c>
      <c r="AI11" s="17">
        <v>1</v>
      </c>
      <c r="AJ11" s="17">
        <v>-85</v>
      </c>
      <c r="AK11" s="17">
        <v>0</v>
      </c>
      <c r="AL11" s="17">
        <v>-14</v>
      </c>
      <c r="AM11" s="17">
        <v>20</v>
      </c>
      <c r="AN11" s="17">
        <v>3</v>
      </c>
      <c r="AO11" s="17">
        <v>0.02</v>
      </c>
      <c r="AP11" s="17">
        <v>2.7500000000000002E-4</v>
      </c>
      <c r="AQ11" s="17">
        <v>-88</v>
      </c>
      <c r="AR11" s="17">
        <v>30</v>
      </c>
      <c r="AS11" s="17">
        <v>1</v>
      </c>
      <c r="AT11" s="17">
        <v>-50</v>
      </c>
      <c r="AU11" s="17">
        <v>-5</v>
      </c>
      <c r="AV11" s="17">
        <v>1</v>
      </c>
      <c r="AW11" s="17">
        <v>0</v>
      </c>
      <c r="AX11" s="17">
        <v>-30</v>
      </c>
      <c r="AY11" s="17">
        <v>11</v>
      </c>
      <c r="AZ11" s="17">
        <v>1</v>
      </c>
      <c r="BA11" s="17">
        <v>0.33</v>
      </c>
      <c r="BB11" s="17">
        <v>8.0000000000000002E-3</v>
      </c>
      <c r="BC11" s="17">
        <v>-80</v>
      </c>
      <c r="BD11" s="17">
        <v>70</v>
      </c>
      <c r="BE11" s="17">
        <v>1</v>
      </c>
      <c r="BF11" s="17">
        <v>-73</v>
      </c>
      <c r="BG11" s="17">
        <v>-9</v>
      </c>
      <c r="BH11" s="19">
        <v>1</v>
      </c>
      <c r="BI11" s="43">
        <v>15</v>
      </c>
      <c r="BJ11" s="17">
        <v>1</v>
      </c>
      <c r="BK11" s="17">
        <v>-70</v>
      </c>
      <c r="BL11" s="17">
        <v>0</v>
      </c>
      <c r="BM11" s="17">
        <v>6</v>
      </c>
      <c r="BN11" s="17">
        <v>14</v>
      </c>
      <c r="BO11" s="17">
        <v>1</v>
      </c>
      <c r="BP11" s="17">
        <v>1.4E-2</v>
      </c>
      <c r="BQ11" s="17">
        <v>3.0000000000000001E-3</v>
      </c>
      <c r="BR11" s="17">
        <v>20</v>
      </c>
      <c r="BS11" s="17">
        <v>7</v>
      </c>
      <c r="BT11" s="17">
        <v>1</v>
      </c>
      <c r="BU11" s="17">
        <v>-15</v>
      </c>
      <c r="BV11" s="17">
        <v>-6</v>
      </c>
      <c r="BW11" s="17">
        <v>1</v>
      </c>
      <c r="BX11" s="17">
        <v>0</v>
      </c>
      <c r="BY11" s="17">
        <v>-31</v>
      </c>
      <c r="BZ11" s="17">
        <v>7</v>
      </c>
      <c r="CA11" s="17">
        <v>1</v>
      </c>
      <c r="CB11" s="17">
        <v>0.875</v>
      </c>
      <c r="CC11" s="17">
        <v>0.11</v>
      </c>
      <c r="CD11" s="17">
        <v>-15</v>
      </c>
      <c r="CE11" s="17">
        <v>6</v>
      </c>
      <c r="CF11" s="17">
        <v>1</v>
      </c>
      <c r="CG11" s="17">
        <v>-73</v>
      </c>
      <c r="CH11" s="17">
        <v>-9</v>
      </c>
      <c r="CI11" s="19">
        <v>1</v>
      </c>
      <c r="CJ11" s="43">
        <v>5</v>
      </c>
      <c r="CK11" s="17">
        <v>1</v>
      </c>
      <c r="CL11" s="17">
        <v>-35</v>
      </c>
      <c r="CM11" s="17">
        <v>0</v>
      </c>
      <c r="CN11" s="17">
        <v>19</v>
      </c>
      <c r="CO11" s="17">
        <v>11</v>
      </c>
      <c r="CP11" s="17">
        <v>1</v>
      </c>
      <c r="CQ11" s="17">
        <v>1.4E-2</v>
      </c>
      <c r="CR11" s="17">
        <v>3.0000000000000001E-3</v>
      </c>
      <c r="CS11" s="17">
        <v>20</v>
      </c>
      <c r="CT11" s="17">
        <v>7</v>
      </c>
      <c r="CU11" s="17">
        <v>1</v>
      </c>
      <c r="CV11" s="17">
        <v>-15</v>
      </c>
      <c r="CW11" s="17">
        <v>-6</v>
      </c>
      <c r="CX11" s="17">
        <v>1</v>
      </c>
      <c r="CY11" s="17">
        <v>0</v>
      </c>
      <c r="CZ11" s="17">
        <v>1000</v>
      </c>
      <c r="DA11" s="17">
        <v>7</v>
      </c>
      <c r="DB11" s="17">
        <v>1</v>
      </c>
      <c r="DC11" s="17"/>
      <c r="DD11" s="17"/>
      <c r="DE11" s="17"/>
      <c r="DF11" s="17"/>
      <c r="DG11" s="17"/>
      <c r="DH11" s="17"/>
      <c r="DI11" s="17"/>
      <c r="DJ11" s="19"/>
      <c r="DK11" s="43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9"/>
    </row>
    <row r="12" spans="1:141" x14ac:dyDescent="0.35">
      <c r="A12" s="83" t="s">
        <v>161</v>
      </c>
      <c r="B12" s="86" t="s">
        <v>161</v>
      </c>
      <c r="C12" s="24"/>
      <c r="D12" s="19">
        <v>3.0000000000000001E-3</v>
      </c>
      <c r="E12" s="43">
        <v>0.05</v>
      </c>
      <c r="F12" s="19">
        <v>-60</v>
      </c>
      <c r="G12" s="43">
        <v>0.9</v>
      </c>
      <c r="H12" s="17">
        <v>1</v>
      </c>
      <c r="I12" s="17">
        <v>50</v>
      </c>
      <c r="J12" s="17">
        <v>0</v>
      </c>
      <c r="K12" s="17">
        <v>-42.1</v>
      </c>
      <c r="L12" s="17">
        <v>4.8</v>
      </c>
      <c r="M12" s="17">
        <v>3</v>
      </c>
      <c r="N12" s="17">
        <v>1.5E-3</v>
      </c>
      <c r="O12" s="17">
        <v>4.4999999999999999E-4</v>
      </c>
      <c r="P12" s="17">
        <v>-32.700000000000003</v>
      </c>
      <c r="Q12" s="17">
        <v>1.85</v>
      </c>
      <c r="R12" s="17">
        <v>1</v>
      </c>
      <c r="S12" s="17"/>
      <c r="T12" s="17"/>
      <c r="U12" s="17"/>
      <c r="V12" s="17">
        <v>0</v>
      </c>
      <c r="W12" s="17">
        <v>-51.5</v>
      </c>
      <c r="X12" s="17">
        <v>9.1999999999999993</v>
      </c>
      <c r="Y12" s="17">
        <v>1</v>
      </c>
      <c r="Z12" s="17">
        <v>0.01</v>
      </c>
      <c r="AA12" s="17">
        <v>2.3999999999999998E-3</v>
      </c>
      <c r="AB12" s="17">
        <v>-39.200000000000003</v>
      </c>
      <c r="AC12" s="17">
        <v>3.5</v>
      </c>
      <c r="AD12" s="17">
        <v>1</v>
      </c>
      <c r="AE12" s="17"/>
      <c r="AF12" s="17"/>
      <c r="AG12" s="19"/>
      <c r="AH12" s="43">
        <v>3</v>
      </c>
      <c r="AI12" s="17">
        <v>4</v>
      </c>
      <c r="AJ12" s="17">
        <v>-70</v>
      </c>
      <c r="AK12" s="17">
        <v>0</v>
      </c>
      <c r="AL12" s="17">
        <v>-33</v>
      </c>
      <c r="AM12" s="17">
        <v>8.8000000000000007</v>
      </c>
      <c r="AN12" s="17">
        <v>1</v>
      </c>
      <c r="AO12" s="17">
        <v>2.7E-2</v>
      </c>
      <c r="AP12" s="17">
        <v>3.0000000000000001E-3</v>
      </c>
      <c r="AQ12" s="17">
        <v>-24</v>
      </c>
      <c r="AR12" s="17">
        <v>11.7</v>
      </c>
      <c r="AS12" s="17">
        <v>1</v>
      </c>
      <c r="AT12" s="17"/>
      <c r="AU12" s="17"/>
      <c r="AV12" s="17"/>
      <c r="AW12" s="17">
        <v>0.15</v>
      </c>
      <c r="AX12" s="17">
        <v>-16.399999999999999</v>
      </c>
      <c r="AY12" s="17">
        <v>1.5</v>
      </c>
      <c r="AZ12" s="17">
        <v>2</v>
      </c>
      <c r="BA12" s="17">
        <v>0.2</v>
      </c>
      <c r="BB12" s="17">
        <v>0.02</v>
      </c>
      <c r="BC12" s="17">
        <v>-24</v>
      </c>
      <c r="BD12" s="17">
        <v>8.3000000000000007</v>
      </c>
      <c r="BE12" s="17">
        <v>1</v>
      </c>
      <c r="BF12" s="17"/>
      <c r="BG12" s="17"/>
      <c r="BH12" s="19"/>
      <c r="BI12" s="43">
        <v>70</v>
      </c>
      <c r="BJ12" s="17">
        <v>4</v>
      </c>
      <c r="BK12" s="17">
        <v>-70</v>
      </c>
      <c r="BL12" s="17">
        <v>0</v>
      </c>
      <c r="BM12" s="17">
        <v>-19</v>
      </c>
      <c r="BN12" s="17">
        <v>8.8000000000000007</v>
      </c>
      <c r="BO12" s="17">
        <v>1</v>
      </c>
      <c r="BP12" s="17">
        <v>0.27</v>
      </c>
      <c r="BQ12" s="17">
        <v>2.1600000000000001E-2</v>
      </c>
      <c r="BR12" s="17">
        <v>-24</v>
      </c>
      <c r="BS12" s="17">
        <v>11.7</v>
      </c>
      <c r="BT12" s="17">
        <v>1</v>
      </c>
      <c r="BU12" s="17"/>
      <c r="BV12" s="17"/>
      <c r="BW12" s="17"/>
      <c r="BX12" s="17">
        <v>0.15</v>
      </c>
      <c r="BY12" s="17">
        <v>-16.399999999999999</v>
      </c>
      <c r="BZ12" s="17">
        <v>1.5</v>
      </c>
      <c r="CA12" s="17">
        <v>2</v>
      </c>
      <c r="CB12" s="17">
        <v>2</v>
      </c>
      <c r="CC12" s="17">
        <v>0.2</v>
      </c>
      <c r="CD12" s="17">
        <v>-24</v>
      </c>
      <c r="CE12" s="17">
        <v>8.3000000000000007</v>
      </c>
      <c r="CF12" s="17">
        <v>1</v>
      </c>
      <c r="CG12" s="17"/>
      <c r="CH12" s="17"/>
      <c r="CI12" s="19"/>
      <c r="CJ12" s="43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9"/>
      <c r="DK12" s="43">
        <v>4.5999999999999996</v>
      </c>
      <c r="DL12" s="17">
        <v>3</v>
      </c>
      <c r="DM12" s="17">
        <v>50</v>
      </c>
      <c r="DN12" s="17">
        <v>0</v>
      </c>
      <c r="DO12" s="17">
        <v>-48</v>
      </c>
      <c r="DP12" s="17">
        <v>4</v>
      </c>
      <c r="DQ12" s="17">
        <v>2</v>
      </c>
      <c r="DR12" s="17">
        <v>0.16</v>
      </c>
      <c r="DS12" s="17">
        <v>1.4999999999999999E-4</v>
      </c>
      <c r="DT12" s="17">
        <v>-30</v>
      </c>
      <c r="DU12" s="17">
        <v>4</v>
      </c>
      <c r="DV12" s="17">
        <v>4</v>
      </c>
      <c r="DW12" s="17">
        <v>-50</v>
      </c>
      <c r="DX12" s="17">
        <v>-4</v>
      </c>
      <c r="DY12" s="17">
        <v>4</v>
      </c>
      <c r="DZ12" s="17">
        <v>0</v>
      </c>
      <c r="EA12" s="17">
        <v>-57</v>
      </c>
      <c r="EB12" s="17">
        <v>5</v>
      </c>
      <c r="EC12" s="17">
        <v>2</v>
      </c>
      <c r="ED12" s="17">
        <v>2</v>
      </c>
      <c r="EE12" s="17">
        <v>0.2</v>
      </c>
      <c r="EF12" s="17">
        <v>-44</v>
      </c>
      <c r="EG12" s="17">
        <v>-3</v>
      </c>
      <c r="EH12" s="17">
        <v>4</v>
      </c>
      <c r="EI12" s="17"/>
      <c r="EJ12" s="17"/>
      <c r="EK12" s="19"/>
    </row>
    <row r="13" spans="1:141" x14ac:dyDescent="0.35">
      <c r="A13" s="83" t="s">
        <v>162</v>
      </c>
      <c r="B13" s="86" t="s">
        <v>162</v>
      </c>
      <c r="C13" s="24"/>
      <c r="D13" s="19">
        <v>3.0000000000000001E-3</v>
      </c>
      <c r="E13" s="43">
        <v>0.01</v>
      </c>
      <c r="F13" s="19">
        <v>-60</v>
      </c>
      <c r="G13" s="43">
        <v>4</v>
      </c>
      <c r="H13" s="17">
        <v>1</v>
      </c>
      <c r="I13" s="17">
        <v>50</v>
      </c>
      <c r="J13" s="17">
        <v>0</v>
      </c>
      <c r="K13" s="17">
        <v>-42.1</v>
      </c>
      <c r="L13" s="17">
        <v>4.8</v>
      </c>
      <c r="M13" s="17">
        <v>3</v>
      </c>
      <c r="N13" s="17">
        <v>1.5E-3</v>
      </c>
      <c r="O13" s="17">
        <v>4.4999999999999999E-4</v>
      </c>
      <c r="P13" s="17">
        <v>-32.700000000000003</v>
      </c>
      <c r="Q13" s="17">
        <v>1.85</v>
      </c>
      <c r="R13" s="17">
        <v>1</v>
      </c>
      <c r="S13" s="17"/>
      <c r="T13" s="17"/>
      <c r="U13" s="17"/>
      <c r="V13" s="17">
        <v>0</v>
      </c>
      <c r="W13" s="17">
        <v>-51.5</v>
      </c>
      <c r="X13" s="17">
        <v>9.1999999999999993</v>
      </c>
      <c r="Y13" s="17">
        <v>1</v>
      </c>
      <c r="Z13" s="17">
        <v>0.01</v>
      </c>
      <c r="AA13" s="17">
        <v>2.3999999999999998E-3</v>
      </c>
      <c r="AB13" s="17">
        <v>-39.200000000000003</v>
      </c>
      <c r="AC13" s="17">
        <v>3.5</v>
      </c>
      <c r="AD13" s="17">
        <v>1</v>
      </c>
      <c r="AE13" s="17"/>
      <c r="AF13" s="17"/>
      <c r="AG13" s="19"/>
      <c r="AH13" s="43">
        <v>19</v>
      </c>
      <c r="AI13" s="17">
        <v>4</v>
      </c>
      <c r="AJ13" s="17">
        <v>-70</v>
      </c>
      <c r="AK13" s="17">
        <v>0</v>
      </c>
      <c r="AL13" s="17">
        <v>-33</v>
      </c>
      <c r="AM13" s="17">
        <v>8.8000000000000007</v>
      </c>
      <c r="AN13" s="17">
        <v>1</v>
      </c>
      <c r="AO13" s="17">
        <v>2.7E-2</v>
      </c>
      <c r="AP13" s="17">
        <v>3.0000000000000001E-3</v>
      </c>
      <c r="AQ13" s="17">
        <v>-24</v>
      </c>
      <c r="AR13" s="17">
        <v>11.7</v>
      </c>
      <c r="AS13" s="17">
        <v>1</v>
      </c>
      <c r="AT13" s="17"/>
      <c r="AU13" s="17"/>
      <c r="AV13" s="17"/>
      <c r="AW13" s="17">
        <v>0.15</v>
      </c>
      <c r="AX13" s="17">
        <v>-16.399999999999999</v>
      </c>
      <c r="AY13" s="17">
        <v>1.5</v>
      </c>
      <c r="AZ13" s="17">
        <v>2</v>
      </c>
      <c r="BA13" s="17">
        <v>0.2</v>
      </c>
      <c r="BB13" s="17">
        <v>0.02</v>
      </c>
      <c r="BC13" s="17">
        <v>-24</v>
      </c>
      <c r="BD13" s="17">
        <v>8.3000000000000007</v>
      </c>
      <c r="BE13" s="17">
        <v>1</v>
      </c>
      <c r="BF13" s="17"/>
      <c r="BG13" s="17"/>
      <c r="BH13" s="19"/>
      <c r="BI13" s="43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9"/>
      <c r="CJ13" s="43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9"/>
      <c r="DK13" s="43">
        <v>0.01</v>
      </c>
      <c r="DL13" s="17">
        <v>3</v>
      </c>
      <c r="DM13" s="17">
        <v>50</v>
      </c>
      <c r="DN13" s="17">
        <v>0</v>
      </c>
      <c r="DO13" s="17">
        <v>-48</v>
      </c>
      <c r="DP13" s="17">
        <v>4</v>
      </c>
      <c r="DQ13" s="17">
        <v>2</v>
      </c>
      <c r="DR13" s="17">
        <v>5.0000000000000001E-3</v>
      </c>
      <c r="DS13" s="17">
        <v>0.04</v>
      </c>
      <c r="DT13" s="17">
        <v>-56</v>
      </c>
      <c r="DU13" s="17">
        <v>-3</v>
      </c>
      <c r="DV13" s="17">
        <v>4</v>
      </c>
      <c r="DW13" s="17">
        <v>-30</v>
      </c>
      <c r="DX13" s="17">
        <v>-3</v>
      </c>
      <c r="DY13" s="17">
        <v>4</v>
      </c>
      <c r="DZ13" s="17">
        <v>0</v>
      </c>
      <c r="EA13" s="17">
        <v>-56</v>
      </c>
      <c r="EB13" s="17">
        <v>5</v>
      </c>
      <c r="EC13" s="17">
        <v>2</v>
      </c>
      <c r="ED13" s="17">
        <v>3</v>
      </c>
      <c r="EE13" s="17">
        <v>0.05</v>
      </c>
      <c r="EF13" s="17">
        <v>-40</v>
      </c>
      <c r="EG13" s="17">
        <v>-2</v>
      </c>
      <c r="EH13" s="17">
        <v>4</v>
      </c>
      <c r="EI13" s="17"/>
      <c r="EJ13" s="17"/>
      <c r="EK13" s="19"/>
    </row>
    <row r="14" spans="1:141" x14ac:dyDescent="0.35">
      <c r="A14" s="83">
        <f>Neu!B14</f>
        <v>0</v>
      </c>
      <c r="B14" s="86"/>
      <c r="C14" s="24"/>
      <c r="D14" s="19"/>
      <c r="E14" s="43"/>
      <c r="F14" s="19"/>
      <c r="G14" s="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9"/>
      <c r="AH14" s="43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9"/>
      <c r="BI14" s="43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9"/>
      <c r="CJ14" s="43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9"/>
      <c r="DK14" s="43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9"/>
    </row>
    <row r="15" spans="1:141" x14ac:dyDescent="0.35">
      <c r="A15" s="83">
        <f>Neu!B15</f>
        <v>0</v>
      </c>
      <c r="B15" s="86"/>
      <c r="C15" s="24"/>
      <c r="D15" s="19"/>
      <c r="E15" s="43"/>
      <c r="F15" s="19"/>
      <c r="G15" s="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9"/>
      <c r="AH15" s="43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9"/>
      <c r="BI15" s="43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9"/>
      <c r="CJ15" s="43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9"/>
      <c r="DK15" s="43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9"/>
    </row>
    <row r="16" spans="1:141" x14ac:dyDescent="0.35">
      <c r="A16" s="83">
        <f>Neu!B16</f>
        <v>0</v>
      </c>
      <c r="B16" s="86"/>
      <c r="C16" s="24"/>
      <c r="D16" s="19"/>
      <c r="E16" s="43"/>
      <c r="F16" s="19"/>
      <c r="G16" s="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9"/>
      <c r="AH16" s="43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9"/>
      <c r="BI16" s="43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9"/>
      <c r="CJ16" s="43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9"/>
      <c r="DK16" s="43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9"/>
    </row>
    <row r="17" spans="1:141" x14ac:dyDescent="0.35">
      <c r="A17" s="83">
        <f>Neu!B17</f>
        <v>0</v>
      </c>
      <c r="B17" s="86"/>
      <c r="C17" s="24"/>
      <c r="D17" s="19"/>
      <c r="E17" s="43"/>
      <c r="F17" s="19"/>
      <c r="G17" s="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9"/>
      <c r="AH17" s="43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9"/>
      <c r="BI17" s="43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9"/>
      <c r="CJ17" s="43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9"/>
      <c r="DK17" s="43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9"/>
    </row>
    <row r="18" spans="1:141" x14ac:dyDescent="0.35">
      <c r="A18" s="83">
        <f>Neu!B18</f>
        <v>0</v>
      </c>
      <c r="B18" s="86"/>
      <c r="C18" s="24"/>
      <c r="D18" s="19"/>
      <c r="E18" s="43"/>
      <c r="F18" s="19"/>
      <c r="G18" s="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9"/>
      <c r="AH18" s="43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9"/>
      <c r="BI18" s="43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9"/>
      <c r="CJ18" s="43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9"/>
      <c r="DK18" s="43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9"/>
    </row>
    <row r="19" spans="1:141" x14ac:dyDescent="0.35">
      <c r="A19" s="83">
        <f>Neu!B19</f>
        <v>0</v>
      </c>
      <c r="B19" s="86"/>
      <c r="C19" s="24"/>
      <c r="D19" s="19"/>
      <c r="E19" s="43"/>
      <c r="F19" s="19"/>
      <c r="G19" s="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9"/>
      <c r="AH19" s="43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9"/>
      <c r="BI19" s="43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9"/>
      <c r="CJ19" s="43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9"/>
      <c r="DK19" s="43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9"/>
    </row>
    <row r="20" spans="1:141" x14ac:dyDescent="0.35">
      <c r="A20" s="83">
        <f>Neu!B20</f>
        <v>0</v>
      </c>
      <c r="B20" s="86"/>
      <c r="C20" s="24"/>
      <c r="D20" s="19"/>
      <c r="E20" s="43"/>
      <c r="F20" s="19"/>
      <c r="G20" s="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  <c r="AH20" s="43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9"/>
      <c r="BI20" s="43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9"/>
      <c r="CJ20" s="43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9"/>
      <c r="DK20" s="43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9"/>
    </row>
    <row r="21" spans="1:141" x14ac:dyDescent="0.35">
      <c r="A21" s="83">
        <f>Neu!B21</f>
        <v>0</v>
      </c>
      <c r="B21" s="86"/>
      <c r="C21" s="24"/>
      <c r="D21" s="19"/>
      <c r="E21" s="43"/>
      <c r="F21" s="19"/>
      <c r="G21" s="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  <c r="AH21" s="43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9"/>
      <c r="BI21" s="43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9"/>
      <c r="CJ21" s="43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9"/>
      <c r="DK21" s="43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9"/>
    </row>
    <row r="22" spans="1:141" x14ac:dyDescent="0.35">
      <c r="A22" s="83">
        <f>Neu!B22</f>
        <v>0</v>
      </c>
      <c r="B22" s="86"/>
      <c r="C22" s="24"/>
      <c r="D22" s="19"/>
      <c r="E22" s="43"/>
      <c r="F22" s="19"/>
      <c r="G22" s="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  <c r="AH22" s="43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9"/>
      <c r="BI22" s="43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9"/>
      <c r="CJ22" s="43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9"/>
      <c r="DK22" s="43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9"/>
    </row>
    <row r="23" spans="1:141" x14ac:dyDescent="0.35">
      <c r="A23" s="83">
        <f>Neu!B23</f>
        <v>0</v>
      </c>
      <c r="B23" s="86"/>
      <c r="C23" s="24"/>
      <c r="D23" s="19"/>
      <c r="E23" s="43"/>
      <c r="F23" s="19"/>
      <c r="G23" s="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9"/>
      <c r="AH23" s="43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9"/>
      <c r="BI23" s="43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9"/>
      <c r="CJ23" s="43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9"/>
      <c r="DK23" s="43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9"/>
    </row>
    <row r="24" spans="1:141" ht="15" thickBot="1" x14ac:dyDescent="0.4">
      <c r="A24" s="83">
        <f>Neu!B24</f>
        <v>0</v>
      </c>
      <c r="B24" s="87"/>
      <c r="C24" s="88"/>
      <c r="D24" s="45"/>
      <c r="E24" s="44"/>
      <c r="F24" s="45"/>
      <c r="G24" s="4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45"/>
      <c r="AH24" s="44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45"/>
      <c r="BI24" s="44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45"/>
      <c r="CJ24" s="44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45"/>
      <c r="DK24" s="44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45"/>
    </row>
    <row r="25" spans="1:141" x14ac:dyDescent="0.35">
      <c r="A25" s="6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141" x14ac:dyDescent="0.35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9" spans="1:141" ht="15" thickBot="1" x14ac:dyDescent="0.4">
      <c r="D29" s="56" t="s">
        <v>104</v>
      </c>
      <c r="O29" s="56" t="s">
        <v>105</v>
      </c>
      <c r="Z29" s="56" t="s">
        <v>106</v>
      </c>
      <c r="BD29" s="56" t="s">
        <v>148</v>
      </c>
    </row>
    <row r="30" spans="1:141" ht="15" thickBot="1" x14ac:dyDescent="0.4">
      <c r="D30" s="69" t="s">
        <v>0</v>
      </c>
      <c r="E30" s="52" t="s">
        <v>100</v>
      </c>
      <c r="F30" s="53" t="s">
        <v>101</v>
      </c>
      <c r="G30" s="54" t="s">
        <v>102</v>
      </c>
      <c r="H30" s="52" t="s">
        <v>100</v>
      </c>
      <c r="I30" s="53" t="s">
        <v>101</v>
      </c>
      <c r="J30" s="54" t="s">
        <v>102</v>
      </c>
      <c r="K30" s="52" t="s">
        <v>100</v>
      </c>
      <c r="L30" s="53" t="s">
        <v>101</v>
      </c>
      <c r="M30" s="54" t="s">
        <v>102</v>
      </c>
      <c r="O30" s="55" t="s">
        <v>0</v>
      </c>
      <c r="P30" s="52" t="s">
        <v>103</v>
      </c>
      <c r="Q30" s="54" t="s">
        <v>100</v>
      </c>
      <c r="R30" s="52" t="s">
        <v>103</v>
      </c>
      <c r="S30" s="54" t="s">
        <v>100</v>
      </c>
      <c r="T30" s="52" t="s">
        <v>103</v>
      </c>
      <c r="U30" s="54" t="s">
        <v>100</v>
      </c>
      <c r="V30" s="52" t="s">
        <v>103</v>
      </c>
      <c r="W30" s="54" t="s">
        <v>100</v>
      </c>
      <c r="X30" s="23"/>
      <c r="Z30" s="15" t="s">
        <v>0</v>
      </c>
      <c r="AA30" s="52" t="s">
        <v>100</v>
      </c>
      <c r="AB30" s="53" t="s">
        <v>103</v>
      </c>
      <c r="AC30" s="53" t="s">
        <v>117</v>
      </c>
      <c r="AD30" s="53" t="s">
        <v>116</v>
      </c>
      <c r="AE30" s="53" t="s">
        <v>114</v>
      </c>
      <c r="AF30" s="53" t="s">
        <v>115</v>
      </c>
      <c r="AG30" s="54" t="s">
        <v>112</v>
      </c>
      <c r="AH30" s="52" t="s">
        <v>100</v>
      </c>
      <c r="AI30" s="53" t="s">
        <v>103</v>
      </c>
      <c r="AJ30" s="53" t="s">
        <v>117</v>
      </c>
      <c r="AK30" s="53" t="s">
        <v>116</v>
      </c>
      <c r="AL30" s="53" t="s">
        <v>114</v>
      </c>
      <c r="AM30" s="53" t="s">
        <v>115</v>
      </c>
      <c r="AN30" s="54" t="s">
        <v>112</v>
      </c>
      <c r="AO30" s="52" t="s">
        <v>100</v>
      </c>
      <c r="AP30" s="53" t="s">
        <v>103</v>
      </c>
      <c r="AQ30" s="53" t="s">
        <v>117</v>
      </c>
      <c r="AR30" s="53" t="s">
        <v>116</v>
      </c>
      <c r="AS30" s="53" t="s">
        <v>114</v>
      </c>
      <c r="AT30" s="53" t="s">
        <v>115</v>
      </c>
      <c r="AU30" s="54" t="s">
        <v>112</v>
      </c>
      <c r="AV30" s="52" t="s">
        <v>100</v>
      </c>
      <c r="AW30" s="53" t="s">
        <v>103</v>
      </c>
      <c r="AX30" s="53" t="s">
        <v>117</v>
      </c>
      <c r="AY30" s="53" t="s">
        <v>116</v>
      </c>
      <c r="AZ30" s="53" t="s">
        <v>114</v>
      </c>
      <c r="BA30" s="53" t="s">
        <v>115</v>
      </c>
      <c r="BB30" s="54" t="s">
        <v>112</v>
      </c>
      <c r="BD30" s="69" t="s">
        <v>0</v>
      </c>
      <c r="BE30" s="52" t="s">
        <v>149</v>
      </c>
    </row>
    <row r="31" spans="1:141" x14ac:dyDescent="0.35">
      <c r="D31" s="2" t="str">
        <f>Neu!$B4</f>
        <v>B63ls</v>
      </c>
      <c r="E31" s="20"/>
      <c r="F31" s="17"/>
      <c r="G31" s="17"/>
      <c r="H31" s="43"/>
      <c r="I31" s="17"/>
      <c r="J31" s="19"/>
      <c r="K31" s="43"/>
      <c r="L31" s="17"/>
      <c r="M31" s="19"/>
      <c r="O31" s="2" t="str">
        <f>Neu!$B4</f>
        <v>B63ls</v>
      </c>
      <c r="P31" s="20"/>
      <c r="Q31" s="20"/>
      <c r="R31" s="43"/>
      <c r="S31" s="43"/>
      <c r="T31" s="43"/>
      <c r="U31" s="19"/>
      <c r="V31" s="43"/>
      <c r="W31" s="19"/>
      <c r="Z31" s="2" t="str">
        <f>Neu!$B4</f>
        <v>B63ls</v>
      </c>
      <c r="AA31" s="20"/>
      <c r="AB31" s="20"/>
      <c r="AC31" s="17"/>
      <c r="AD31" s="34"/>
      <c r="AE31" s="17"/>
      <c r="AF31" s="17"/>
      <c r="AG31" s="19"/>
      <c r="AH31" s="43"/>
      <c r="AI31" s="43"/>
      <c r="AJ31" s="17"/>
      <c r="AK31" s="34"/>
      <c r="AL31" s="17"/>
      <c r="AM31" s="17"/>
      <c r="AN31" s="19"/>
      <c r="AO31" s="20"/>
      <c r="AP31" s="20"/>
      <c r="AQ31" s="17"/>
      <c r="AR31" s="34"/>
      <c r="AS31" s="17"/>
      <c r="AT31" s="17"/>
      <c r="AU31" s="19"/>
      <c r="AV31" s="20"/>
      <c r="AW31" s="43"/>
      <c r="AX31" s="17"/>
      <c r="AY31" s="34"/>
      <c r="AZ31" s="17"/>
      <c r="BA31" s="17"/>
      <c r="BB31" s="19"/>
      <c r="BD31" s="2" t="str">
        <f>Neu!$B4</f>
        <v>B63ls</v>
      </c>
      <c r="BE31" s="20">
        <v>-62</v>
      </c>
    </row>
    <row r="32" spans="1:141" x14ac:dyDescent="0.35">
      <c r="D32" s="3" t="str">
        <f>Neu!$B5</f>
        <v>B63la</v>
      </c>
      <c r="E32" s="20" t="s">
        <v>88</v>
      </c>
      <c r="F32" s="17">
        <v>14</v>
      </c>
      <c r="G32" s="17">
        <v>0.4</v>
      </c>
      <c r="H32" s="43"/>
      <c r="I32" s="17"/>
      <c r="J32" s="19"/>
      <c r="K32" s="43"/>
      <c r="L32" s="17"/>
      <c r="M32" s="19"/>
      <c r="O32" s="3" t="str">
        <f>Neu!$B5</f>
        <v>B63la</v>
      </c>
      <c r="P32" s="43" t="s">
        <v>88</v>
      </c>
      <c r="Q32" s="19" t="s">
        <v>88</v>
      </c>
      <c r="R32" s="43"/>
      <c r="S32" s="43"/>
      <c r="T32" s="43"/>
      <c r="U32" s="19"/>
      <c r="V32" s="43"/>
      <c r="W32" s="19"/>
      <c r="Z32" s="3" t="str">
        <f>Neu!$B5</f>
        <v>B63la</v>
      </c>
      <c r="AA32" s="43"/>
      <c r="AB32" s="43"/>
      <c r="AC32" s="17"/>
      <c r="AD32" s="34"/>
      <c r="AE32" s="17"/>
      <c r="AF32" s="17"/>
      <c r="AG32" s="19"/>
      <c r="AH32" s="43"/>
      <c r="AI32" s="43"/>
      <c r="AJ32" s="17"/>
      <c r="AK32" s="34"/>
      <c r="AL32" s="17"/>
      <c r="AM32" s="17"/>
      <c r="AN32" s="19"/>
      <c r="AO32" s="20"/>
      <c r="AP32" s="20"/>
      <c r="AQ32" s="17"/>
      <c r="AR32" s="34"/>
      <c r="AS32" s="17"/>
      <c r="AT32" s="17"/>
      <c r="AU32" s="19"/>
      <c r="AV32" s="20"/>
      <c r="AW32" s="43"/>
      <c r="AX32" s="17"/>
      <c r="AY32" s="34"/>
      <c r="AZ32" s="17"/>
      <c r="BA32" s="17"/>
      <c r="BB32" s="19"/>
      <c r="BD32" s="3" t="str">
        <f>Neu!$B5</f>
        <v>B63la</v>
      </c>
      <c r="BE32" s="20">
        <v>-62</v>
      </c>
    </row>
    <row r="33" spans="4:57" x14ac:dyDescent="0.35">
      <c r="D33" s="3" t="str">
        <f>Neu!$B6</f>
        <v>B31rs</v>
      </c>
      <c r="E33" s="20"/>
      <c r="F33" s="17"/>
      <c r="G33" s="17"/>
      <c r="H33" s="43"/>
      <c r="I33" s="17"/>
      <c r="J33" s="19"/>
      <c r="K33" s="43"/>
      <c r="L33" s="17"/>
      <c r="M33" s="19"/>
      <c r="O33" s="3" t="str">
        <f>Neu!$B6</f>
        <v>B31rs</v>
      </c>
      <c r="P33" s="43"/>
      <c r="Q33" s="19"/>
      <c r="R33" s="43"/>
      <c r="S33" s="43"/>
      <c r="T33" s="43"/>
      <c r="U33" s="19"/>
      <c r="V33" s="43"/>
      <c r="W33" s="19"/>
      <c r="Z33" s="3" t="str">
        <f>Neu!$B6</f>
        <v>B31rs</v>
      </c>
      <c r="AA33" s="43"/>
      <c r="AB33" s="43"/>
      <c r="AC33" s="17"/>
      <c r="AD33" s="34"/>
      <c r="AE33" s="17"/>
      <c r="AF33" s="17"/>
      <c r="AG33" s="19"/>
      <c r="AH33" s="43"/>
      <c r="AI33" s="43"/>
      <c r="AJ33" s="17"/>
      <c r="AK33" s="34"/>
      <c r="AL33" s="17"/>
      <c r="AM33" s="17"/>
      <c r="AN33" s="19"/>
      <c r="AO33" s="20"/>
      <c r="AP33" s="20"/>
      <c r="AQ33" s="17"/>
      <c r="AR33" s="34"/>
      <c r="AS33" s="17"/>
      <c r="AT33" s="17"/>
      <c r="AU33" s="19"/>
      <c r="AV33" s="20"/>
      <c r="AW33" s="43"/>
      <c r="AX33" s="17"/>
      <c r="AY33" s="34"/>
      <c r="AZ33" s="17"/>
      <c r="BA33" s="17"/>
      <c r="BB33" s="19"/>
      <c r="BD33" s="3" t="str">
        <f>Neu!$B6</f>
        <v>B31rs</v>
      </c>
      <c r="BE33" s="20">
        <v>-62</v>
      </c>
    </row>
    <row r="34" spans="4:57" x14ac:dyDescent="0.35">
      <c r="D34" s="3" t="str">
        <f>Neu!$B7</f>
        <v>B64ls</v>
      </c>
      <c r="E34" s="20"/>
      <c r="F34" s="17"/>
      <c r="G34" s="17"/>
      <c r="H34" s="43"/>
      <c r="I34" s="17"/>
      <c r="J34" s="19"/>
      <c r="K34" s="43"/>
      <c r="L34" s="17"/>
      <c r="M34" s="19"/>
      <c r="O34" s="3" t="str">
        <f>Neu!$B7</f>
        <v>B64ls</v>
      </c>
      <c r="P34" s="43"/>
      <c r="Q34" s="19"/>
      <c r="R34" s="43"/>
      <c r="S34" s="43"/>
      <c r="T34" s="43"/>
      <c r="U34" s="19"/>
      <c r="V34" s="43"/>
      <c r="W34" s="19"/>
      <c r="Z34" s="3" t="str">
        <f>Neu!$B7</f>
        <v>B64ls</v>
      </c>
      <c r="AA34" s="43"/>
      <c r="AB34" s="43"/>
      <c r="AC34" s="17"/>
      <c r="AD34" s="34"/>
      <c r="AE34" s="17"/>
      <c r="AF34" s="17"/>
      <c r="AG34" s="19"/>
      <c r="AH34" s="43"/>
      <c r="AI34" s="43"/>
      <c r="AJ34" s="17"/>
      <c r="AK34" s="34"/>
      <c r="AL34" s="17"/>
      <c r="AM34" s="17"/>
      <c r="AN34" s="19"/>
      <c r="AO34" s="20"/>
      <c r="AP34" s="20"/>
      <c r="AQ34" s="17"/>
      <c r="AR34" s="34"/>
      <c r="AS34" s="17"/>
      <c r="AT34" s="17"/>
      <c r="AU34" s="19"/>
      <c r="AV34" s="20"/>
      <c r="AW34" s="43"/>
      <c r="AX34" s="17"/>
      <c r="AY34" s="34"/>
      <c r="AZ34" s="17"/>
      <c r="BA34" s="17"/>
      <c r="BB34" s="19"/>
      <c r="BD34" s="3" t="str">
        <f>Neu!$B7</f>
        <v>B64ls</v>
      </c>
      <c r="BE34" s="20">
        <v>-62</v>
      </c>
    </row>
    <row r="35" spans="4:57" x14ac:dyDescent="0.35">
      <c r="D35" s="3" t="str">
        <f>Neu!$B8</f>
        <v>B64la</v>
      </c>
      <c r="E35" s="20"/>
      <c r="F35" s="17"/>
      <c r="G35" s="17"/>
      <c r="H35" s="43"/>
      <c r="I35" s="17"/>
      <c r="J35" s="19"/>
      <c r="K35" s="43"/>
      <c r="L35" s="17"/>
      <c r="M35" s="19"/>
      <c r="O35" s="3" t="str">
        <f>Neu!$B8</f>
        <v>B64la</v>
      </c>
      <c r="P35" s="43"/>
      <c r="Q35" s="19"/>
      <c r="R35" s="43"/>
      <c r="S35" s="43"/>
      <c r="T35" s="43"/>
      <c r="U35" s="19"/>
      <c r="V35" s="43"/>
      <c r="W35" s="19"/>
      <c r="Z35" s="3" t="str">
        <f>Neu!$B8</f>
        <v>B64la</v>
      </c>
      <c r="AA35" s="43"/>
      <c r="AB35" s="43"/>
      <c r="AC35" s="17"/>
      <c r="AD35" s="34"/>
      <c r="AE35" s="17"/>
      <c r="AF35" s="17"/>
      <c r="AG35" s="19"/>
      <c r="AH35" s="43"/>
      <c r="AI35" s="43"/>
      <c r="AJ35" s="17"/>
      <c r="AK35" s="34"/>
      <c r="AL35" s="17"/>
      <c r="AM35" s="17"/>
      <c r="AN35" s="19"/>
      <c r="AO35" s="20"/>
      <c r="AP35" s="20"/>
      <c r="AQ35" s="17"/>
      <c r="AR35" s="34"/>
      <c r="AS35" s="17"/>
      <c r="AT35" s="17"/>
      <c r="AU35" s="19"/>
      <c r="AV35" s="20"/>
      <c r="AW35" s="43"/>
      <c r="AX35" s="17"/>
      <c r="AY35" s="34"/>
      <c r="AZ35" s="17"/>
      <c r="BA35" s="17"/>
      <c r="BB35" s="19"/>
      <c r="BD35" s="3" t="str">
        <f>Neu!$B8</f>
        <v>B64la</v>
      </c>
      <c r="BE35" s="20">
        <v>-62</v>
      </c>
    </row>
    <row r="36" spans="4:57" x14ac:dyDescent="0.35">
      <c r="D36" s="3" t="str">
        <f>Neu!$B9</f>
        <v>B63rs</v>
      </c>
      <c r="E36" s="20"/>
      <c r="F36" s="17"/>
      <c r="G36" s="17"/>
      <c r="H36" s="43"/>
      <c r="I36" s="17"/>
      <c r="J36" s="19"/>
      <c r="K36" s="43"/>
      <c r="L36" s="17"/>
      <c r="M36" s="19"/>
      <c r="O36" s="3" t="str">
        <f>Neu!$B9</f>
        <v>B63rs</v>
      </c>
      <c r="P36" s="43"/>
      <c r="Q36" s="19"/>
      <c r="R36" s="43"/>
      <c r="S36" s="43"/>
      <c r="T36" s="43"/>
      <c r="U36" s="19"/>
      <c r="V36" s="43"/>
      <c r="W36" s="19"/>
      <c r="Z36" s="3" t="str">
        <f>Neu!$B9</f>
        <v>B63rs</v>
      </c>
      <c r="AA36" s="43"/>
      <c r="AB36" s="43"/>
      <c r="AC36" s="17"/>
      <c r="AD36" s="34"/>
      <c r="AE36" s="17"/>
      <c r="AF36" s="17"/>
      <c r="AG36" s="19"/>
      <c r="AH36" s="43"/>
      <c r="AI36" s="43"/>
      <c r="AJ36" s="17"/>
      <c r="AK36" s="34"/>
      <c r="AL36" s="17"/>
      <c r="AM36" s="17"/>
      <c r="AN36" s="19"/>
      <c r="AO36" s="20"/>
      <c r="AP36" s="20"/>
      <c r="AQ36" s="17"/>
      <c r="AR36" s="34"/>
      <c r="AS36" s="17"/>
      <c r="AT36" s="17"/>
      <c r="AU36" s="19"/>
      <c r="AV36" s="20"/>
      <c r="AW36" s="43"/>
      <c r="AX36" s="17"/>
      <c r="AY36" s="34"/>
      <c r="AZ36" s="17"/>
      <c r="BA36" s="17"/>
      <c r="BB36" s="19"/>
      <c r="BD36" s="3" t="str">
        <f>Neu!$B9</f>
        <v>B63rs</v>
      </c>
      <c r="BE36" s="20">
        <v>-62</v>
      </c>
    </row>
    <row r="37" spans="4:57" x14ac:dyDescent="0.35">
      <c r="D37" s="3" t="str">
        <f>Neu!$B10</f>
        <v>B63ra</v>
      </c>
      <c r="E37" s="20"/>
      <c r="F37" s="17"/>
      <c r="G37" s="17"/>
      <c r="H37" s="43"/>
      <c r="I37" s="17"/>
      <c r="J37" s="19"/>
      <c r="K37" s="43"/>
      <c r="L37" s="17"/>
      <c r="M37" s="19"/>
      <c r="O37" s="3" t="str">
        <f>Neu!$B10</f>
        <v>B63ra</v>
      </c>
      <c r="P37" s="43"/>
      <c r="Q37" s="19"/>
      <c r="R37" s="43"/>
      <c r="S37" s="43"/>
      <c r="T37" s="43"/>
      <c r="U37" s="19"/>
      <c r="V37" s="43"/>
      <c r="W37" s="19"/>
      <c r="Z37" s="3" t="str">
        <f>Neu!$B10</f>
        <v>B63ra</v>
      </c>
      <c r="AA37" s="43"/>
      <c r="AB37" s="43"/>
      <c r="AC37" s="17"/>
      <c r="AD37" s="34"/>
      <c r="AE37" s="17"/>
      <c r="AF37" s="17"/>
      <c r="AG37" s="19"/>
      <c r="AH37" s="43"/>
      <c r="AI37" s="43"/>
      <c r="AJ37" s="17"/>
      <c r="AK37" s="34"/>
      <c r="AL37" s="17"/>
      <c r="AM37" s="17"/>
      <c r="AN37" s="19"/>
      <c r="AO37" s="20"/>
      <c r="AP37" s="20"/>
      <c r="AQ37" s="17"/>
      <c r="AR37" s="34"/>
      <c r="AS37" s="17"/>
      <c r="AT37" s="17"/>
      <c r="AU37" s="19"/>
      <c r="AV37" s="20"/>
      <c r="AW37" s="43"/>
      <c r="AX37" s="17"/>
      <c r="AY37" s="34"/>
      <c r="AZ37" s="17"/>
      <c r="BA37" s="17"/>
      <c r="BB37" s="19"/>
      <c r="BD37" s="3" t="str">
        <f>Neu!$B10</f>
        <v>B63ra</v>
      </c>
      <c r="BE37" s="20">
        <v>-62</v>
      </c>
    </row>
    <row r="38" spans="4:57" x14ac:dyDescent="0.35">
      <c r="D38" s="3" t="str">
        <f>Neu!$B11</f>
        <v>B31ls</v>
      </c>
      <c r="E38" s="20"/>
      <c r="F38" s="17"/>
      <c r="G38" s="17"/>
      <c r="H38" s="43"/>
      <c r="I38" s="17"/>
      <c r="J38" s="19"/>
      <c r="K38" s="43"/>
      <c r="L38" s="17"/>
      <c r="M38" s="19"/>
      <c r="O38" s="3" t="str">
        <f>Neu!$B11</f>
        <v>B31ls</v>
      </c>
      <c r="P38" s="43"/>
      <c r="Q38" s="19"/>
      <c r="R38" s="43"/>
      <c r="S38" s="43"/>
      <c r="T38" s="43"/>
      <c r="U38" s="19"/>
      <c r="V38" s="43"/>
      <c r="W38" s="19"/>
      <c r="Z38" s="3" t="str">
        <f>Neu!$B11</f>
        <v>B31ls</v>
      </c>
      <c r="AA38" s="43"/>
      <c r="AB38" s="43"/>
      <c r="AC38" s="17"/>
      <c r="AD38" s="34"/>
      <c r="AE38" s="17"/>
      <c r="AF38" s="17"/>
      <c r="AG38" s="19"/>
      <c r="AH38" s="43"/>
      <c r="AI38" s="43"/>
      <c r="AJ38" s="17"/>
      <c r="AK38" s="34"/>
      <c r="AL38" s="17"/>
      <c r="AM38" s="17"/>
      <c r="AN38" s="19"/>
      <c r="AO38" s="20"/>
      <c r="AP38" s="20"/>
      <c r="AQ38" s="17"/>
      <c r="AR38" s="34"/>
      <c r="AS38" s="17"/>
      <c r="AT38" s="17"/>
      <c r="AU38" s="19"/>
      <c r="AV38" s="20"/>
      <c r="AW38" s="43"/>
      <c r="AX38" s="17"/>
      <c r="AY38" s="34"/>
      <c r="AZ38" s="17"/>
      <c r="BA38" s="17"/>
      <c r="BB38" s="19"/>
      <c r="BD38" s="3" t="str">
        <f>Neu!$B11</f>
        <v>B31ls</v>
      </c>
      <c r="BE38" s="20">
        <v>-62</v>
      </c>
    </row>
    <row r="39" spans="4:57" x14ac:dyDescent="0.35">
      <c r="D39" s="3" t="str">
        <f>Neu!$B12</f>
        <v>B64rs</v>
      </c>
      <c r="E39" s="20"/>
      <c r="F39" s="17"/>
      <c r="G39" s="17"/>
      <c r="H39" s="43"/>
      <c r="I39" s="17"/>
      <c r="J39" s="19"/>
      <c r="K39" s="43"/>
      <c r="L39" s="17"/>
      <c r="M39" s="19"/>
      <c r="O39" s="3" t="str">
        <f>Neu!$B12</f>
        <v>B64rs</v>
      </c>
      <c r="P39" s="43"/>
      <c r="Q39" s="19"/>
      <c r="R39" s="43"/>
      <c r="S39" s="43"/>
      <c r="T39" s="43"/>
      <c r="U39" s="19"/>
      <c r="V39" s="43"/>
      <c r="W39" s="19"/>
      <c r="Z39" s="3" t="str">
        <f>Neu!$B12</f>
        <v>B64rs</v>
      </c>
      <c r="AA39" s="43"/>
      <c r="AB39" s="43"/>
      <c r="AC39" s="17"/>
      <c r="AD39" s="34"/>
      <c r="AE39" s="17"/>
      <c r="AF39" s="17"/>
      <c r="AG39" s="19"/>
      <c r="AH39" s="43"/>
      <c r="AI39" s="43"/>
      <c r="AJ39" s="17"/>
      <c r="AK39" s="34"/>
      <c r="AL39" s="17"/>
      <c r="AM39" s="17"/>
      <c r="AN39" s="19"/>
      <c r="AO39" s="20"/>
      <c r="AP39" s="20"/>
      <c r="AQ39" s="17"/>
      <c r="AR39" s="34"/>
      <c r="AS39" s="17"/>
      <c r="AT39" s="17"/>
      <c r="AU39" s="19"/>
      <c r="AV39" s="20"/>
      <c r="AW39" s="43"/>
      <c r="AX39" s="17"/>
      <c r="AY39" s="34"/>
      <c r="AZ39" s="17"/>
      <c r="BA39" s="17"/>
      <c r="BB39" s="19"/>
      <c r="BD39" s="3" t="str">
        <f>Neu!$B12</f>
        <v>B64rs</v>
      </c>
      <c r="BE39" s="20">
        <v>-62</v>
      </c>
    </row>
    <row r="40" spans="4:57" x14ac:dyDescent="0.35">
      <c r="D40" s="3" t="str">
        <f>Neu!$B13</f>
        <v>B64ra</v>
      </c>
      <c r="E40" s="20"/>
      <c r="F40" s="17"/>
      <c r="G40" s="17"/>
      <c r="H40" s="43"/>
      <c r="I40" s="17"/>
      <c r="J40" s="19"/>
      <c r="K40" s="43"/>
      <c r="L40" s="17"/>
      <c r="M40" s="19"/>
      <c r="O40" s="3" t="str">
        <f>Neu!$B13</f>
        <v>B64ra</v>
      </c>
      <c r="P40" s="43"/>
      <c r="Q40" s="19"/>
      <c r="R40" s="43"/>
      <c r="S40" s="43"/>
      <c r="T40" s="43"/>
      <c r="U40" s="19"/>
      <c r="V40" s="43"/>
      <c r="W40" s="19"/>
      <c r="Z40" s="3" t="str">
        <f>Neu!$B13</f>
        <v>B64ra</v>
      </c>
      <c r="AA40" s="43"/>
      <c r="AB40" s="43"/>
      <c r="AC40" s="17"/>
      <c r="AD40" s="34"/>
      <c r="AE40" s="17"/>
      <c r="AF40" s="17"/>
      <c r="AG40" s="19"/>
      <c r="AH40" s="43"/>
      <c r="AI40" s="43"/>
      <c r="AJ40" s="17"/>
      <c r="AK40" s="34"/>
      <c r="AL40" s="17"/>
      <c r="AM40" s="17"/>
      <c r="AN40" s="19"/>
      <c r="AO40" s="20"/>
      <c r="AP40" s="20"/>
      <c r="AQ40" s="17"/>
      <c r="AR40" s="34"/>
      <c r="AS40" s="17"/>
      <c r="AT40" s="17"/>
      <c r="AU40" s="19"/>
      <c r="AV40" s="20"/>
      <c r="AW40" s="43"/>
      <c r="AX40" s="17"/>
      <c r="AY40" s="34"/>
      <c r="AZ40" s="17"/>
      <c r="BA40" s="17"/>
      <c r="BB40" s="19"/>
      <c r="BD40" s="3" t="str">
        <f>Neu!$B13</f>
        <v>B64ra</v>
      </c>
      <c r="BE40" s="20">
        <v>-62</v>
      </c>
    </row>
    <row r="41" spans="4:57" x14ac:dyDescent="0.35">
      <c r="D41" s="3">
        <f>Neu!$B14</f>
        <v>0</v>
      </c>
      <c r="E41" s="20"/>
      <c r="F41" s="17"/>
      <c r="G41" s="19"/>
      <c r="H41" s="43"/>
      <c r="I41" s="17"/>
      <c r="J41" s="19"/>
      <c r="K41" s="43"/>
      <c r="L41" s="17"/>
      <c r="M41" s="19"/>
      <c r="O41" s="3">
        <f>Neu!$B14</f>
        <v>0</v>
      </c>
      <c r="P41" s="43"/>
      <c r="Q41" s="19"/>
      <c r="R41" s="43"/>
      <c r="S41" s="19"/>
      <c r="T41" s="43"/>
      <c r="U41" s="19"/>
      <c r="V41" s="43"/>
      <c r="W41" s="19"/>
      <c r="Z41" s="3">
        <f>Neu!$B14</f>
        <v>0</v>
      </c>
      <c r="AA41" s="43"/>
      <c r="AB41" s="17"/>
      <c r="AC41" s="17"/>
      <c r="AD41" s="34"/>
      <c r="AE41" s="17"/>
      <c r="AF41" s="17"/>
      <c r="AG41" s="19"/>
      <c r="AH41" s="43"/>
      <c r="AI41" s="17"/>
      <c r="AJ41" s="17"/>
      <c r="AK41" s="34"/>
      <c r="AL41" s="17"/>
      <c r="AM41" s="17"/>
      <c r="AN41" s="19"/>
      <c r="AO41" s="43"/>
      <c r="AP41" s="17"/>
      <c r="AQ41" s="17"/>
      <c r="AR41" s="34"/>
      <c r="AS41" s="17"/>
      <c r="AT41" s="17"/>
      <c r="AU41" s="19"/>
      <c r="AV41" s="43"/>
      <c r="AW41" s="17"/>
      <c r="AX41" s="17"/>
      <c r="AY41" s="34"/>
      <c r="AZ41" s="17"/>
      <c r="BA41" s="17"/>
      <c r="BB41" s="19"/>
    </row>
    <row r="42" spans="4:57" x14ac:dyDescent="0.35">
      <c r="D42" s="3">
        <f>Neu!$B15</f>
        <v>0</v>
      </c>
      <c r="E42" s="20"/>
      <c r="F42" s="17"/>
      <c r="G42" s="19"/>
      <c r="H42" s="43"/>
      <c r="I42" s="17"/>
      <c r="J42" s="19"/>
      <c r="K42" s="43"/>
      <c r="L42" s="17"/>
      <c r="M42" s="19"/>
      <c r="O42" s="3">
        <f>Neu!$B15</f>
        <v>0</v>
      </c>
      <c r="P42" s="43"/>
      <c r="Q42" s="19"/>
      <c r="R42" s="43"/>
      <c r="S42" s="19"/>
      <c r="T42" s="43"/>
      <c r="U42" s="19"/>
      <c r="V42" s="43"/>
      <c r="W42" s="19"/>
      <c r="Z42" s="3">
        <f>Neu!$B15</f>
        <v>0</v>
      </c>
      <c r="AA42" s="43"/>
      <c r="AB42" s="17"/>
      <c r="AC42" s="17"/>
      <c r="AD42" s="34"/>
      <c r="AE42" s="17"/>
      <c r="AF42" s="17"/>
      <c r="AG42" s="19"/>
      <c r="AH42" s="43"/>
      <c r="AI42" s="17"/>
      <c r="AJ42" s="17"/>
      <c r="AK42" s="34"/>
      <c r="AL42" s="17"/>
      <c r="AM42" s="17"/>
      <c r="AN42" s="19"/>
      <c r="AO42" s="43"/>
      <c r="AP42" s="17"/>
      <c r="AQ42" s="17"/>
      <c r="AR42" s="34"/>
      <c r="AS42" s="17"/>
      <c r="AT42" s="17"/>
      <c r="AU42" s="19"/>
      <c r="AV42" s="43"/>
      <c r="AW42" s="17"/>
      <c r="AX42" s="17"/>
      <c r="AY42" s="34"/>
      <c r="AZ42" s="17"/>
      <c r="BA42" s="17"/>
      <c r="BB42" s="19"/>
    </row>
    <row r="43" spans="4:57" x14ac:dyDescent="0.35">
      <c r="D43" s="3">
        <f>Neu!$B16</f>
        <v>0</v>
      </c>
      <c r="E43" s="20"/>
      <c r="F43" s="17"/>
      <c r="G43" s="19"/>
      <c r="H43" s="43"/>
      <c r="I43" s="17"/>
      <c r="J43" s="19"/>
      <c r="K43" s="43"/>
      <c r="L43" s="17"/>
      <c r="M43" s="19"/>
      <c r="O43" s="3">
        <f>Neu!$B16</f>
        <v>0</v>
      </c>
      <c r="P43" s="43"/>
      <c r="Q43" s="19"/>
      <c r="R43" s="43"/>
      <c r="S43" s="19"/>
      <c r="T43" s="43"/>
      <c r="U43" s="19"/>
      <c r="V43" s="43"/>
      <c r="W43" s="19"/>
      <c r="Z43" s="3">
        <f>Neu!$B16</f>
        <v>0</v>
      </c>
      <c r="AA43" s="43"/>
      <c r="AB43" s="17"/>
      <c r="AC43" s="17"/>
      <c r="AD43" s="34"/>
      <c r="AE43" s="17"/>
      <c r="AF43" s="17"/>
      <c r="AG43" s="19"/>
      <c r="AH43" s="43"/>
      <c r="AI43" s="17"/>
      <c r="AJ43" s="17"/>
      <c r="AK43" s="34"/>
      <c r="AL43" s="17"/>
      <c r="AM43" s="17"/>
      <c r="AN43" s="19"/>
      <c r="AO43" s="43"/>
      <c r="AP43" s="17"/>
      <c r="AQ43" s="17"/>
      <c r="AR43" s="34"/>
      <c r="AS43" s="17"/>
      <c r="AT43" s="17"/>
      <c r="AU43" s="19"/>
      <c r="AV43" s="43"/>
      <c r="AW43" s="17"/>
      <c r="AX43" s="17"/>
      <c r="AY43" s="34"/>
      <c r="AZ43" s="17"/>
      <c r="BA43" s="17"/>
      <c r="BB43" s="19"/>
    </row>
    <row r="44" spans="4:57" x14ac:dyDescent="0.35">
      <c r="D44" s="3">
        <f>Neu!$B17</f>
        <v>0</v>
      </c>
      <c r="E44" s="20"/>
      <c r="F44" s="17"/>
      <c r="G44" s="19"/>
      <c r="H44" s="43"/>
      <c r="I44" s="17"/>
      <c r="J44" s="19"/>
      <c r="K44" s="43"/>
      <c r="L44" s="17"/>
      <c r="M44" s="19"/>
      <c r="O44" s="3">
        <f>Neu!$B17</f>
        <v>0</v>
      </c>
      <c r="P44" s="43"/>
      <c r="Q44" s="19"/>
      <c r="R44" s="43"/>
      <c r="S44" s="19"/>
      <c r="T44" s="43"/>
      <c r="U44" s="19"/>
      <c r="V44" s="43"/>
      <c r="W44" s="19"/>
      <c r="Z44" s="3">
        <f>Neu!$B17</f>
        <v>0</v>
      </c>
      <c r="AA44" s="43"/>
      <c r="AB44" s="17"/>
      <c r="AC44" s="17"/>
      <c r="AD44" s="34"/>
      <c r="AE44" s="17"/>
      <c r="AF44" s="17"/>
      <c r="AG44" s="19"/>
      <c r="AH44" s="43"/>
      <c r="AI44" s="17"/>
      <c r="AJ44" s="17"/>
      <c r="AK44" s="34"/>
      <c r="AL44" s="17"/>
      <c r="AM44" s="17"/>
      <c r="AN44" s="19"/>
      <c r="AO44" s="43"/>
      <c r="AP44" s="17"/>
      <c r="AQ44" s="17"/>
      <c r="AR44" s="34"/>
      <c r="AS44" s="17"/>
      <c r="AT44" s="17"/>
      <c r="AU44" s="19"/>
      <c r="AV44" s="43"/>
      <c r="AW44" s="17"/>
      <c r="AX44" s="17"/>
      <c r="AY44" s="34"/>
      <c r="AZ44" s="17"/>
      <c r="BA44" s="17"/>
      <c r="BB44" s="19"/>
    </row>
    <row r="45" spans="4:57" x14ac:dyDescent="0.35">
      <c r="D45" s="3">
        <f>Neu!$B18</f>
        <v>0</v>
      </c>
      <c r="E45" s="20"/>
      <c r="F45" s="17"/>
      <c r="G45" s="19"/>
      <c r="H45" s="43"/>
      <c r="I45" s="17"/>
      <c r="J45" s="19"/>
      <c r="K45" s="43"/>
      <c r="L45" s="17"/>
      <c r="M45" s="19"/>
      <c r="O45" s="3">
        <f>Neu!$B18</f>
        <v>0</v>
      </c>
      <c r="P45" s="43"/>
      <c r="Q45" s="19"/>
      <c r="R45" s="43"/>
      <c r="S45" s="19"/>
      <c r="T45" s="43"/>
      <c r="U45" s="19"/>
      <c r="V45" s="43"/>
      <c r="W45" s="19"/>
      <c r="Z45" s="3">
        <f>Neu!$B18</f>
        <v>0</v>
      </c>
      <c r="AA45" s="43"/>
      <c r="AB45" s="17"/>
      <c r="AC45" s="17"/>
      <c r="AD45" s="34"/>
      <c r="AE45" s="17"/>
      <c r="AF45" s="17"/>
      <c r="AG45" s="19"/>
      <c r="AH45" s="43"/>
      <c r="AI45" s="17"/>
      <c r="AJ45" s="17"/>
      <c r="AK45" s="34"/>
      <c r="AL45" s="17"/>
      <c r="AM45" s="17"/>
      <c r="AN45" s="19"/>
      <c r="AO45" s="43"/>
      <c r="AP45" s="17"/>
      <c r="AQ45" s="17"/>
      <c r="AR45" s="34"/>
      <c r="AS45" s="17"/>
      <c r="AT45" s="17"/>
      <c r="AU45" s="19"/>
      <c r="AV45" s="43"/>
      <c r="AW45" s="17"/>
      <c r="AX45" s="17"/>
      <c r="AY45" s="34"/>
      <c r="AZ45" s="17"/>
      <c r="BA45" s="17"/>
      <c r="BB45" s="19"/>
    </row>
    <row r="46" spans="4:57" x14ac:dyDescent="0.35">
      <c r="D46" s="3">
        <f>Neu!$B19</f>
        <v>0</v>
      </c>
      <c r="E46" s="20"/>
      <c r="F46" s="17"/>
      <c r="G46" s="19"/>
      <c r="H46" s="43"/>
      <c r="I46" s="17"/>
      <c r="J46" s="19"/>
      <c r="K46" s="43"/>
      <c r="L46" s="17"/>
      <c r="M46" s="19"/>
      <c r="O46" s="3">
        <f>Neu!$B19</f>
        <v>0</v>
      </c>
      <c r="P46" s="43"/>
      <c r="Q46" s="19"/>
      <c r="R46" s="43"/>
      <c r="S46" s="19"/>
      <c r="T46" s="43"/>
      <c r="U46" s="19"/>
      <c r="V46" s="43"/>
      <c r="W46" s="19"/>
      <c r="Z46" s="3">
        <f>Neu!$B19</f>
        <v>0</v>
      </c>
      <c r="AA46" s="43"/>
      <c r="AB46" s="17"/>
      <c r="AC46" s="17"/>
      <c r="AD46" s="34"/>
      <c r="AE46" s="17"/>
      <c r="AF46" s="17"/>
      <c r="AG46" s="19"/>
      <c r="AH46" s="43"/>
      <c r="AI46" s="17"/>
      <c r="AJ46" s="17"/>
      <c r="AK46" s="34"/>
      <c r="AL46" s="17"/>
      <c r="AM46" s="17"/>
      <c r="AN46" s="19"/>
      <c r="AO46" s="43"/>
      <c r="AP46" s="17"/>
      <c r="AQ46" s="17"/>
      <c r="AR46" s="34"/>
      <c r="AS46" s="17"/>
      <c r="AT46" s="17"/>
      <c r="AU46" s="19"/>
      <c r="AV46" s="43"/>
      <c r="AW46" s="17"/>
      <c r="AX46" s="17"/>
      <c r="AY46" s="34"/>
      <c r="AZ46" s="17"/>
      <c r="BA46" s="17"/>
      <c r="BB46" s="19"/>
    </row>
    <row r="47" spans="4:57" x14ac:dyDescent="0.35">
      <c r="D47" s="3">
        <f>Neu!$B20</f>
        <v>0</v>
      </c>
      <c r="E47" s="20"/>
      <c r="F47" s="17"/>
      <c r="G47" s="19"/>
      <c r="H47" s="43"/>
      <c r="I47" s="17"/>
      <c r="J47" s="19"/>
      <c r="K47" s="43"/>
      <c r="L47" s="17"/>
      <c r="M47" s="19"/>
      <c r="O47" s="3">
        <f>Neu!$B20</f>
        <v>0</v>
      </c>
      <c r="P47" s="43"/>
      <c r="Q47" s="19"/>
      <c r="R47" s="43"/>
      <c r="S47" s="19"/>
      <c r="T47" s="43"/>
      <c r="U47" s="19"/>
      <c r="V47" s="43"/>
      <c r="W47" s="19"/>
      <c r="Z47" s="3">
        <f>Neu!$B20</f>
        <v>0</v>
      </c>
      <c r="AA47" s="43"/>
      <c r="AB47" s="17"/>
      <c r="AC47" s="17"/>
      <c r="AD47" s="34"/>
      <c r="AE47" s="17"/>
      <c r="AF47" s="17"/>
      <c r="AG47" s="19"/>
      <c r="AH47" s="43"/>
      <c r="AI47" s="17"/>
      <c r="AJ47" s="17"/>
      <c r="AK47" s="34"/>
      <c r="AL47" s="17"/>
      <c r="AM47" s="17"/>
      <c r="AN47" s="19"/>
      <c r="AO47" s="43"/>
      <c r="AP47" s="17"/>
      <c r="AQ47" s="17"/>
      <c r="AR47" s="34"/>
      <c r="AS47" s="17"/>
      <c r="AT47" s="17"/>
      <c r="AU47" s="19"/>
      <c r="AV47" s="43"/>
      <c r="AW47" s="17"/>
      <c r="AX47" s="17"/>
      <c r="AY47" s="34"/>
      <c r="AZ47" s="17"/>
      <c r="BA47" s="17"/>
      <c r="BB47" s="19"/>
    </row>
    <row r="48" spans="4:57" x14ac:dyDescent="0.35">
      <c r="D48" s="3">
        <f>Neu!$B21</f>
        <v>0</v>
      </c>
      <c r="E48" s="20"/>
      <c r="F48" s="17"/>
      <c r="G48" s="19"/>
      <c r="H48" s="43"/>
      <c r="I48" s="17"/>
      <c r="J48" s="19"/>
      <c r="K48" s="43"/>
      <c r="L48" s="17"/>
      <c r="M48" s="19"/>
      <c r="O48" s="3">
        <f>Neu!$B21</f>
        <v>0</v>
      </c>
      <c r="P48" s="43"/>
      <c r="Q48" s="19"/>
      <c r="R48" s="43"/>
      <c r="S48" s="19"/>
      <c r="T48" s="43"/>
      <c r="U48" s="19"/>
      <c r="V48" s="43"/>
      <c r="W48" s="19"/>
      <c r="Z48" s="3">
        <f>Neu!$B21</f>
        <v>0</v>
      </c>
      <c r="AA48" s="43"/>
      <c r="AB48" s="17"/>
      <c r="AC48" s="17"/>
      <c r="AD48" s="34"/>
      <c r="AE48" s="17"/>
      <c r="AF48" s="17"/>
      <c r="AG48" s="19"/>
      <c r="AH48" s="43"/>
      <c r="AI48" s="17"/>
      <c r="AJ48" s="17"/>
      <c r="AK48" s="34"/>
      <c r="AL48" s="17"/>
      <c r="AM48" s="17"/>
      <c r="AN48" s="19"/>
      <c r="AO48" s="43"/>
      <c r="AP48" s="17"/>
      <c r="AQ48" s="17"/>
      <c r="AR48" s="34"/>
      <c r="AS48" s="17"/>
      <c r="AT48" s="17"/>
      <c r="AU48" s="19"/>
      <c r="AV48" s="43"/>
      <c r="AW48" s="17"/>
      <c r="AX48" s="17"/>
      <c r="AY48" s="34"/>
      <c r="AZ48" s="17"/>
      <c r="BA48" s="17"/>
      <c r="BB48" s="19"/>
    </row>
    <row r="49" spans="3:54" x14ac:dyDescent="0.35">
      <c r="D49" s="3">
        <f>Neu!$B22</f>
        <v>0</v>
      </c>
      <c r="E49" s="20"/>
      <c r="F49" s="17"/>
      <c r="G49" s="19"/>
      <c r="H49" s="43"/>
      <c r="I49" s="17"/>
      <c r="J49" s="19"/>
      <c r="K49" s="43"/>
      <c r="L49" s="17"/>
      <c r="M49" s="19"/>
      <c r="O49" s="3">
        <f>Neu!$B22</f>
        <v>0</v>
      </c>
      <c r="P49" s="43"/>
      <c r="Q49" s="19"/>
      <c r="R49" s="43"/>
      <c r="S49" s="19"/>
      <c r="T49" s="43"/>
      <c r="U49" s="19"/>
      <c r="V49" s="43"/>
      <c r="W49" s="19"/>
      <c r="Z49" s="3">
        <f>Neu!$B22</f>
        <v>0</v>
      </c>
      <c r="AA49" s="43"/>
      <c r="AB49" s="17"/>
      <c r="AC49" s="17"/>
      <c r="AD49" s="34"/>
      <c r="AE49" s="17"/>
      <c r="AF49" s="17"/>
      <c r="AG49" s="19"/>
      <c r="AH49" s="43"/>
      <c r="AI49" s="17"/>
      <c r="AJ49" s="17"/>
      <c r="AK49" s="34"/>
      <c r="AL49" s="17"/>
      <c r="AM49" s="17"/>
      <c r="AN49" s="19"/>
      <c r="AO49" s="43"/>
      <c r="AP49" s="17"/>
      <c r="AQ49" s="17"/>
      <c r="AR49" s="34"/>
      <c r="AS49" s="17"/>
      <c r="AT49" s="17"/>
      <c r="AU49" s="19"/>
      <c r="AV49" s="43"/>
      <c r="AW49" s="17"/>
      <c r="AX49" s="17"/>
      <c r="AY49" s="34"/>
      <c r="AZ49" s="17"/>
      <c r="BA49" s="17"/>
      <c r="BB49" s="19"/>
    </row>
    <row r="50" spans="3:54" x14ac:dyDescent="0.35">
      <c r="D50" s="3">
        <f>Neu!$B23</f>
        <v>0</v>
      </c>
      <c r="E50" s="20"/>
      <c r="F50" s="17"/>
      <c r="G50" s="19"/>
      <c r="H50" s="43"/>
      <c r="I50" s="17"/>
      <c r="J50" s="19"/>
      <c r="K50" s="43"/>
      <c r="L50" s="17"/>
      <c r="M50" s="19"/>
      <c r="O50" s="3">
        <f>Neu!$B23</f>
        <v>0</v>
      </c>
      <c r="P50" s="43"/>
      <c r="Q50" s="19"/>
      <c r="R50" s="43"/>
      <c r="S50" s="19"/>
      <c r="T50" s="43"/>
      <c r="U50" s="19"/>
      <c r="V50" s="43"/>
      <c r="W50" s="19"/>
      <c r="Z50" s="3">
        <f>Neu!$B23</f>
        <v>0</v>
      </c>
      <c r="AA50" s="43"/>
      <c r="AB50" s="17"/>
      <c r="AC50" s="17"/>
      <c r="AD50" s="34"/>
      <c r="AE50" s="17"/>
      <c r="AF50" s="17"/>
      <c r="AG50" s="19"/>
      <c r="AH50" s="43"/>
      <c r="AI50" s="17"/>
      <c r="AJ50" s="17"/>
      <c r="AK50" s="34"/>
      <c r="AL50" s="17"/>
      <c r="AM50" s="17"/>
      <c r="AN50" s="19"/>
      <c r="AO50" s="43"/>
      <c r="AP50" s="17"/>
      <c r="AQ50" s="17"/>
      <c r="AR50" s="34"/>
      <c r="AS50" s="17"/>
      <c r="AT50" s="17"/>
      <c r="AU50" s="19"/>
      <c r="AV50" s="43"/>
      <c r="AW50" s="17"/>
      <c r="AX50" s="17"/>
      <c r="AY50" s="34"/>
      <c r="AZ50" s="17"/>
      <c r="BA50" s="17"/>
      <c r="BB50" s="19"/>
    </row>
    <row r="51" spans="3:54" ht="15" thickBot="1" x14ac:dyDescent="0.4">
      <c r="D51" s="5">
        <f>Neu!$B24</f>
        <v>0</v>
      </c>
      <c r="E51" s="21"/>
      <c r="F51" s="22"/>
      <c r="G51" s="45"/>
      <c r="H51" s="44"/>
      <c r="I51" s="22"/>
      <c r="J51" s="45"/>
      <c r="K51" s="44"/>
      <c r="L51" s="22"/>
      <c r="M51" s="45"/>
      <c r="O51" s="5">
        <f>Neu!$B24</f>
        <v>0</v>
      </c>
      <c r="P51" s="44"/>
      <c r="Q51" s="45"/>
      <c r="R51" s="44"/>
      <c r="S51" s="45"/>
      <c r="T51" s="44"/>
      <c r="U51" s="45"/>
      <c r="V51" s="44"/>
      <c r="W51" s="45"/>
      <c r="Z51" s="5">
        <f>Neu!$B24</f>
        <v>0</v>
      </c>
      <c r="AA51" s="44"/>
      <c r="AB51" s="22"/>
      <c r="AC51" s="22"/>
      <c r="AD51" s="58"/>
      <c r="AE51" s="22"/>
      <c r="AF51" s="22"/>
      <c r="AG51" s="45"/>
      <c r="AH51" s="44"/>
      <c r="AI51" s="22"/>
      <c r="AJ51" s="22"/>
      <c r="AK51" s="58"/>
      <c r="AL51" s="22"/>
      <c r="AM51" s="22"/>
      <c r="AN51" s="45"/>
      <c r="AO51" s="44"/>
      <c r="AP51" s="22"/>
      <c r="AQ51" s="22"/>
      <c r="AR51" s="58"/>
      <c r="AS51" s="22"/>
      <c r="AT51" s="22"/>
      <c r="AU51" s="45"/>
      <c r="AV51" s="44"/>
      <c r="AW51" s="22"/>
      <c r="AX51" s="22"/>
      <c r="AY51" s="58"/>
      <c r="AZ51" s="22"/>
      <c r="BA51" s="22"/>
      <c r="BB51" s="45"/>
    </row>
    <row r="52" spans="3:54" x14ac:dyDescent="0.35">
      <c r="AC52" s="23"/>
      <c r="AD52" s="68"/>
      <c r="AE52" s="23"/>
      <c r="AF52" s="23"/>
      <c r="AG52" s="23"/>
    </row>
    <row r="54" spans="3:54" x14ac:dyDescent="0.35">
      <c r="F54" s="14" t="s">
        <v>128</v>
      </c>
      <c r="AC54" s="51" t="s">
        <v>118</v>
      </c>
      <c r="AD54" s="14" t="s">
        <v>107</v>
      </c>
      <c r="AG54" s="14" t="s">
        <v>109</v>
      </c>
    </row>
    <row r="55" spans="3:54" x14ac:dyDescent="0.35">
      <c r="AC55" s="51" t="s">
        <v>119</v>
      </c>
      <c r="AD55" s="14" t="s">
        <v>108</v>
      </c>
      <c r="AG55" s="14" t="s">
        <v>110</v>
      </c>
    </row>
    <row r="56" spans="3:54" x14ac:dyDescent="0.35">
      <c r="AC56" s="57" t="s">
        <v>120</v>
      </c>
      <c r="AD56" s="14" t="s">
        <v>113</v>
      </c>
      <c r="AG56" s="14" t="s">
        <v>111</v>
      </c>
    </row>
    <row r="57" spans="3:54" x14ac:dyDescent="0.35">
      <c r="C57" s="14" t="s">
        <v>92</v>
      </c>
      <c r="D57" s="14" t="s">
        <v>135</v>
      </c>
    </row>
    <row r="58" spans="3:54" x14ac:dyDescent="0.35">
      <c r="C58" s="14" t="s">
        <v>8</v>
      </c>
      <c r="D58" s="14" t="s">
        <v>136</v>
      </c>
    </row>
    <row r="59" spans="3:54" x14ac:dyDescent="0.35">
      <c r="C59" s="14" t="s">
        <v>9</v>
      </c>
      <c r="D59" s="14" t="s">
        <v>137</v>
      </c>
    </row>
    <row r="60" spans="3:54" x14ac:dyDescent="0.35">
      <c r="C60" s="14" t="s">
        <v>10</v>
      </c>
      <c r="D60" s="14" t="s">
        <v>138</v>
      </c>
    </row>
    <row r="61" spans="3:54" x14ac:dyDescent="0.35">
      <c r="C61" s="14" t="s">
        <v>89</v>
      </c>
      <c r="D61" s="14" t="s">
        <v>139</v>
      </c>
    </row>
    <row r="62" spans="3:54" x14ac:dyDescent="0.35">
      <c r="C62" s="14" t="s">
        <v>90</v>
      </c>
      <c r="D62" s="14" t="s">
        <v>140</v>
      </c>
    </row>
  </sheetData>
  <mergeCells count="22"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CJ2:CL2"/>
    <mergeCell ref="CM2:CX2"/>
    <mergeCell ref="CY2:DJ2"/>
    <mergeCell ref="BI1:CI1"/>
    <mergeCell ref="BX2:CI2"/>
    <mergeCell ref="J2:U2"/>
    <mergeCell ref="V2:AG2"/>
    <mergeCell ref="G1:AG1"/>
    <mergeCell ref="BI2:BK2"/>
    <mergeCell ref="BL2:BW2"/>
  </mergeCells>
  <conditionalFormatting sqref="A4:A24">
    <cfRule type="cellIs" dxfId="20" priority="115" operator="equal">
      <formula>0</formula>
    </cfRule>
  </conditionalFormatting>
  <conditionalFormatting sqref="D31:D51">
    <cfRule type="cellIs" dxfId="19" priority="4" operator="equal">
      <formula>0</formula>
    </cfRule>
  </conditionalFormatting>
  <conditionalFormatting sqref="E4:EK24">
    <cfRule type="notContainsBlanks" dxfId="18" priority="5">
      <formula>LEN(TRIM(E4))&gt;0</formula>
    </cfRule>
  </conditionalFormatting>
  <conditionalFormatting sqref="G25:AD26">
    <cfRule type="notContainsBlanks" dxfId="17" priority="18">
      <formula>LEN(TRIM(G25))&gt;0</formula>
    </cfRule>
  </conditionalFormatting>
  <conditionalFormatting sqref="O31:O51">
    <cfRule type="cellIs" dxfId="16" priority="3" operator="equal">
      <formula>0</formula>
    </cfRule>
  </conditionalFormatting>
  <conditionalFormatting sqref="Z31:Z51">
    <cfRule type="cellIs" dxfId="15" priority="2" operator="equal">
      <formula>0</formula>
    </cfRule>
  </conditionalFormatting>
  <conditionalFormatting sqref="BD31:BD40">
    <cfRule type="cellIs" dxfId="14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zoomScale="90" zoomScaleNormal="90" workbookViewId="0">
      <selection activeCell="L18" sqref="L18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2"/>
      <c r="B1" s="162"/>
      <c r="C1" s="162" t="s">
        <v>4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 spans="1:30" ht="15" thickBot="1" x14ac:dyDescent="0.4">
      <c r="A2" s="162"/>
      <c r="B2" s="162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163" t="s">
        <v>5</v>
      </c>
      <c r="B3" s="161" t="str">
        <f>Neu!B4</f>
        <v>B63ls</v>
      </c>
      <c r="C3" s="113"/>
      <c r="D3" s="114"/>
      <c r="E3" s="114"/>
      <c r="F3" s="114"/>
      <c r="G3" s="114"/>
      <c r="H3" s="115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14"/>
      <c r="U3" s="114"/>
      <c r="V3" s="114"/>
      <c r="W3" s="116"/>
      <c r="X3" s="137" t="s">
        <v>144</v>
      </c>
      <c r="Y3" s="1" t="s">
        <v>147</v>
      </c>
      <c r="Z3" s="63"/>
      <c r="AA3" s="63"/>
      <c r="AB3" s="63"/>
      <c r="AC3" s="63"/>
      <c r="AD3" s="63"/>
    </row>
    <row r="4" spans="1:30" ht="14.25" customHeight="1" x14ac:dyDescent="0.35">
      <c r="A4" s="163"/>
      <c r="B4" s="159"/>
      <c r="C4" s="117"/>
      <c r="D4" s="111"/>
      <c r="E4" s="111"/>
      <c r="F4" s="111"/>
      <c r="G4" s="111"/>
      <c r="H4" s="102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02"/>
      <c r="T4" s="111"/>
      <c r="U4" s="111"/>
      <c r="V4" s="111"/>
      <c r="W4" s="118"/>
      <c r="X4" s="137" t="s">
        <v>145</v>
      </c>
      <c r="Y4" s="139">
        <f>MAX($C$3:$W$44)-(ROW(Y4)-4)*0.5</f>
        <v>1000</v>
      </c>
      <c r="Z4" s="63"/>
      <c r="AA4" s="63"/>
      <c r="AB4" s="63"/>
      <c r="AC4" s="63"/>
      <c r="AD4" s="63"/>
    </row>
    <row r="5" spans="1:30" ht="14.25" customHeight="1" x14ac:dyDescent="0.35">
      <c r="A5" s="163"/>
      <c r="B5" s="158" t="str">
        <f>Neu!B5</f>
        <v>B63la</v>
      </c>
      <c r="C5" s="119"/>
      <c r="D5" s="108"/>
      <c r="E5" s="110">
        <v>0.4</v>
      </c>
      <c r="F5" s="110"/>
      <c r="G5" s="143"/>
      <c r="H5" s="103"/>
      <c r="I5" s="110"/>
      <c r="J5" s="110"/>
      <c r="K5" s="143"/>
      <c r="L5" s="110"/>
      <c r="M5" s="110"/>
      <c r="N5" s="110"/>
      <c r="O5" s="110"/>
      <c r="P5" s="110"/>
      <c r="Q5" s="110"/>
      <c r="R5" s="110"/>
      <c r="S5" s="103"/>
      <c r="T5" s="110"/>
      <c r="U5" s="110"/>
      <c r="V5" s="110"/>
      <c r="W5" s="120"/>
      <c r="X5" s="63"/>
      <c r="Y5" s="139">
        <f t="shared" ref="Y5:Y26" si="0">MAX($C$3:$W$44)-(ROW(Y5)-4)*0.5</f>
        <v>999.5</v>
      </c>
      <c r="Z5" s="63"/>
      <c r="AA5" s="63"/>
      <c r="AB5" s="63"/>
      <c r="AC5" s="63"/>
      <c r="AD5" s="63"/>
    </row>
    <row r="6" spans="1:30" ht="14.25" customHeight="1" x14ac:dyDescent="0.35">
      <c r="A6" s="163"/>
      <c r="B6" s="159"/>
      <c r="C6" s="121"/>
      <c r="D6" s="112"/>
      <c r="E6" s="96">
        <v>18</v>
      </c>
      <c r="F6" s="96">
        <v>0.16</v>
      </c>
      <c r="G6" s="144">
        <v>0.01</v>
      </c>
      <c r="H6" s="97"/>
      <c r="I6" s="96"/>
      <c r="J6" s="96"/>
      <c r="K6" s="144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  <c r="W6" s="98"/>
      <c r="X6" s="63"/>
      <c r="Y6" s="139">
        <f t="shared" si="0"/>
        <v>999</v>
      </c>
      <c r="Z6" s="63"/>
      <c r="AA6" s="63"/>
      <c r="AB6" s="63"/>
      <c r="AC6" s="63"/>
      <c r="AD6" s="63"/>
    </row>
    <row r="7" spans="1:30" ht="14.25" customHeight="1" x14ac:dyDescent="0.35">
      <c r="A7" s="163"/>
      <c r="B7" s="158" t="str">
        <f>Neu!B6</f>
        <v>B31rs</v>
      </c>
      <c r="C7" s="119"/>
      <c r="D7" s="110"/>
      <c r="E7" s="108"/>
      <c r="F7" s="110"/>
      <c r="G7" s="110"/>
      <c r="H7" s="103"/>
      <c r="I7" s="143"/>
      <c r="J7" s="110"/>
      <c r="K7" s="110"/>
      <c r="L7" s="110"/>
      <c r="M7" s="110"/>
      <c r="N7" s="110"/>
      <c r="O7" s="110"/>
      <c r="P7" s="110"/>
      <c r="Q7" s="110"/>
      <c r="R7" s="110"/>
      <c r="S7" s="103"/>
      <c r="T7" s="110"/>
      <c r="U7" s="110"/>
      <c r="V7" s="110"/>
      <c r="W7" s="120"/>
      <c r="X7" s="63"/>
      <c r="Y7" s="139">
        <f t="shared" si="0"/>
        <v>998.5</v>
      </c>
      <c r="Z7" s="63"/>
      <c r="AA7" s="63"/>
      <c r="AB7" s="63"/>
      <c r="AC7" s="63"/>
      <c r="AD7" s="63"/>
    </row>
    <row r="8" spans="1:30" ht="14.25" customHeight="1" x14ac:dyDescent="0.35">
      <c r="A8" s="163"/>
      <c r="B8" s="159"/>
      <c r="C8" s="121"/>
      <c r="D8" s="96"/>
      <c r="E8" s="112"/>
      <c r="F8" s="96"/>
      <c r="G8" s="96"/>
      <c r="H8" s="97"/>
      <c r="I8" s="144"/>
      <c r="J8" s="96"/>
      <c r="K8" s="96"/>
      <c r="L8" s="96"/>
      <c r="M8" s="96"/>
      <c r="N8" s="96"/>
      <c r="O8" s="96"/>
      <c r="P8" s="96"/>
      <c r="Q8" s="96"/>
      <c r="R8" s="96"/>
      <c r="S8" s="97"/>
      <c r="T8" s="96"/>
      <c r="U8" s="96"/>
      <c r="V8" s="96"/>
      <c r="W8" s="98"/>
      <c r="X8" s="63"/>
      <c r="Y8" s="139">
        <f t="shared" si="0"/>
        <v>998</v>
      </c>
      <c r="Z8" s="63"/>
      <c r="AA8" s="63"/>
      <c r="AB8" s="63"/>
      <c r="AC8" s="63"/>
      <c r="AD8" s="63"/>
    </row>
    <row r="9" spans="1:30" ht="14.25" customHeight="1" x14ac:dyDescent="0.35">
      <c r="A9" s="163"/>
      <c r="B9" s="158" t="str">
        <f>Neu!B7</f>
        <v>B64ls</v>
      </c>
      <c r="C9" s="119"/>
      <c r="D9" s="110"/>
      <c r="E9" s="110"/>
      <c r="F9" s="108"/>
      <c r="G9" s="110"/>
      <c r="H9" s="103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03"/>
      <c r="T9" s="110"/>
      <c r="U9" s="110"/>
      <c r="V9" s="110"/>
      <c r="W9" s="120"/>
      <c r="X9" s="63"/>
      <c r="Y9" s="139">
        <f t="shared" si="0"/>
        <v>997.5</v>
      </c>
      <c r="Z9" s="63"/>
      <c r="AA9" s="63"/>
      <c r="AB9" s="63"/>
      <c r="AC9" s="63"/>
      <c r="AD9" s="63"/>
    </row>
    <row r="10" spans="1:30" ht="14.25" customHeight="1" x14ac:dyDescent="0.35">
      <c r="A10" s="163"/>
      <c r="B10" s="159"/>
      <c r="C10" s="121"/>
      <c r="D10" s="96"/>
      <c r="E10" s="96"/>
      <c r="F10" s="112"/>
      <c r="G10" s="96"/>
      <c r="H10" s="97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6"/>
      <c r="U10" s="96"/>
      <c r="V10" s="96"/>
      <c r="W10" s="98"/>
      <c r="X10" s="63"/>
      <c r="Y10" s="139">
        <f t="shared" si="0"/>
        <v>997</v>
      </c>
      <c r="Z10" s="63"/>
      <c r="AA10" s="63"/>
      <c r="AB10" s="63"/>
      <c r="AC10" s="63"/>
      <c r="AD10" s="63"/>
    </row>
    <row r="11" spans="1:30" ht="14.25" customHeight="1" x14ac:dyDescent="0.35">
      <c r="A11" s="163"/>
      <c r="B11" s="158" t="str">
        <f>Neu!B8</f>
        <v>B64la</v>
      </c>
      <c r="C11" s="119"/>
      <c r="D11" s="110"/>
      <c r="E11" s="110"/>
      <c r="F11" s="110"/>
      <c r="G11" s="108"/>
      <c r="H11" s="103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03"/>
      <c r="T11" s="110"/>
      <c r="U11" s="110"/>
      <c r="V11" s="110"/>
      <c r="W11" s="120"/>
      <c r="X11" s="63"/>
      <c r="Y11" s="139">
        <f t="shared" si="0"/>
        <v>996.5</v>
      </c>
      <c r="Z11" s="63"/>
      <c r="AA11" s="63"/>
      <c r="AB11" s="63"/>
      <c r="AC11" s="63"/>
      <c r="AD11" s="63"/>
    </row>
    <row r="12" spans="1:30" ht="14.25" customHeight="1" x14ac:dyDescent="0.35">
      <c r="A12" s="163"/>
      <c r="B12" s="159"/>
      <c r="C12" s="121">
        <v>200</v>
      </c>
      <c r="D12" s="96">
        <v>200</v>
      </c>
      <c r="E12" s="96">
        <v>1000</v>
      </c>
      <c r="F12" s="96"/>
      <c r="G12" s="112"/>
      <c r="H12" s="97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6"/>
      <c r="U12" s="96"/>
      <c r="V12" s="96"/>
      <c r="W12" s="98"/>
      <c r="X12" s="63"/>
      <c r="Y12" s="139">
        <f t="shared" si="0"/>
        <v>996</v>
      </c>
      <c r="Z12" s="63"/>
      <c r="AA12" s="63"/>
      <c r="AB12" s="63"/>
      <c r="AC12" s="63"/>
      <c r="AD12" s="63"/>
    </row>
    <row r="13" spans="1:30" ht="14.25" customHeight="1" x14ac:dyDescent="0.35">
      <c r="A13" s="163"/>
      <c r="B13" s="158" t="str">
        <f>Neu!B9</f>
        <v>B63rs</v>
      </c>
      <c r="C13" s="119"/>
      <c r="D13" s="110"/>
      <c r="E13" s="110"/>
      <c r="F13" s="110"/>
      <c r="G13" s="110"/>
      <c r="H13" s="101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03"/>
      <c r="T13" s="110"/>
      <c r="U13" s="110"/>
      <c r="V13" s="110"/>
      <c r="W13" s="120"/>
      <c r="X13" s="63"/>
      <c r="Y13" s="139">
        <f t="shared" si="0"/>
        <v>995.5</v>
      </c>
      <c r="Z13" s="63"/>
      <c r="AA13" s="63"/>
      <c r="AB13" s="63"/>
      <c r="AC13" s="63"/>
      <c r="AD13" s="63"/>
    </row>
    <row r="14" spans="1:30" ht="14.25" customHeight="1" x14ac:dyDescent="0.35">
      <c r="A14" s="163"/>
      <c r="B14" s="159"/>
      <c r="C14" s="122"/>
      <c r="D14" s="111"/>
      <c r="E14" s="111"/>
      <c r="F14" s="111"/>
      <c r="G14" s="111"/>
      <c r="H14" s="104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T14" s="111"/>
      <c r="U14" s="111"/>
      <c r="V14" s="111"/>
      <c r="W14" s="118"/>
      <c r="X14" s="63"/>
      <c r="Y14" s="139">
        <f t="shared" si="0"/>
        <v>995</v>
      </c>
      <c r="Z14" s="63"/>
      <c r="AA14" s="63"/>
      <c r="AB14" s="63"/>
      <c r="AC14" s="63"/>
      <c r="AD14" s="63"/>
    </row>
    <row r="15" spans="1:30" ht="14.25" customHeight="1" x14ac:dyDescent="0.35">
      <c r="A15" s="163"/>
      <c r="B15" s="158" t="str">
        <f>Neu!B10</f>
        <v>B63ra</v>
      </c>
      <c r="C15" s="119"/>
      <c r="D15" s="110"/>
      <c r="E15" s="110"/>
      <c r="F15" s="110"/>
      <c r="G15" s="110"/>
      <c r="H15" s="103"/>
      <c r="I15" s="108"/>
      <c r="J15" s="110">
        <v>0.4</v>
      </c>
      <c r="K15" s="110"/>
      <c r="L15" s="110"/>
      <c r="M15" s="110"/>
      <c r="N15" s="110"/>
      <c r="O15" s="110"/>
      <c r="P15" s="110"/>
      <c r="Q15" s="110"/>
      <c r="R15" s="110"/>
      <c r="S15" s="103"/>
      <c r="T15" s="110"/>
      <c r="U15" s="110"/>
      <c r="V15" s="110"/>
      <c r="W15" s="120"/>
      <c r="X15" s="63"/>
      <c r="Y15" s="139">
        <f t="shared" si="0"/>
        <v>994.5</v>
      </c>
      <c r="Z15" s="63"/>
      <c r="AA15" s="63"/>
      <c r="AB15" s="63"/>
      <c r="AC15" s="63"/>
      <c r="AD15" s="63"/>
    </row>
    <row r="16" spans="1:30" ht="14.25" customHeight="1" x14ac:dyDescent="0.35">
      <c r="A16" s="163"/>
      <c r="B16" s="159"/>
      <c r="C16" s="121"/>
      <c r="D16" s="96"/>
      <c r="E16" s="96"/>
      <c r="F16" s="96"/>
      <c r="G16" s="96"/>
      <c r="H16" s="97"/>
      <c r="I16" s="112"/>
      <c r="J16" s="96">
        <v>9.9999999999999995E-7</v>
      </c>
      <c r="K16" s="96">
        <v>0.16</v>
      </c>
      <c r="L16" s="96">
        <v>0.01</v>
      </c>
      <c r="M16" s="96"/>
      <c r="N16" s="96"/>
      <c r="O16" s="96"/>
      <c r="P16" s="96"/>
      <c r="Q16" s="96"/>
      <c r="R16" s="96"/>
      <c r="S16" s="97"/>
      <c r="T16" s="96"/>
      <c r="U16" s="96"/>
      <c r="V16" s="96"/>
      <c r="W16" s="98"/>
      <c r="X16" s="63"/>
      <c r="Y16" s="139">
        <f t="shared" si="0"/>
        <v>994</v>
      </c>
      <c r="Z16" s="63"/>
      <c r="AA16" s="63"/>
      <c r="AB16" s="63"/>
      <c r="AC16" s="63"/>
      <c r="AD16" s="63"/>
    </row>
    <row r="17" spans="1:30" ht="14.25" customHeight="1" x14ac:dyDescent="0.35">
      <c r="A17" s="163"/>
      <c r="B17" s="158" t="str">
        <f>Neu!B11</f>
        <v>B31ls</v>
      </c>
      <c r="C17" s="119"/>
      <c r="D17" s="110"/>
      <c r="E17" s="110"/>
      <c r="F17" s="110"/>
      <c r="G17" s="110"/>
      <c r="H17" s="103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03"/>
      <c r="T17" s="110"/>
      <c r="U17" s="110"/>
      <c r="V17" s="110"/>
      <c r="W17" s="120"/>
      <c r="X17" s="63"/>
      <c r="Y17" s="139">
        <f t="shared" si="0"/>
        <v>993.5</v>
      </c>
      <c r="Z17" s="63"/>
      <c r="AA17" s="63"/>
      <c r="AB17" s="63"/>
      <c r="AC17" s="63"/>
      <c r="AD17" s="63"/>
    </row>
    <row r="18" spans="1:30" ht="14.25" customHeight="1" x14ac:dyDescent="0.35">
      <c r="A18" s="163"/>
      <c r="B18" s="159"/>
      <c r="C18" s="121"/>
      <c r="D18" s="96"/>
      <c r="E18" s="96"/>
      <c r="F18" s="96"/>
      <c r="G18" s="96"/>
      <c r="H18" s="97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7"/>
      <c r="T18" s="96"/>
      <c r="U18" s="96"/>
      <c r="V18" s="96"/>
      <c r="W18" s="98"/>
      <c r="X18" s="63"/>
      <c r="Y18" s="139">
        <f t="shared" si="0"/>
        <v>993</v>
      </c>
      <c r="Z18" s="63"/>
      <c r="AA18" s="63"/>
      <c r="AB18" s="63"/>
      <c r="AC18" s="63"/>
      <c r="AD18" s="63"/>
    </row>
    <row r="19" spans="1:30" ht="14.25" customHeight="1" x14ac:dyDescent="0.35">
      <c r="A19" s="163"/>
      <c r="B19" s="158" t="str">
        <f>Neu!B12</f>
        <v>B64rs</v>
      </c>
      <c r="C19" s="119"/>
      <c r="D19" s="110"/>
      <c r="E19" s="110"/>
      <c r="F19" s="110"/>
      <c r="G19" s="110"/>
      <c r="H19" s="103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03"/>
      <c r="T19" s="110"/>
      <c r="U19" s="110"/>
      <c r="V19" s="110"/>
      <c r="W19" s="120"/>
      <c r="X19" s="63"/>
      <c r="Y19" s="139">
        <f t="shared" si="0"/>
        <v>992.5</v>
      </c>
      <c r="Z19" s="63"/>
      <c r="AA19" s="63"/>
      <c r="AB19" s="63"/>
      <c r="AC19" s="63"/>
      <c r="AD19" s="63"/>
    </row>
    <row r="20" spans="1:30" ht="14.25" customHeight="1" x14ac:dyDescent="0.35">
      <c r="A20" s="163"/>
      <c r="B20" s="159"/>
      <c r="C20" s="121"/>
      <c r="D20" s="96"/>
      <c r="E20" s="96"/>
      <c r="F20" s="96"/>
      <c r="G20" s="96"/>
      <c r="H20" s="97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96"/>
      <c r="W20" s="98"/>
      <c r="X20" s="63"/>
      <c r="Y20" s="139">
        <f t="shared" si="0"/>
        <v>992</v>
      </c>
      <c r="Z20" s="63"/>
      <c r="AA20" s="63"/>
      <c r="AB20" s="63"/>
      <c r="AC20" s="63"/>
      <c r="AD20" s="63"/>
    </row>
    <row r="21" spans="1:30" ht="14.25" customHeight="1" x14ac:dyDescent="0.35">
      <c r="A21" s="163"/>
      <c r="B21" s="158" t="str">
        <f>Neu!B13</f>
        <v>B64ra</v>
      </c>
      <c r="C21" s="119"/>
      <c r="D21" s="110"/>
      <c r="E21" s="110"/>
      <c r="F21" s="110"/>
      <c r="G21" s="110"/>
      <c r="H21" s="103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03"/>
      <c r="T21" s="110"/>
      <c r="U21" s="110"/>
      <c r="V21" s="110"/>
      <c r="W21" s="120"/>
      <c r="X21" s="63"/>
      <c r="Y21" s="139">
        <f t="shared" si="0"/>
        <v>991.5</v>
      </c>
      <c r="Z21" s="63"/>
      <c r="AA21" s="63"/>
      <c r="AB21" s="63"/>
      <c r="AC21" s="63"/>
      <c r="AD21" s="63"/>
    </row>
    <row r="22" spans="1:30" ht="14.25" customHeight="1" x14ac:dyDescent="0.35">
      <c r="A22" s="163"/>
      <c r="B22" s="159"/>
      <c r="C22" s="121"/>
      <c r="D22" s="96"/>
      <c r="E22" s="96"/>
      <c r="F22" s="96"/>
      <c r="G22" s="96"/>
      <c r="H22" s="97">
        <v>200</v>
      </c>
      <c r="I22" s="96">
        <v>200</v>
      </c>
      <c r="J22" s="96">
        <v>1000</v>
      </c>
      <c r="K22" s="96"/>
      <c r="L22" s="112"/>
      <c r="M22" s="96"/>
      <c r="N22" s="96"/>
      <c r="O22" s="96"/>
      <c r="P22" s="96"/>
      <c r="Q22" s="96"/>
      <c r="R22" s="96"/>
      <c r="S22" s="97"/>
      <c r="T22" s="96"/>
      <c r="U22" s="96"/>
      <c r="V22" s="96"/>
      <c r="W22" s="98"/>
      <c r="X22" s="63"/>
      <c r="Y22" s="139">
        <f t="shared" si="0"/>
        <v>991</v>
      </c>
      <c r="Z22" s="63"/>
      <c r="AA22" s="63"/>
      <c r="AB22" s="63"/>
      <c r="AC22" s="63"/>
      <c r="AD22" s="63"/>
    </row>
    <row r="23" spans="1:30" ht="14.25" customHeight="1" x14ac:dyDescent="0.35">
      <c r="A23" s="163"/>
      <c r="B23" s="158">
        <f>Neu!B14</f>
        <v>0</v>
      </c>
      <c r="C23" s="119"/>
      <c r="D23" s="110"/>
      <c r="E23" s="110"/>
      <c r="F23" s="110"/>
      <c r="G23" s="110"/>
      <c r="H23" s="103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03"/>
      <c r="T23" s="110"/>
      <c r="U23" s="110"/>
      <c r="V23" s="110"/>
      <c r="W23" s="120"/>
      <c r="X23" s="63"/>
      <c r="Y23" s="139">
        <f t="shared" si="0"/>
        <v>990.5</v>
      </c>
      <c r="Z23" s="63"/>
      <c r="AA23" s="63"/>
      <c r="AB23" s="63"/>
      <c r="AC23" s="63"/>
      <c r="AD23" s="63"/>
    </row>
    <row r="24" spans="1:30" ht="14.25" customHeight="1" x14ac:dyDescent="0.35">
      <c r="A24" s="163"/>
      <c r="B24" s="159"/>
      <c r="C24" s="122"/>
      <c r="D24" s="111"/>
      <c r="E24" s="111"/>
      <c r="F24" s="111"/>
      <c r="G24" s="111"/>
      <c r="H24" s="102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02"/>
      <c r="T24" s="111"/>
      <c r="U24" s="111"/>
      <c r="V24" s="111"/>
      <c r="W24" s="118"/>
      <c r="X24" s="63"/>
      <c r="Y24" s="139">
        <f t="shared" si="0"/>
        <v>990</v>
      </c>
      <c r="Z24" s="63"/>
      <c r="AA24" s="63"/>
      <c r="AB24" s="63"/>
      <c r="AC24" s="63"/>
      <c r="AD24" s="63"/>
    </row>
    <row r="25" spans="1:30" ht="14.25" customHeight="1" x14ac:dyDescent="0.35">
      <c r="A25" s="163"/>
      <c r="B25" s="158">
        <f>Neu!B15</f>
        <v>0</v>
      </c>
      <c r="C25" s="119"/>
      <c r="D25" s="110"/>
      <c r="E25" s="110"/>
      <c r="F25" s="110"/>
      <c r="G25" s="110"/>
      <c r="H25" s="103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03"/>
      <c r="T25" s="110"/>
      <c r="U25" s="110"/>
      <c r="V25" s="110"/>
      <c r="W25" s="120"/>
      <c r="X25" s="63"/>
      <c r="Y25" s="139">
        <f t="shared" si="0"/>
        <v>989.5</v>
      </c>
      <c r="Z25" s="63"/>
      <c r="AA25" s="63"/>
      <c r="AB25" s="63"/>
      <c r="AC25" s="63"/>
      <c r="AD25" s="63"/>
    </row>
    <row r="26" spans="1:30" ht="14.25" customHeight="1" x14ac:dyDescent="0.35">
      <c r="A26" s="163"/>
      <c r="B26" s="159"/>
      <c r="C26" s="121"/>
      <c r="D26" s="96"/>
      <c r="E26" s="96"/>
      <c r="F26" s="96"/>
      <c r="G26" s="96"/>
      <c r="H26" s="97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7"/>
      <c r="T26" s="96"/>
      <c r="U26" s="96"/>
      <c r="V26" s="96"/>
      <c r="W26" s="98"/>
      <c r="X26" s="63"/>
      <c r="Y26" s="139">
        <f t="shared" si="0"/>
        <v>989</v>
      </c>
      <c r="Z26" s="63"/>
      <c r="AA26" s="63"/>
      <c r="AB26" s="63"/>
      <c r="AC26" s="63"/>
      <c r="AD26" s="63"/>
    </row>
    <row r="27" spans="1:30" ht="14.25" customHeight="1" x14ac:dyDescent="0.35">
      <c r="A27" s="163"/>
      <c r="B27" s="158">
        <f>Neu!B16</f>
        <v>0</v>
      </c>
      <c r="C27" s="119"/>
      <c r="D27" s="110"/>
      <c r="E27" s="110"/>
      <c r="F27" s="110"/>
      <c r="G27" s="110"/>
      <c r="H27" s="103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03"/>
      <c r="T27" s="110"/>
      <c r="U27" s="110"/>
      <c r="V27" s="110"/>
      <c r="W27" s="120"/>
      <c r="X27" s="63"/>
      <c r="Y27" s="63"/>
      <c r="Z27" s="63"/>
      <c r="AA27" s="63"/>
      <c r="AB27" s="63"/>
      <c r="AC27" s="63"/>
      <c r="AD27" s="63"/>
    </row>
    <row r="28" spans="1:30" ht="14.25" customHeight="1" x14ac:dyDescent="0.35">
      <c r="A28" s="163"/>
      <c r="B28" s="159"/>
      <c r="C28" s="121"/>
      <c r="D28" s="96"/>
      <c r="E28" s="96"/>
      <c r="F28" s="96"/>
      <c r="G28" s="96"/>
      <c r="H28" s="97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7"/>
      <c r="T28" s="96"/>
      <c r="U28" s="96"/>
      <c r="V28" s="96"/>
      <c r="W28" s="98"/>
      <c r="X28" s="63"/>
      <c r="Y28" s="63"/>
      <c r="Z28" s="63"/>
      <c r="AA28" s="63"/>
      <c r="AB28" s="63"/>
      <c r="AC28" s="63"/>
      <c r="AD28" s="63"/>
    </row>
    <row r="29" spans="1:30" ht="14.25" customHeight="1" x14ac:dyDescent="0.35">
      <c r="A29" s="163"/>
      <c r="B29" s="158">
        <f>Neu!B17</f>
        <v>0</v>
      </c>
      <c r="C29" s="119"/>
      <c r="D29" s="110"/>
      <c r="E29" s="110"/>
      <c r="F29" s="110"/>
      <c r="G29" s="110"/>
      <c r="H29" s="103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03"/>
      <c r="T29" s="110"/>
      <c r="U29" s="110"/>
      <c r="V29" s="110"/>
      <c r="W29" s="120"/>
      <c r="X29" s="63"/>
      <c r="Y29" s="63"/>
      <c r="Z29" s="63"/>
      <c r="AA29" s="63"/>
      <c r="AB29" s="63"/>
      <c r="AC29" s="63"/>
      <c r="AD29" s="63"/>
    </row>
    <row r="30" spans="1:30" ht="14.25" customHeight="1" x14ac:dyDescent="0.35">
      <c r="A30" s="163"/>
      <c r="B30" s="159"/>
      <c r="C30" s="122"/>
      <c r="D30" s="111"/>
      <c r="E30" s="111"/>
      <c r="F30" s="111"/>
      <c r="G30" s="111"/>
      <c r="H30" s="102"/>
      <c r="I30" s="111"/>
      <c r="J30" s="111"/>
      <c r="K30" s="111"/>
      <c r="L30" s="111"/>
      <c r="M30" s="111"/>
      <c r="N30" s="111"/>
      <c r="O30" s="111"/>
      <c r="P30" s="109"/>
      <c r="Q30" s="111"/>
      <c r="R30" s="111"/>
      <c r="S30" s="102"/>
      <c r="T30" s="111"/>
      <c r="U30" s="111"/>
      <c r="V30" s="111"/>
      <c r="W30" s="118"/>
      <c r="X30" s="63"/>
      <c r="Y30" s="63"/>
      <c r="Z30" s="63"/>
      <c r="AA30" s="63"/>
      <c r="AB30" s="63"/>
      <c r="AC30" s="63"/>
      <c r="AD30" s="63"/>
    </row>
    <row r="31" spans="1:30" ht="14.25" customHeight="1" x14ac:dyDescent="0.35">
      <c r="A31" s="163"/>
      <c r="B31" s="158">
        <f>Neu!B18</f>
        <v>0</v>
      </c>
      <c r="C31" s="119"/>
      <c r="D31" s="110"/>
      <c r="E31" s="110"/>
      <c r="F31" s="110"/>
      <c r="G31" s="110"/>
      <c r="H31" s="103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03"/>
      <c r="T31" s="110"/>
      <c r="U31" s="110"/>
      <c r="V31" s="110"/>
      <c r="W31" s="120"/>
      <c r="X31" s="63"/>
      <c r="Y31" s="63"/>
      <c r="Z31" s="63"/>
      <c r="AA31" s="63"/>
      <c r="AB31" s="63"/>
      <c r="AC31" s="63"/>
      <c r="AD31" s="63"/>
    </row>
    <row r="32" spans="1:30" ht="14.25" customHeight="1" x14ac:dyDescent="0.35">
      <c r="A32" s="163"/>
      <c r="B32" s="159"/>
      <c r="C32" s="121"/>
      <c r="D32" s="96"/>
      <c r="E32" s="96"/>
      <c r="F32" s="96"/>
      <c r="G32" s="96"/>
      <c r="H32" s="97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7"/>
      <c r="T32" s="96"/>
      <c r="U32" s="96"/>
      <c r="V32" s="96"/>
      <c r="W32" s="98"/>
      <c r="X32" s="63"/>
      <c r="Y32" s="63"/>
      <c r="Z32" s="63"/>
      <c r="AA32" s="63"/>
      <c r="AB32" s="63"/>
      <c r="AC32" s="63"/>
      <c r="AD32" s="63"/>
    </row>
    <row r="33" spans="1:30" ht="14.25" customHeight="1" x14ac:dyDescent="0.35">
      <c r="A33" s="163"/>
      <c r="B33" s="158">
        <f>Neu!B19</f>
        <v>0</v>
      </c>
      <c r="C33" s="119"/>
      <c r="D33" s="110"/>
      <c r="E33" s="110"/>
      <c r="F33" s="110"/>
      <c r="G33" s="110"/>
      <c r="H33" s="103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03"/>
      <c r="T33" s="110"/>
      <c r="U33" s="110"/>
      <c r="V33" s="110"/>
      <c r="W33" s="120"/>
      <c r="X33" s="63"/>
      <c r="Y33" s="63"/>
      <c r="Z33" s="63"/>
      <c r="AA33" s="63"/>
      <c r="AB33" s="63"/>
      <c r="AC33" s="63"/>
      <c r="AD33" s="63"/>
    </row>
    <row r="34" spans="1:30" ht="14.25" customHeight="1" x14ac:dyDescent="0.35">
      <c r="A34" s="163"/>
      <c r="B34" s="159"/>
      <c r="C34" s="121"/>
      <c r="D34" s="96"/>
      <c r="E34" s="96"/>
      <c r="F34" s="96"/>
      <c r="G34" s="96"/>
      <c r="H34" s="97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7"/>
      <c r="T34" s="96"/>
      <c r="U34" s="96"/>
      <c r="V34" s="96"/>
      <c r="W34" s="98"/>
      <c r="X34" s="63"/>
      <c r="Y34" s="63"/>
      <c r="Z34" s="63"/>
      <c r="AA34" s="63"/>
      <c r="AB34" s="63"/>
      <c r="AC34" s="63"/>
      <c r="AD34" s="63"/>
    </row>
    <row r="35" spans="1:30" ht="14.25" customHeight="1" x14ac:dyDescent="0.35">
      <c r="A35" s="163"/>
      <c r="B35" s="158">
        <f>Neu!B20</f>
        <v>0</v>
      </c>
      <c r="C35" s="119"/>
      <c r="D35" s="110"/>
      <c r="E35" s="110"/>
      <c r="F35" s="110"/>
      <c r="G35" s="110"/>
      <c r="H35" s="103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1"/>
      <c r="T35" s="110"/>
      <c r="U35" s="110"/>
      <c r="V35" s="110"/>
      <c r="W35" s="120"/>
      <c r="X35" s="63"/>
      <c r="Y35" s="63"/>
      <c r="Z35" s="63"/>
      <c r="AA35" s="63"/>
      <c r="AB35" s="63"/>
      <c r="AC35" s="63"/>
      <c r="AD35" s="63"/>
    </row>
    <row r="36" spans="1:30" ht="14.25" customHeight="1" x14ac:dyDescent="0.35">
      <c r="A36" s="163"/>
      <c r="B36" s="159"/>
      <c r="C36" s="121"/>
      <c r="D36" s="96"/>
      <c r="E36" s="96"/>
      <c r="F36" s="96"/>
      <c r="G36" s="96"/>
      <c r="H36" s="97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105"/>
      <c r="T36" s="96"/>
      <c r="U36" s="96"/>
      <c r="V36" s="96"/>
      <c r="W36" s="98"/>
      <c r="X36" s="63"/>
      <c r="Y36" s="63"/>
      <c r="Z36" s="63"/>
      <c r="AA36" s="63"/>
      <c r="AB36" s="63"/>
      <c r="AC36" s="63"/>
      <c r="AD36" s="63"/>
    </row>
    <row r="37" spans="1:30" ht="14.25" customHeight="1" x14ac:dyDescent="0.35">
      <c r="A37" s="163"/>
      <c r="B37" s="158">
        <f>Neu!B21</f>
        <v>0</v>
      </c>
      <c r="C37" s="119"/>
      <c r="D37" s="110"/>
      <c r="E37" s="110"/>
      <c r="F37" s="110"/>
      <c r="G37" s="110"/>
      <c r="H37" s="103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03"/>
      <c r="T37" s="108"/>
      <c r="U37" s="110"/>
      <c r="V37" s="110"/>
      <c r="W37" s="120"/>
      <c r="X37" s="63"/>
      <c r="Y37" s="63"/>
      <c r="Z37" s="63"/>
      <c r="AA37" s="63"/>
      <c r="AB37" s="63"/>
      <c r="AC37" s="63"/>
      <c r="AD37" s="63"/>
    </row>
    <row r="38" spans="1:30" ht="14.25" customHeight="1" x14ac:dyDescent="0.35">
      <c r="A38" s="163"/>
      <c r="B38" s="159"/>
      <c r="C38" s="122"/>
      <c r="D38" s="111"/>
      <c r="E38" s="111"/>
      <c r="F38" s="111"/>
      <c r="G38" s="111"/>
      <c r="H38" s="102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02"/>
      <c r="T38" s="109"/>
      <c r="U38" s="111"/>
      <c r="V38" s="111"/>
      <c r="W38" s="118"/>
      <c r="X38" s="63"/>
      <c r="Y38" s="63"/>
      <c r="Z38" s="63"/>
      <c r="AA38" s="63"/>
      <c r="AB38" s="63"/>
      <c r="AC38" s="63"/>
      <c r="AD38" s="63"/>
    </row>
    <row r="39" spans="1:30" ht="14.25" customHeight="1" x14ac:dyDescent="0.35">
      <c r="A39" s="163"/>
      <c r="B39" s="158">
        <f>Neu!B22</f>
        <v>0</v>
      </c>
      <c r="C39" s="119"/>
      <c r="D39" s="110"/>
      <c r="E39" s="110"/>
      <c r="F39" s="110"/>
      <c r="G39" s="110"/>
      <c r="H39" s="103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03"/>
      <c r="T39" s="110"/>
      <c r="U39" s="108"/>
      <c r="V39" s="110"/>
      <c r="W39" s="120"/>
      <c r="X39" s="63"/>
      <c r="Y39" s="63"/>
      <c r="Z39" s="63"/>
      <c r="AA39" s="63"/>
      <c r="AB39" s="63"/>
      <c r="AC39" s="63"/>
      <c r="AD39" s="63"/>
    </row>
    <row r="40" spans="1:30" ht="14.25" customHeight="1" x14ac:dyDescent="0.35">
      <c r="A40" s="163"/>
      <c r="B40" s="159"/>
      <c r="C40" s="121"/>
      <c r="D40" s="96"/>
      <c r="E40" s="96"/>
      <c r="F40" s="96"/>
      <c r="G40" s="96"/>
      <c r="H40" s="97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6"/>
      <c r="U40" s="112"/>
      <c r="V40" s="96"/>
      <c r="W40" s="98"/>
      <c r="X40" s="63"/>
      <c r="Y40" s="63"/>
      <c r="Z40" s="63"/>
      <c r="AA40" s="63"/>
      <c r="AB40" s="63"/>
      <c r="AC40" s="63"/>
      <c r="AD40" s="63"/>
    </row>
    <row r="41" spans="1:30" ht="14.25" customHeight="1" x14ac:dyDescent="0.35">
      <c r="A41" s="163"/>
      <c r="B41" s="158">
        <f>Neu!B23</f>
        <v>0</v>
      </c>
      <c r="C41" s="119"/>
      <c r="D41" s="110"/>
      <c r="E41" s="110"/>
      <c r="F41" s="110"/>
      <c r="G41" s="110"/>
      <c r="H41" s="103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03"/>
      <c r="T41" s="110"/>
      <c r="U41" s="110"/>
      <c r="V41" s="108"/>
      <c r="W41" s="120"/>
      <c r="X41" s="63"/>
      <c r="Y41" s="63"/>
      <c r="Z41" s="63"/>
      <c r="AA41" s="63"/>
      <c r="AB41" s="63"/>
      <c r="AC41" s="63"/>
      <c r="AD41" s="63"/>
    </row>
    <row r="42" spans="1:30" ht="14.25" customHeight="1" x14ac:dyDescent="0.35">
      <c r="A42" s="163"/>
      <c r="B42" s="159"/>
      <c r="C42" s="121"/>
      <c r="D42" s="96"/>
      <c r="E42" s="96"/>
      <c r="F42" s="96"/>
      <c r="G42" s="96"/>
      <c r="H42" s="9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  <c r="T42" s="96"/>
      <c r="U42" s="96"/>
      <c r="V42" s="112"/>
      <c r="W42" s="98"/>
      <c r="X42" s="63"/>
      <c r="Y42" s="63"/>
      <c r="Z42" s="63"/>
      <c r="AA42" s="63"/>
      <c r="AB42" s="63"/>
      <c r="AC42" s="63"/>
      <c r="AD42" s="63"/>
    </row>
    <row r="43" spans="1:30" ht="14.25" customHeight="1" x14ac:dyDescent="0.35">
      <c r="A43" s="163"/>
      <c r="B43" s="158">
        <f>Neu!B24</f>
        <v>0</v>
      </c>
      <c r="C43" s="119"/>
      <c r="D43" s="110"/>
      <c r="E43" s="110"/>
      <c r="F43" s="110"/>
      <c r="G43" s="110"/>
      <c r="H43" s="103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03"/>
      <c r="T43" s="110"/>
      <c r="U43" s="110"/>
      <c r="V43" s="110"/>
      <c r="W43" s="123"/>
      <c r="X43" s="63"/>
      <c r="Y43" s="63"/>
      <c r="Z43" s="63"/>
      <c r="AA43" s="63"/>
      <c r="AB43" s="63"/>
      <c r="AC43" s="63"/>
      <c r="AD43" s="63"/>
    </row>
    <row r="44" spans="1:30" ht="14.25" customHeight="1" thickBot="1" x14ac:dyDescent="0.4">
      <c r="A44" s="107"/>
      <c r="B44" s="160"/>
      <c r="C44" s="124"/>
      <c r="D44" s="125"/>
      <c r="E44" s="125"/>
      <c r="F44" s="125"/>
      <c r="G44" s="125"/>
      <c r="H44" s="126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6"/>
      <c r="T44" s="125"/>
      <c r="U44" s="125"/>
      <c r="V44" s="125"/>
      <c r="W44" s="127"/>
      <c r="X44" s="63"/>
      <c r="Y44" s="63"/>
      <c r="Z44" s="63"/>
      <c r="AA44" s="63"/>
      <c r="AB44" s="63"/>
      <c r="AC44" s="63"/>
      <c r="AD44" s="63"/>
    </row>
    <row r="45" spans="1:30" x14ac:dyDescent="0.35"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</row>
    <row r="46" spans="1:30" x14ac:dyDescent="0.35"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</row>
    <row r="47" spans="1:30" x14ac:dyDescent="0.35"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</row>
    <row r="48" spans="1:30" x14ac:dyDescent="0.35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</row>
    <row r="49" spans="3:30" x14ac:dyDescent="0.35"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  <row r="50" spans="3:30" x14ac:dyDescent="0.35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</row>
    <row r="51" spans="3:30" x14ac:dyDescent="0.35"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spans="3:30" x14ac:dyDescent="0.35"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  <row r="53" spans="3:30" x14ac:dyDescent="0.35"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</row>
    <row r="54" spans="3:30" x14ac:dyDescent="0.35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  <row r="55" spans="3:30" x14ac:dyDescent="0.3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</row>
    <row r="56" spans="3:30" x14ac:dyDescent="0.3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</row>
    <row r="57" spans="3:30" x14ac:dyDescent="0.3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spans="3:30" x14ac:dyDescent="0.3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</row>
    <row r="59" spans="3:30" x14ac:dyDescent="0.3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</row>
    <row r="60" spans="3:30" x14ac:dyDescent="0.3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</row>
    <row r="61" spans="3:30" x14ac:dyDescent="0.35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</row>
    <row r="62" spans="3:30" x14ac:dyDescent="0.35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</row>
    <row r="63" spans="3:30" x14ac:dyDescent="0.35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</row>
    <row r="64" spans="3:30" x14ac:dyDescent="0.35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</row>
    <row r="65" spans="3:30" x14ac:dyDescent="0.3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</row>
    <row r="66" spans="3:30" x14ac:dyDescent="0.35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</row>
    <row r="67" spans="3:30" x14ac:dyDescent="0.35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</row>
    <row r="68" spans="3:30" x14ac:dyDescent="0.35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</row>
    <row r="69" spans="3:30" x14ac:dyDescent="0.35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</row>
    <row r="70" spans="3:30" x14ac:dyDescent="0.35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</row>
    <row r="71" spans="3:30" x14ac:dyDescent="0.35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</row>
    <row r="72" spans="3:30" x14ac:dyDescent="0.35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</row>
    <row r="73" spans="3:30" x14ac:dyDescent="0.35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</row>
    <row r="74" spans="3:30" x14ac:dyDescent="0.35"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</row>
    <row r="75" spans="3:30" x14ac:dyDescent="0.35"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</row>
    <row r="76" spans="3:30" x14ac:dyDescent="0.35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3" priority="5" operator="equal">
      <formula>0</formula>
    </cfRule>
  </conditionalFormatting>
  <conditionalFormatting sqref="C3:L22">
    <cfRule type="colorScale" priority="1">
      <colorScale>
        <cfvo type="min"/>
        <cfvo type="max"/>
        <color rgb="FFFCFCFF"/>
        <color rgb="FFF8696B"/>
      </colorScale>
    </cfRule>
  </conditionalFormatting>
  <conditionalFormatting sqref="C2:W2">
    <cfRule type="cellIs" dxfId="12" priority="6" operator="equal">
      <formula>0</formula>
    </cfRule>
  </conditionalFormatting>
  <conditionalFormatting sqref="C23:W44 M3:W22">
    <cfRule type="colorScale" priority="8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11" priority="2" operator="lessThan">
      <formula>0</formula>
    </cfRule>
  </conditionalFormatting>
  <conditionalFormatting sqref="Y1:Y1048576">
    <cfRule type="colorScale" priority="3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topLeftCell="B1" zoomScale="90" zoomScaleNormal="90" workbookViewId="0">
      <selection activeCell="K35" sqref="K35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2"/>
      <c r="B1" s="162"/>
      <c r="C1" s="162" t="s">
        <v>4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 spans="1:30" ht="15" thickBot="1" x14ac:dyDescent="0.4">
      <c r="A2" s="162"/>
      <c r="B2" s="162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163" t="s">
        <v>5</v>
      </c>
      <c r="B3" s="161" t="str">
        <f>Neu!B4</f>
        <v>B63ls</v>
      </c>
      <c r="C3" s="132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6"/>
      <c r="X3" s="137" t="s">
        <v>144</v>
      </c>
      <c r="Y3" s="1" t="s">
        <v>147</v>
      </c>
      <c r="Z3" s="63"/>
      <c r="AA3" s="63"/>
      <c r="AB3" s="63"/>
      <c r="AC3" s="63"/>
      <c r="AD3" s="63"/>
    </row>
    <row r="4" spans="1:30" ht="14.25" customHeight="1" x14ac:dyDescent="0.35">
      <c r="A4" s="163"/>
      <c r="B4" s="159"/>
      <c r="C4" s="131"/>
      <c r="D4" s="96"/>
      <c r="E4" s="96"/>
      <c r="F4" s="96"/>
      <c r="G4" s="97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8"/>
      <c r="X4" s="137" t="s">
        <v>145</v>
      </c>
      <c r="Y4" s="139">
        <f>MAX($C$3:$W$44)-(ROW(Y4)-4)*10</f>
        <v>0</v>
      </c>
      <c r="Z4" s="63"/>
      <c r="AA4" s="63"/>
      <c r="AB4" s="63"/>
      <c r="AC4" s="63"/>
      <c r="AD4" s="63"/>
    </row>
    <row r="5" spans="1:30" ht="14.25" customHeight="1" x14ac:dyDescent="0.35">
      <c r="A5" s="163"/>
      <c r="B5" s="158" t="str">
        <f>Neu!B5</f>
        <v>B63la</v>
      </c>
      <c r="C5" s="106"/>
      <c r="D5" s="108"/>
      <c r="E5" s="110">
        <v>0</v>
      </c>
      <c r="F5" s="110"/>
      <c r="G5" s="145"/>
      <c r="H5" s="110"/>
      <c r="I5" s="110"/>
      <c r="J5" s="110"/>
      <c r="K5" s="145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20"/>
      <c r="X5" s="63"/>
      <c r="Y5" s="139">
        <f t="shared" ref="Y5:Y32" si="0">MAX($C$3:$W$44)-(ROW(Y5)-4)*10</f>
        <v>-10</v>
      </c>
      <c r="Z5" s="63"/>
      <c r="AA5" s="63"/>
      <c r="AB5" s="63"/>
      <c r="AC5" s="63"/>
      <c r="AD5" s="63"/>
    </row>
    <row r="6" spans="1:30" ht="14.25" customHeight="1" x14ac:dyDescent="0.35">
      <c r="A6" s="163"/>
      <c r="B6" s="159"/>
      <c r="C6" s="129"/>
      <c r="D6" s="112"/>
      <c r="E6" s="96">
        <v>-2</v>
      </c>
      <c r="F6" s="96">
        <v>-2</v>
      </c>
      <c r="G6" s="146">
        <v>-2</v>
      </c>
      <c r="H6" s="96"/>
      <c r="I6" s="96"/>
      <c r="J6" s="96"/>
      <c r="K6" s="144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8"/>
      <c r="X6" s="63"/>
      <c r="Y6" s="139">
        <f t="shared" si="0"/>
        <v>-20</v>
      </c>
      <c r="Z6" s="63"/>
      <c r="AA6" s="63"/>
      <c r="AB6" s="63"/>
      <c r="AC6" s="63"/>
      <c r="AD6" s="63"/>
    </row>
    <row r="7" spans="1:30" ht="14.25" customHeight="1" x14ac:dyDescent="0.35">
      <c r="A7" s="163"/>
      <c r="B7" s="158" t="str">
        <f>Neu!B6</f>
        <v>B31rs</v>
      </c>
      <c r="C7" s="106"/>
      <c r="D7" s="110"/>
      <c r="E7" s="108"/>
      <c r="F7" s="110"/>
      <c r="G7" s="103"/>
      <c r="H7" s="110"/>
      <c r="I7" s="145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20"/>
      <c r="X7" s="63"/>
      <c r="Y7" s="139">
        <f t="shared" si="0"/>
        <v>-30</v>
      </c>
      <c r="Z7" s="63"/>
      <c r="AA7" s="63"/>
      <c r="AB7" s="63"/>
      <c r="AC7" s="63"/>
      <c r="AD7" s="63"/>
    </row>
    <row r="8" spans="1:30" ht="14.25" customHeight="1" x14ac:dyDescent="0.35">
      <c r="A8" s="163"/>
      <c r="B8" s="159"/>
      <c r="C8" s="129"/>
      <c r="D8" s="96"/>
      <c r="E8" s="112"/>
      <c r="F8" s="96"/>
      <c r="G8" s="97"/>
      <c r="H8" s="96"/>
      <c r="I8" s="144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8"/>
      <c r="X8" s="63"/>
      <c r="Y8" s="139">
        <f t="shared" si="0"/>
        <v>-40</v>
      </c>
      <c r="Z8" s="63"/>
      <c r="AA8" s="63"/>
      <c r="AB8" s="63"/>
      <c r="AC8" s="63"/>
      <c r="AD8" s="63"/>
    </row>
    <row r="9" spans="1:30" ht="14.25" customHeight="1" x14ac:dyDescent="0.35">
      <c r="A9" s="163"/>
      <c r="B9" s="158" t="str">
        <f>Neu!B7</f>
        <v>B64ls</v>
      </c>
      <c r="C9" s="106"/>
      <c r="D9" s="110"/>
      <c r="E9" s="110"/>
      <c r="F9" s="108"/>
      <c r="G9" s="103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20"/>
      <c r="X9" s="63"/>
      <c r="Y9" s="139">
        <f t="shared" si="0"/>
        <v>-50</v>
      </c>
      <c r="Z9" s="63"/>
      <c r="AA9" s="63"/>
      <c r="AB9" s="63"/>
      <c r="AC9" s="63"/>
      <c r="AD9" s="63"/>
    </row>
    <row r="10" spans="1:30" ht="14.25" customHeight="1" x14ac:dyDescent="0.35">
      <c r="A10" s="163"/>
      <c r="B10" s="159"/>
      <c r="C10" s="129"/>
      <c r="D10" s="96"/>
      <c r="E10" s="96"/>
      <c r="F10" s="112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8"/>
      <c r="X10" s="63"/>
      <c r="Y10" s="139">
        <f t="shared" si="0"/>
        <v>-60</v>
      </c>
      <c r="Z10" s="63"/>
      <c r="AA10" s="63"/>
      <c r="AB10" s="63"/>
      <c r="AC10" s="63"/>
      <c r="AD10" s="63"/>
    </row>
    <row r="11" spans="1:30" ht="14.25" customHeight="1" x14ac:dyDescent="0.35">
      <c r="A11" s="163"/>
      <c r="B11" s="158" t="str">
        <f>Neu!B8</f>
        <v>B64la</v>
      </c>
      <c r="C11" s="106"/>
      <c r="D11" s="110"/>
      <c r="E11" s="110"/>
      <c r="F11" s="110"/>
      <c r="G11" s="101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20"/>
      <c r="X11" s="63"/>
      <c r="Y11" s="139">
        <f t="shared" si="0"/>
        <v>-70</v>
      </c>
      <c r="Z11" s="63"/>
      <c r="AA11" s="63"/>
      <c r="AB11" s="63"/>
      <c r="AC11" s="63"/>
      <c r="AD11" s="63"/>
    </row>
    <row r="12" spans="1:30" ht="14.25" customHeight="1" x14ac:dyDescent="0.35">
      <c r="A12" s="163"/>
      <c r="B12" s="159"/>
      <c r="C12" s="130">
        <v>-75</v>
      </c>
      <c r="D12" s="111">
        <v>-75</v>
      </c>
      <c r="E12" s="111">
        <v>-75</v>
      </c>
      <c r="F12" s="111"/>
      <c r="G12" s="104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8"/>
      <c r="X12" s="63"/>
      <c r="Y12" s="139">
        <f t="shared" si="0"/>
        <v>-80</v>
      </c>
      <c r="Z12" s="63"/>
      <c r="AA12" s="63"/>
      <c r="AB12" s="63"/>
      <c r="AC12" s="63"/>
      <c r="AD12" s="63"/>
    </row>
    <row r="13" spans="1:30" ht="14.25" customHeight="1" x14ac:dyDescent="0.35">
      <c r="A13" s="163"/>
      <c r="B13" s="158" t="str">
        <f>Neu!B9</f>
        <v>B63rs</v>
      </c>
      <c r="C13" s="106"/>
      <c r="D13" s="110"/>
      <c r="E13" s="110"/>
      <c r="F13" s="110"/>
      <c r="G13" s="103"/>
      <c r="H13" s="10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20"/>
      <c r="X13" s="63"/>
      <c r="Y13" s="139">
        <f t="shared" si="0"/>
        <v>-90</v>
      </c>
      <c r="Z13" s="63"/>
      <c r="AA13" s="63"/>
      <c r="AB13" s="63"/>
      <c r="AC13" s="63"/>
      <c r="AD13" s="63"/>
    </row>
    <row r="14" spans="1:30" ht="14.25" customHeight="1" x14ac:dyDescent="0.35">
      <c r="A14" s="163"/>
      <c r="B14" s="159"/>
      <c r="C14" s="129"/>
      <c r="D14" s="96"/>
      <c r="E14" s="96"/>
      <c r="F14" s="96"/>
      <c r="G14" s="97"/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8"/>
      <c r="X14" s="63"/>
      <c r="Y14" s="139">
        <f t="shared" si="0"/>
        <v>-100</v>
      </c>
      <c r="Z14" s="63"/>
      <c r="AA14" s="63"/>
      <c r="AB14" s="63"/>
      <c r="AC14" s="63"/>
      <c r="AD14" s="63"/>
    </row>
    <row r="15" spans="1:30" ht="14.25" customHeight="1" x14ac:dyDescent="0.35">
      <c r="A15" s="163"/>
      <c r="B15" s="158" t="str">
        <f>Neu!B10</f>
        <v>B63ra</v>
      </c>
      <c r="C15" s="106"/>
      <c r="D15" s="110"/>
      <c r="E15" s="110"/>
      <c r="F15" s="110"/>
      <c r="G15" s="103"/>
      <c r="H15" s="110"/>
      <c r="I15" s="108"/>
      <c r="J15" s="110">
        <v>0</v>
      </c>
      <c r="K15" s="110"/>
      <c r="L15" s="145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20"/>
      <c r="X15" s="63"/>
      <c r="Y15" s="139">
        <f t="shared" si="0"/>
        <v>-110</v>
      </c>
      <c r="Z15" s="63"/>
      <c r="AA15" s="63"/>
      <c r="AB15" s="63"/>
      <c r="AC15" s="63"/>
      <c r="AD15" s="63"/>
    </row>
    <row r="16" spans="1:30" ht="14.25" customHeight="1" x14ac:dyDescent="0.35">
      <c r="A16" s="163"/>
      <c r="B16" s="159"/>
      <c r="C16" s="129"/>
      <c r="D16" s="96"/>
      <c r="E16" s="96"/>
      <c r="F16" s="96"/>
      <c r="G16" s="97"/>
      <c r="H16" s="96"/>
      <c r="I16" s="112"/>
      <c r="J16" s="96">
        <v>-2</v>
      </c>
      <c r="K16" s="96">
        <v>-2</v>
      </c>
      <c r="L16" s="146">
        <v>-2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8"/>
      <c r="X16" s="63"/>
      <c r="Y16" s="139">
        <f t="shared" si="0"/>
        <v>-120</v>
      </c>
      <c r="Z16" s="63"/>
      <c r="AA16" s="63"/>
      <c r="AB16" s="63"/>
      <c r="AC16" s="63"/>
      <c r="AD16" s="63"/>
    </row>
    <row r="17" spans="1:30" ht="14.25" customHeight="1" x14ac:dyDescent="0.35">
      <c r="A17" s="163"/>
      <c r="B17" s="158" t="str">
        <f>Neu!B11</f>
        <v>B31ls</v>
      </c>
      <c r="C17" s="106"/>
      <c r="D17" s="110"/>
      <c r="E17" s="110"/>
      <c r="F17" s="110"/>
      <c r="G17" s="103"/>
      <c r="H17" s="110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20"/>
      <c r="X17" s="63"/>
      <c r="Y17" s="139">
        <f t="shared" si="0"/>
        <v>-130</v>
      </c>
      <c r="Z17" s="63"/>
      <c r="AA17" s="63"/>
      <c r="AB17" s="63"/>
      <c r="AC17" s="63"/>
      <c r="AD17" s="63"/>
    </row>
    <row r="18" spans="1:30" ht="14.25" customHeight="1" x14ac:dyDescent="0.35">
      <c r="A18" s="163"/>
      <c r="B18" s="159"/>
      <c r="C18" s="129"/>
      <c r="D18" s="96"/>
      <c r="E18" s="96"/>
      <c r="F18" s="96"/>
      <c r="G18" s="97"/>
      <c r="H18" s="96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8"/>
      <c r="X18" s="63"/>
      <c r="Y18" s="139">
        <f t="shared" si="0"/>
        <v>-140</v>
      </c>
      <c r="Z18" s="63"/>
      <c r="AA18" s="63"/>
      <c r="AB18" s="63"/>
      <c r="AC18" s="63"/>
      <c r="AD18" s="63"/>
    </row>
    <row r="19" spans="1:30" ht="14.25" customHeight="1" x14ac:dyDescent="0.35">
      <c r="A19" s="163"/>
      <c r="B19" s="158" t="str">
        <f>Neu!B12</f>
        <v>B64rs</v>
      </c>
      <c r="C19" s="106"/>
      <c r="D19" s="110"/>
      <c r="E19" s="110"/>
      <c r="F19" s="110"/>
      <c r="G19" s="103"/>
      <c r="H19" s="110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20"/>
      <c r="X19" s="63"/>
      <c r="Y19" s="139">
        <f t="shared" si="0"/>
        <v>-150</v>
      </c>
      <c r="Z19" s="63"/>
      <c r="AA19" s="63"/>
      <c r="AB19" s="63"/>
      <c r="AC19" s="63"/>
      <c r="AD19" s="63"/>
    </row>
    <row r="20" spans="1:30" ht="14.25" customHeight="1" x14ac:dyDescent="0.35">
      <c r="A20" s="163"/>
      <c r="B20" s="159"/>
      <c r="C20" s="129"/>
      <c r="D20" s="96"/>
      <c r="E20" s="96"/>
      <c r="F20" s="96"/>
      <c r="G20" s="97"/>
      <c r="H20" s="96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8"/>
      <c r="X20" s="63"/>
      <c r="Y20" s="139">
        <f t="shared" si="0"/>
        <v>-160</v>
      </c>
      <c r="Z20" s="63"/>
      <c r="AA20" s="63"/>
      <c r="AB20" s="63"/>
      <c r="AC20" s="63"/>
      <c r="AD20" s="63"/>
    </row>
    <row r="21" spans="1:30" ht="14.25" customHeight="1" x14ac:dyDescent="0.35">
      <c r="A21" s="163"/>
      <c r="B21" s="158" t="str">
        <f>Neu!B13</f>
        <v>B64ra</v>
      </c>
      <c r="C21" s="106"/>
      <c r="D21" s="110"/>
      <c r="E21" s="110"/>
      <c r="F21" s="110"/>
      <c r="G21" s="103"/>
      <c r="H21" s="110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20"/>
      <c r="X21" s="63"/>
      <c r="Y21" s="139">
        <f t="shared" si="0"/>
        <v>-170</v>
      </c>
      <c r="Z21" s="63"/>
      <c r="AA21" s="63"/>
      <c r="AB21" s="63"/>
      <c r="AC21" s="63"/>
      <c r="AD21" s="63"/>
    </row>
    <row r="22" spans="1:30" ht="14.25" customHeight="1" x14ac:dyDescent="0.35">
      <c r="A22" s="163"/>
      <c r="B22" s="159"/>
      <c r="C22" s="129"/>
      <c r="D22" s="96"/>
      <c r="E22" s="96"/>
      <c r="F22" s="96"/>
      <c r="G22" s="97"/>
      <c r="H22" s="130">
        <v>-75</v>
      </c>
      <c r="I22" s="111">
        <v>-75</v>
      </c>
      <c r="J22" s="111">
        <v>-75</v>
      </c>
      <c r="K22" s="96"/>
      <c r="L22" s="112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8"/>
      <c r="X22" s="63"/>
      <c r="Y22" s="139">
        <f t="shared" si="0"/>
        <v>-180</v>
      </c>
      <c r="Z22" s="63"/>
      <c r="AA22" s="63"/>
      <c r="AB22" s="63"/>
      <c r="AC22" s="63"/>
      <c r="AD22" s="63"/>
    </row>
    <row r="23" spans="1:30" ht="14.25" customHeight="1" x14ac:dyDescent="0.35">
      <c r="A23" s="163"/>
      <c r="B23" s="158">
        <f>Neu!B14</f>
        <v>0</v>
      </c>
      <c r="C23" s="106"/>
      <c r="D23" s="110"/>
      <c r="E23" s="110"/>
      <c r="F23" s="110"/>
      <c r="G23" s="103"/>
      <c r="H23" s="110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10"/>
      <c r="T23" s="110"/>
      <c r="U23" s="110"/>
      <c r="V23" s="110"/>
      <c r="W23" s="120"/>
      <c r="X23" s="63"/>
      <c r="Y23" s="139">
        <f t="shared" si="0"/>
        <v>-190</v>
      </c>
      <c r="Z23" s="63"/>
      <c r="AA23" s="63"/>
      <c r="AB23" s="63"/>
      <c r="AC23" s="63"/>
      <c r="AD23" s="63"/>
    </row>
    <row r="24" spans="1:30" ht="14.25" customHeight="1" x14ac:dyDescent="0.35">
      <c r="A24" s="163"/>
      <c r="B24" s="159"/>
      <c r="C24" s="130"/>
      <c r="D24" s="111"/>
      <c r="E24" s="111"/>
      <c r="F24" s="111"/>
      <c r="G24" s="102"/>
      <c r="H24" s="111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11"/>
      <c r="T24" s="111"/>
      <c r="U24" s="111"/>
      <c r="V24" s="111"/>
      <c r="W24" s="118"/>
      <c r="X24" s="63"/>
      <c r="Y24" s="139">
        <f t="shared" si="0"/>
        <v>-200</v>
      </c>
      <c r="Z24" s="63"/>
      <c r="AA24" s="63"/>
      <c r="AB24" s="63"/>
      <c r="AC24" s="63"/>
      <c r="AD24" s="63"/>
    </row>
    <row r="25" spans="1:30" ht="14.25" customHeight="1" x14ac:dyDescent="0.35">
      <c r="A25" s="163"/>
      <c r="B25" s="158">
        <f>Neu!B15</f>
        <v>0</v>
      </c>
      <c r="C25" s="106"/>
      <c r="D25" s="110"/>
      <c r="E25" s="110"/>
      <c r="F25" s="110"/>
      <c r="G25" s="103"/>
      <c r="H25" s="110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10"/>
      <c r="T25" s="110"/>
      <c r="U25" s="110"/>
      <c r="V25" s="110"/>
      <c r="W25" s="120"/>
      <c r="X25" s="63"/>
      <c r="Y25" s="139">
        <f t="shared" si="0"/>
        <v>-210</v>
      </c>
      <c r="Z25" s="63"/>
      <c r="AA25" s="63"/>
      <c r="AB25" s="63"/>
      <c r="AC25" s="63"/>
      <c r="AD25" s="63"/>
    </row>
    <row r="26" spans="1:30" ht="14.25" customHeight="1" x14ac:dyDescent="0.35">
      <c r="A26" s="163"/>
      <c r="B26" s="159"/>
      <c r="C26" s="129"/>
      <c r="D26" s="96"/>
      <c r="E26" s="96"/>
      <c r="F26" s="96"/>
      <c r="G26" s="97"/>
      <c r="H26" s="96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6"/>
      <c r="T26" s="96"/>
      <c r="U26" s="96"/>
      <c r="V26" s="96"/>
      <c r="W26" s="98"/>
      <c r="X26" s="63"/>
      <c r="Y26" s="139">
        <f t="shared" si="0"/>
        <v>-220</v>
      </c>
      <c r="Z26" s="63"/>
      <c r="AA26" s="63"/>
      <c r="AB26" s="63"/>
      <c r="AC26" s="63"/>
      <c r="AD26" s="63"/>
    </row>
    <row r="27" spans="1:30" ht="14.25" customHeight="1" x14ac:dyDescent="0.35">
      <c r="A27" s="163"/>
      <c r="B27" s="158">
        <f>Neu!B16</f>
        <v>0</v>
      </c>
      <c r="C27" s="106"/>
      <c r="D27" s="110"/>
      <c r="E27" s="110"/>
      <c r="F27" s="110"/>
      <c r="G27" s="103"/>
      <c r="H27" s="110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10"/>
      <c r="T27" s="110"/>
      <c r="U27" s="110"/>
      <c r="V27" s="110"/>
      <c r="W27" s="120"/>
      <c r="X27" s="63"/>
      <c r="Y27" s="139">
        <f t="shared" si="0"/>
        <v>-230</v>
      </c>
      <c r="Z27" s="63"/>
      <c r="AA27" s="63"/>
      <c r="AB27" s="63"/>
      <c r="AC27" s="63"/>
      <c r="AD27" s="63"/>
    </row>
    <row r="28" spans="1:30" ht="14.25" customHeight="1" x14ac:dyDescent="0.35">
      <c r="A28" s="163"/>
      <c r="B28" s="159"/>
      <c r="C28" s="129"/>
      <c r="D28" s="96"/>
      <c r="E28" s="96"/>
      <c r="F28" s="96"/>
      <c r="G28" s="97"/>
      <c r="H28" s="96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6"/>
      <c r="T28" s="96"/>
      <c r="U28" s="96"/>
      <c r="V28" s="96"/>
      <c r="W28" s="98"/>
      <c r="X28" s="63"/>
      <c r="Y28" s="139">
        <f t="shared" si="0"/>
        <v>-240</v>
      </c>
      <c r="Z28" s="63"/>
      <c r="AA28" s="63"/>
      <c r="AB28" s="63"/>
      <c r="AC28" s="63"/>
      <c r="AD28" s="63"/>
    </row>
    <row r="29" spans="1:30" ht="14.25" customHeight="1" x14ac:dyDescent="0.35">
      <c r="A29" s="163"/>
      <c r="B29" s="158">
        <f>Neu!B17</f>
        <v>0</v>
      </c>
      <c r="C29" s="106"/>
      <c r="D29" s="110"/>
      <c r="E29" s="110"/>
      <c r="F29" s="110"/>
      <c r="G29" s="103"/>
      <c r="H29" s="110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10"/>
      <c r="T29" s="110"/>
      <c r="U29" s="110"/>
      <c r="V29" s="110"/>
      <c r="W29" s="120"/>
      <c r="X29" s="63"/>
      <c r="Y29" s="139">
        <f t="shared" si="0"/>
        <v>-250</v>
      </c>
      <c r="Z29" s="63"/>
      <c r="AA29" s="63"/>
      <c r="AB29" s="63"/>
      <c r="AC29" s="63"/>
      <c r="AD29" s="63"/>
    </row>
    <row r="30" spans="1:30" ht="14.25" customHeight="1" x14ac:dyDescent="0.35">
      <c r="A30" s="163"/>
      <c r="B30" s="159"/>
      <c r="C30" s="129"/>
      <c r="D30" s="96"/>
      <c r="E30" s="96"/>
      <c r="F30" s="96"/>
      <c r="G30" s="97"/>
      <c r="H30" s="96"/>
      <c r="I30" s="96"/>
      <c r="J30" s="96"/>
      <c r="K30" s="96"/>
      <c r="L30" s="96"/>
      <c r="M30" s="96"/>
      <c r="N30" s="96"/>
      <c r="O30" s="96"/>
      <c r="P30" s="112"/>
      <c r="Q30" s="96"/>
      <c r="R30" s="96"/>
      <c r="S30" s="96"/>
      <c r="T30" s="96"/>
      <c r="U30" s="96"/>
      <c r="V30" s="96"/>
      <c r="W30" s="98"/>
      <c r="X30" s="63"/>
      <c r="Y30" s="139">
        <f t="shared" si="0"/>
        <v>-260</v>
      </c>
      <c r="Z30" s="63"/>
      <c r="AA30" s="63"/>
      <c r="AB30" s="63"/>
      <c r="AC30" s="63"/>
      <c r="AD30" s="63"/>
    </row>
    <row r="31" spans="1:30" ht="14.25" customHeight="1" x14ac:dyDescent="0.35">
      <c r="A31" s="163"/>
      <c r="B31" s="158">
        <f>Neu!B18</f>
        <v>0</v>
      </c>
      <c r="C31" s="106"/>
      <c r="D31" s="110"/>
      <c r="E31" s="110"/>
      <c r="F31" s="110"/>
      <c r="G31" s="103"/>
      <c r="H31" s="110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10"/>
      <c r="T31" s="110"/>
      <c r="U31" s="110"/>
      <c r="V31" s="110"/>
      <c r="W31" s="120"/>
      <c r="X31" s="63"/>
      <c r="Y31" s="139">
        <f t="shared" si="0"/>
        <v>-270</v>
      </c>
      <c r="Z31" s="63"/>
      <c r="AA31" s="63"/>
      <c r="AB31" s="63"/>
      <c r="AC31" s="63"/>
      <c r="AD31" s="63"/>
    </row>
    <row r="32" spans="1:30" ht="14.25" customHeight="1" x14ac:dyDescent="0.35">
      <c r="A32" s="163"/>
      <c r="B32" s="159"/>
      <c r="C32" s="129"/>
      <c r="D32" s="96"/>
      <c r="E32" s="96"/>
      <c r="F32" s="96"/>
      <c r="G32" s="97"/>
      <c r="H32" s="96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6"/>
      <c r="T32" s="96"/>
      <c r="U32" s="96"/>
      <c r="V32" s="96"/>
      <c r="W32" s="98"/>
      <c r="X32" s="63"/>
      <c r="Y32" s="139">
        <f t="shared" si="0"/>
        <v>-280</v>
      </c>
      <c r="Z32" s="63"/>
      <c r="AA32" s="63"/>
      <c r="AB32" s="63"/>
      <c r="AC32" s="63"/>
      <c r="AD32" s="63"/>
    </row>
    <row r="33" spans="1:30" ht="14.25" customHeight="1" x14ac:dyDescent="0.35">
      <c r="A33" s="163"/>
      <c r="B33" s="158">
        <f>Neu!B19</f>
        <v>0</v>
      </c>
      <c r="C33" s="106"/>
      <c r="D33" s="110"/>
      <c r="E33" s="110"/>
      <c r="F33" s="110"/>
      <c r="G33" s="103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10"/>
      <c r="T33" s="110"/>
      <c r="U33" s="110"/>
      <c r="V33" s="110"/>
      <c r="W33" s="120"/>
      <c r="X33" s="63"/>
      <c r="Y33" s="63"/>
      <c r="Z33" s="63"/>
      <c r="AA33" s="63"/>
      <c r="AB33" s="63"/>
      <c r="AC33" s="63"/>
      <c r="AD33" s="63"/>
    </row>
    <row r="34" spans="1:30" ht="14.25" customHeight="1" x14ac:dyDescent="0.35">
      <c r="A34" s="163"/>
      <c r="B34" s="159"/>
      <c r="C34" s="129"/>
      <c r="D34" s="96"/>
      <c r="E34" s="96"/>
      <c r="F34" s="96"/>
      <c r="G34" s="97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6"/>
      <c r="T34" s="96"/>
      <c r="U34" s="96"/>
      <c r="V34" s="96"/>
      <c r="W34" s="98"/>
      <c r="X34" s="63"/>
      <c r="Y34" s="63"/>
      <c r="Z34" s="63"/>
      <c r="AA34" s="63"/>
      <c r="AB34" s="63"/>
      <c r="AC34" s="63"/>
      <c r="AD34" s="63"/>
    </row>
    <row r="35" spans="1:30" ht="14.25" customHeight="1" x14ac:dyDescent="0.35">
      <c r="A35" s="163"/>
      <c r="B35" s="158">
        <f>Neu!B20</f>
        <v>0</v>
      </c>
      <c r="C35" s="106"/>
      <c r="D35" s="110"/>
      <c r="E35" s="110"/>
      <c r="F35" s="110"/>
      <c r="G35" s="103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8"/>
      <c r="T35" s="110"/>
      <c r="U35" s="110"/>
      <c r="V35" s="110"/>
      <c r="W35" s="120"/>
      <c r="X35" s="63"/>
      <c r="Y35" s="63"/>
      <c r="Z35" s="63"/>
      <c r="AA35" s="63"/>
      <c r="AB35" s="63"/>
      <c r="AC35" s="63"/>
      <c r="AD35" s="63"/>
    </row>
    <row r="36" spans="1:30" ht="14.25" customHeight="1" x14ac:dyDescent="0.35">
      <c r="A36" s="163"/>
      <c r="B36" s="159"/>
      <c r="C36" s="130"/>
      <c r="D36" s="111"/>
      <c r="E36" s="111"/>
      <c r="F36" s="111"/>
      <c r="G36" s="102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09"/>
      <c r="T36" s="111"/>
      <c r="U36" s="111"/>
      <c r="V36" s="111"/>
      <c r="W36" s="118"/>
      <c r="X36" s="63"/>
      <c r="Y36" s="63"/>
      <c r="Z36" s="63"/>
      <c r="AA36" s="63"/>
      <c r="AB36" s="63"/>
      <c r="AC36" s="63"/>
      <c r="AD36" s="63"/>
    </row>
    <row r="37" spans="1:30" ht="14.25" customHeight="1" x14ac:dyDescent="0.35">
      <c r="A37" s="163"/>
      <c r="B37" s="158">
        <f>Neu!B21</f>
        <v>0</v>
      </c>
      <c r="C37" s="106"/>
      <c r="D37" s="110"/>
      <c r="E37" s="110"/>
      <c r="F37" s="110"/>
      <c r="G37" s="103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08"/>
      <c r="U37" s="110"/>
      <c r="V37" s="110"/>
      <c r="W37" s="120"/>
      <c r="X37" s="63"/>
      <c r="Y37" s="63"/>
      <c r="Z37" s="63"/>
      <c r="AA37" s="63"/>
      <c r="AB37" s="63"/>
      <c r="AC37" s="63"/>
      <c r="AD37" s="63"/>
    </row>
    <row r="38" spans="1:30" ht="14.25" customHeight="1" x14ac:dyDescent="0.35">
      <c r="A38" s="163"/>
      <c r="B38" s="159"/>
      <c r="C38" s="129"/>
      <c r="D38" s="96"/>
      <c r="E38" s="96"/>
      <c r="F38" s="96"/>
      <c r="G38" s="97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112"/>
      <c r="U38" s="96"/>
      <c r="V38" s="96"/>
      <c r="W38" s="98"/>
      <c r="X38" s="63"/>
      <c r="Y38" s="63"/>
      <c r="Z38" s="63"/>
      <c r="AA38" s="63"/>
      <c r="AB38" s="63"/>
      <c r="AC38" s="63"/>
      <c r="AD38" s="63"/>
    </row>
    <row r="39" spans="1:30" ht="14.25" customHeight="1" x14ac:dyDescent="0.35">
      <c r="A39" s="163"/>
      <c r="B39" s="158">
        <f>Neu!B22</f>
        <v>0</v>
      </c>
      <c r="C39" s="106"/>
      <c r="D39" s="110"/>
      <c r="E39" s="110"/>
      <c r="F39" s="110"/>
      <c r="G39" s="103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08"/>
      <c r="V39" s="110"/>
      <c r="W39" s="120"/>
      <c r="X39" s="63"/>
      <c r="Y39" s="63"/>
      <c r="Z39" s="63"/>
      <c r="AA39" s="63"/>
      <c r="AB39" s="63"/>
      <c r="AC39" s="63"/>
      <c r="AD39" s="63"/>
    </row>
    <row r="40" spans="1:30" ht="14.25" customHeight="1" x14ac:dyDescent="0.35">
      <c r="A40" s="163"/>
      <c r="B40" s="159"/>
      <c r="C40" s="129"/>
      <c r="D40" s="96"/>
      <c r="E40" s="96"/>
      <c r="F40" s="96"/>
      <c r="G40" s="97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112"/>
      <c r="V40" s="96"/>
      <c r="W40" s="98"/>
      <c r="X40" s="63"/>
      <c r="Y40" s="63"/>
      <c r="Z40" s="63"/>
      <c r="AA40" s="63"/>
      <c r="AB40" s="63"/>
      <c r="AC40" s="63"/>
      <c r="AD40" s="63"/>
    </row>
    <row r="41" spans="1:30" ht="14.25" customHeight="1" x14ac:dyDescent="0.35">
      <c r="A41" s="163"/>
      <c r="B41" s="158">
        <f>Neu!B23</f>
        <v>0</v>
      </c>
      <c r="C41" s="106"/>
      <c r="D41" s="110"/>
      <c r="E41" s="110"/>
      <c r="F41" s="110"/>
      <c r="G41" s="103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08"/>
      <c r="W41" s="120"/>
      <c r="X41" s="63"/>
      <c r="Y41" s="63"/>
      <c r="Z41" s="63"/>
      <c r="AA41" s="63"/>
      <c r="AB41" s="63"/>
      <c r="AC41" s="63"/>
      <c r="AD41" s="63"/>
    </row>
    <row r="42" spans="1:30" ht="14.25" customHeight="1" x14ac:dyDescent="0.35">
      <c r="A42" s="163"/>
      <c r="B42" s="159"/>
      <c r="C42" s="129"/>
      <c r="D42" s="96"/>
      <c r="E42" s="96"/>
      <c r="F42" s="96"/>
      <c r="G42" s="97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12"/>
      <c r="W42" s="98"/>
      <c r="X42" s="63"/>
      <c r="Y42" s="63"/>
      <c r="Z42" s="63"/>
      <c r="AA42" s="63"/>
      <c r="AB42" s="63"/>
      <c r="AC42" s="63"/>
      <c r="AD42" s="63"/>
    </row>
    <row r="43" spans="1:30" ht="14.25" customHeight="1" x14ac:dyDescent="0.35">
      <c r="A43" s="163"/>
      <c r="B43" s="158">
        <f>Neu!B24</f>
        <v>0</v>
      </c>
      <c r="C43" s="106"/>
      <c r="D43" s="110"/>
      <c r="E43" s="110"/>
      <c r="F43" s="110"/>
      <c r="G43" s="103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23"/>
      <c r="X43" s="63"/>
      <c r="Y43" s="63"/>
      <c r="Z43" s="63"/>
      <c r="AA43" s="63"/>
      <c r="AB43" s="63"/>
      <c r="AC43" s="63"/>
      <c r="AD43" s="63"/>
    </row>
    <row r="44" spans="1:30" ht="14.25" customHeight="1" thickBot="1" x14ac:dyDescent="0.4">
      <c r="A44" s="107"/>
      <c r="B44" s="160"/>
      <c r="C44" s="133"/>
      <c r="D44" s="125"/>
      <c r="E44" s="125"/>
      <c r="F44" s="125"/>
      <c r="G44" s="126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7"/>
      <c r="X44" s="63"/>
      <c r="Y44" s="63"/>
      <c r="Z44" s="63"/>
      <c r="AA44" s="63"/>
      <c r="AB44" s="63"/>
      <c r="AC44" s="63"/>
      <c r="AD44" s="63"/>
    </row>
    <row r="45" spans="1:30" x14ac:dyDescent="0.35"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</row>
    <row r="46" spans="1:30" x14ac:dyDescent="0.35"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</row>
    <row r="47" spans="1:30" x14ac:dyDescent="0.35"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</row>
    <row r="48" spans="1:30" x14ac:dyDescent="0.35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</row>
    <row r="49" spans="3:30" x14ac:dyDescent="0.35"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  <row r="50" spans="3:30" x14ac:dyDescent="0.35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</row>
    <row r="51" spans="3:30" x14ac:dyDescent="0.35"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spans="3:30" x14ac:dyDescent="0.35"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  <row r="53" spans="3:30" x14ac:dyDescent="0.35"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</row>
    <row r="54" spans="3:30" x14ac:dyDescent="0.35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  <row r="55" spans="3:30" x14ac:dyDescent="0.3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</row>
    <row r="56" spans="3:30" x14ac:dyDescent="0.3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</row>
    <row r="57" spans="3:30" x14ac:dyDescent="0.3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spans="3:30" x14ac:dyDescent="0.3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</row>
    <row r="59" spans="3:30" x14ac:dyDescent="0.3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</row>
    <row r="60" spans="3:30" x14ac:dyDescent="0.3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</row>
    <row r="61" spans="3:30" x14ac:dyDescent="0.35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</row>
    <row r="62" spans="3:30" x14ac:dyDescent="0.35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</row>
    <row r="63" spans="3:30" x14ac:dyDescent="0.35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</row>
    <row r="64" spans="3:30" x14ac:dyDescent="0.35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</row>
    <row r="65" spans="3:30" x14ac:dyDescent="0.3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</row>
    <row r="66" spans="3:30" x14ac:dyDescent="0.35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</row>
    <row r="67" spans="3:30" x14ac:dyDescent="0.35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</row>
    <row r="68" spans="3:30" x14ac:dyDescent="0.35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</row>
    <row r="69" spans="3:30" x14ac:dyDescent="0.35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</row>
    <row r="70" spans="3:30" x14ac:dyDescent="0.35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</row>
    <row r="71" spans="3:30" x14ac:dyDescent="0.35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</row>
    <row r="72" spans="3:30" x14ac:dyDescent="0.35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</row>
    <row r="73" spans="3:30" x14ac:dyDescent="0.35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</row>
    <row r="74" spans="3:30" x14ac:dyDescent="0.35"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</row>
    <row r="75" spans="3:30" x14ac:dyDescent="0.35"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</row>
    <row r="76" spans="3:30" x14ac:dyDescent="0.35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10" priority="13" operator="equal">
      <formula>0</formula>
    </cfRule>
  </conditionalFormatting>
  <conditionalFormatting sqref="C3:L22">
    <cfRule type="colorScale" priority="1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C2:W2">
    <cfRule type="cellIs" dxfId="9" priority="14" operator="equal">
      <formula>0</formula>
    </cfRule>
  </conditionalFormatting>
  <conditionalFormatting sqref="C23:W44 M3:W22">
    <cfRule type="colorScale" priority="7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8" priority="2" operator="lessThan">
      <formula>-100</formula>
    </cfRule>
  </conditionalFormatting>
  <conditionalFormatting sqref="Y1:Y44">
    <cfRule type="colorScale" priority="6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5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zoomScale="90" zoomScaleNormal="90" workbookViewId="0">
      <selection activeCell="C4" sqref="C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66" customWidth="1"/>
    <col min="36" max="36" width="7.453125" style="66" customWidth="1"/>
    <col min="37" max="16384" width="9.1796875" style="1"/>
  </cols>
  <sheetData>
    <row r="1" spans="1:38" ht="15" thickBot="1" x14ac:dyDescent="0.4">
      <c r="A1" s="162"/>
      <c r="B1" s="162"/>
      <c r="C1" s="167" t="s">
        <v>4</v>
      </c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A1" s="165" t="s">
        <v>131</v>
      </c>
      <c r="AB1" s="166"/>
      <c r="AC1" s="65" t="s">
        <v>129</v>
      </c>
      <c r="AD1" s="4"/>
      <c r="AE1" s="164" t="s">
        <v>143</v>
      </c>
      <c r="AF1" s="164"/>
      <c r="AG1" s="164"/>
      <c r="AH1" s="164"/>
      <c r="AI1" s="164" t="s">
        <v>130</v>
      </c>
      <c r="AJ1" s="164"/>
    </row>
    <row r="2" spans="1:38" ht="15" thickBot="1" x14ac:dyDescent="0.4">
      <c r="A2" s="162"/>
      <c r="B2" s="162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100</v>
      </c>
      <c r="AJ2" s="16" t="s">
        <v>132</v>
      </c>
    </row>
    <row r="3" spans="1:38" ht="14.25" customHeight="1" x14ac:dyDescent="0.35">
      <c r="A3" s="163" t="s">
        <v>5</v>
      </c>
      <c r="B3" s="161" t="str">
        <f>Neu!B4</f>
        <v>B63ls</v>
      </c>
      <c r="C3" s="113"/>
      <c r="D3" s="114"/>
      <c r="E3" s="114"/>
      <c r="F3" s="115"/>
      <c r="G3" s="114"/>
      <c r="H3" s="114"/>
      <c r="I3" s="114"/>
      <c r="J3" s="114"/>
      <c r="K3" s="115"/>
      <c r="L3" s="114"/>
      <c r="M3" s="114"/>
      <c r="N3" s="114"/>
      <c r="O3" s="114"/>
      <c r="P3" s="115"/>
      <c r="Q3" s="114"/>
      <c r="R3" s="114"/>
      <c r="S3" s="114"/>
      <c r="T3" s="114"/>
      <c r="U3" s="114"/>
      <c r="V3" s="114"/>
      <c r="W3" s="116"/>
      <c r="X3" s="64" t="s">
        <v>144</v>
      </c>
      <c r="Y3" s="1">
        <f>COUNTIF($C$3:$W$44,ROW(Z3)-2)</f>
        <v>2</v>
      </c>
      <c r="Z3" s="1">
        <f t="shared" ref="Z3:Z17" si="0">IF(ROW(AA3)-2&lt;=MAX($C$3:$W$44),ROW(AA3)-2,"")</f>
        <v>1</v>
      </c>
      <c r="AA3" s="29">
        <v>1E-3</v>
      </c>
      <c r="AB3" s="30">
        <v>0.01</v>
      </c>
      <c r="AC3" s="29">
        <v>-0.09</v>
      </c>
      <c r="AD3" s="31">
        <v>3.3</v>
      </c>
      <c r="AE3" s="32"/>
      <c r="AF3" s="33"/>
      <c r="AG3" s="33"/>
      <c r="AH3" s="31"/>
      <c r="AK3" s="64"/>
    </row>
    <row r="4" spans="1:38" ht="14.25" customHeight="1" x14ac:dyDescent="0.35">
      <c r="A4" s="163"/>
      <c r="B4" s="159"/>
      <c r="C4" s="117"/>
      <c r="D4" s="111"/>
      <c r="E4" s="111"/>
      <c r="F4" s="102"/>
      <c r="G4" s="111"/>
      <c r="H4" s="111"/>
      <c r="I4" s="111"/>
      <c r="J4" s="111"/>
      <c r="K4" s="102"/>
      <c r="L4" s="111"/>
      <c r="M4" s="111"/>
      <c r="N4" s="111"/>
      <c r="O4" s="111"/>
      <c r="P4" s="102"/>
      <c r="Q4" s="111"/>
      <c r="R4" s="111"/>
      <c r="S4" s="111"/>
      <c r="T4" s="111"/>
      <c r="U4" s="111"/>
      <c r="V4" s="111"/>
      <c r="W4" s="118"/>
      <c r="X4" s="64" t="s">
        <v>145</v>
      </c>
      <c r="Y4" s="1">
        <f t="shared" ref="Y4:Y43" si="1">COUNTIF($C$3:$W$44,ROW(Z4)-2)</f>
        <v>6</v>
      </c>
      <c r="Z4" s="1">
        <f t="shared" si="0"/>
        <v>2</v>
      </c>
      <c r="AA4" s="9">
        <v>1.4</v>
      </c>
      <c r="AB4" s="12">
        <v>2.8</v>
      </c>
      <c r="AC4" s="29">
        <v>-0.09</v>
      </c>
      <c r="AD4" s="31">
        <v>3.3</v>
      </c>
      <c r="AE4" s="32">
        <v>-50</v>
      </c>
      <c r="AF4" s="33">
        <v>4</v>
      </c>
      <c r="AG4" s="33">
        <v>1</v>
      </c>
      <c r="AH4" s="31">
        <v>0.3</v>
      </c>
      <c r="AK4" s="64"/>
    </row>
    <row r="5" spans="1:38" ht="14.25" customHeight="1" x14ac:dyDescent="0.35">
      <c r="A5" s="163"/>
      <c r="B5" s="158" t="str">
        <f>Neu!B5</f>
        <v>B63la</v>
      </c>
      <c r="C5" s="119"/>
      <c r="D5" s="108"/>
      <c r="E5" s="110">
        <v>1</v>
      </c>
      <c r="F5" s="103"/>
      <c r="G5" s="143"/>
      <c r="H5" s="110"/>
      <c r="I5" s="110"/>
      <c r="J5" s="110"/>
      <c r="K5" s="145"/>
      <c r="L5" s="110"/>
      <c r="M5" s="110"/>
      <c r="N5" s="110"/>
      <c r="O5" s="110"/>
      <c r="P5" s="103"/>
      <c r="Q5" s="110"/>
      <c r="R5" s="110"/>
      <c r="S5" s="110"/>
      <c r="T5" s="110"/>
      <c r="U5" s="110"/>
      <c r="V5" s="110"/>
      <c r="W5" s="120"/>
      <c r="Y5" s="1">
        <f t="shared" si="1"/>
        <v>0</v>
      </c>
      <c r="Z5" s="1">
        <f>IF(ROW(AA5)-2&lt;=MAX($C$3:$W$44),ROW(AA5)-2,"")</f>
        <v>3</v>
      </c>
      <c r="AA5" s="9">
        <v>1.4</v>
      </c>
      <c r="AB5" s="12">
        <v>2.8</v>
      </c>
      <c r="AC5" s="29">
        <v>-1</v>
      </c>
      <c r="AD5" s="31">
        <v>1</v>
      </c>
      <c r="AE5" s="32">
        <v>-50</v>
      </c>
      <c r="AF5" s="33">
        <v>4</v>
      </c>
      <c r="AG5" s="33">
        <v>1</v>
      </c>
      <c r="AH5" s="31">
        <v>0.3</v>
      </c>
    </row>
    <row r="6" spans="1:38" ht="14.25" customHeight="1" x14ac:dyDescent="0.35">
      <c r="A6" s="163"/>
      <c r="B6" s="159"/>
      <c r="C6" s="121"/>
      <c r="D6" s="112"/>
      <c r="E6" s="96">
        <v>2</v>
      </c>
      <c r="F6" s="97">
        <v>2</v>
      </c>
      <c r="G6" s="144">
        <v>2</v>
      </c>
      <c r="H6" s="96"/>
      <c r="I6" s="96"/>
      <c r="J6" s="96"/>
      <c r="K6" s="146"/>
      <c r="L6" s="96"/>
      <c r="M6" s="96"/>
      <c r="N6" s="96"/>
      <c r="O6" s="96"/>
      <c r="P6" s="97"/>
      <c r="Q6" s="96"/>
      <c r="R6" s="96"/>
      <c r="S6" s="96"/>
      <c r="T6" s="96"/>
      <c r="U6" s="96"/>
      <c r="V6" s="96"/>
      <c r="W6" s="98"/>
      <c r="Y6" s="1">
        <f t="shared" si="1"/>
        <v>6</v>
      </c>
      <c r="Z6" s="1">
        <f>IF(ROW(AA6)-2&lt;=MAX($C$3:$W$44),ROW(AA6)-2,"")</f>
        <v>4</v>
      </c>
      <c r="AA6" s="9">
        <v>1.4999999999999999E-2</v>
      </c>
      <c r="AB6" s="12">
        <v>1.5</v>
      </c>
      <c r="AC6" s="29">
        <v>-1</v>
      </c>
      <c r="AD6" s="31">
        <v>1</v>
      </c>
    </row>
    <row r="7" spans="1:38" ht="14.25" customHeight="1" x14ac:dyDescent="0.35">
      <c r="A7" s="163"/>
      <c r="B7" s="158" t="str">
        <f>Neu!B6</f>
        <v>B31rs</v>
      </c>
      <c r="C7" s="119"/>
      <c r="D7" s="110"/>
      <c r="E7" s="108"/>
      <c r="F7" s="103"/>
      <c r="G7" s="110"/>
      <c r="H7" s="110"/>
      <c r="I7" s="143"/>
      <c r="J7" s="110"/>
      <c r="K7" s="103"/>
      <c r="L7" s="110"/>
      <c r="M7" s="110"/>
      <c r="N7" s="110"/>
      <c r="O7" s="110"/>
      <c r="P7" s="103"/>
      <c r="Q7" s="110"/>
      <c r="R7" s="110"/>
      <c r="S7" s="110"/>
      <c r="T7" s="110"/>
      <c r="U7" s="110"/>
      <c r="V7" s="110"/>
      <c r="W7" s="120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163"/>
      <c r="B8" s="159"/>
      <c r="C8" s="121"/>
      <c r="D8" s="96"/>
      <c r="E8" s="112"/>
      <c r="F8" s="97"/>
      <c r="G8" s="96"/>
      <c r="H8" s="96"/>
      <c r="I8" s="144"/>
      <c r="J8" s="96"/>
      <c r="K8" s="97"/>
      <c r="L8" s="96"/>
      <c r="M8" s="96"/>
      <c r="N8" s="96"/>
      <c r="O8" s="96"/>
      <c r="P8" s="97"/>
      <c r="Q8" s="96"/>
      <c r="R8" s="96"/>
      <c r="S8" s="96"/>
      <c r="T8" s="96"/>
      <c r="U8" s="96"/>
      <c r="V8" s="96"/>
      <c r="W8" s="98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163"/>
      <c r="B9" s="158" t="str">
        <f>Neu!B7</f>
        <v>B64ls</v>
      </c>
      <c r="C9" s="119"/>
      <c r="D9" s="110"/>
      <c r="E9" s="110"/>
      <c r="F9" s="101"/>
      <c r="G9" s="110"/>
      <c r="H9" s="110"/>
      <c r="I9" s="110"/>
      <c r="J9" s="110"/>
      <c r="K9" s="103"/>
      <c r="L9" s="110"/>
      <c r="M9" s="110"/>
      <c r="N9" s="110"/>
      <c r="O9" s="110"/>
      <c r="P9" s="103"/>
      <c r="Q9" s="110"/>
      <c r="R9" s="110"/>
      <c r="S9" s="110"/>
      <c r="T9" s="110"/>
      <c r="U9" s="110"/>
      <c r="V9" s="110"/>
      <c r="W9" s="120"/>
      <c r="Y9" s="1">
        <f t="shared" si="1"/>
        <v>0</v>
      </c>
      <c r="Z9" s="1" t="str">
        <f t="shared" si="0"/>
        <v/>
      </c>
      <c r="AK9" s="64" t="s">
        <v>141</v>
      </c>
    </row>
    <row r="10" spans="1:38" ht="14.25" customHeight="1" x14ac:dyDescent="0.35">
      <c r="A10" s="163"/>
      <c r="B10" s="159"/>
      <c r="C10" s="121"/>
      <c r="D10" s="96"/>
      <c r="E10" s="96"/>
      <c r="F10" s="105"/>
      <c r="G10" s="96"/>
      <c r="H10" s="96"/>
      <c r="I10" s="96"/>
      <c r="J10" s="96"/>
      <c r="K10" s="97"/>
      <c r="L10" s="96"/>
      <c r="M10" s="96"/>
      <c r="N10" s="96"/>
      <c r="O10" s="96"/>
      <c r="P10" s="97"/>
      <c r="Q10" s="96"/>
      <c r="R10" s="96"/>
      <c r="S10" s="96"/>
      <c r="T10" s="96"/>
      <c r="U10" s="96"/>
      <c r="V10" s="96"/>
      <c r="W10" s="98"/>
      <c r="Y10" s="1">
        <f t="shared" si="1"/>
        <v>0</v>
      </c>
      <c r="Z10" s="1" t="str">
        <f t="shared" si="0"/>
        <v/>
      </c>
      <c r="AL10" s="64"/>
    </row>
    <row r="11" spans="1:38" ht="14.25" customHeight="1" x14ac:dyDescent="0.35">
      <c r="A11" s="163"/>
      <c r="B11" s="158" t="str">
        <f>Neu!B8</f>
        <v>B64la</v>
      </c>
      <c r="C11" s="119"/>
      <c r="D11" s="110"/>
      <c r="E11" s="110"/>
      <c r="F11" s="103"/>
      <c r="G11" s="108"/>
      <c r="H11" s="110"/>
      <c r="I11" s="110"/>
      <c r="J11" s="110"/>
      <c r="K11" s="103"/>
      <c r="L11" s="110"/>
      <c r="M11" s="110"/>
      <c r="N11" s="110"/>
      <c r="O11" s="110"/>
      <c r="P11" s="103"/>
      <c r="Q11" s="110"/>
      <c r="R11" s="110"/>
      <c r="S11" s="110"/>
      <c r="T11" s="110"/>
      <c r="U11" s="110"/>
      <c r="V11" s="110"/>
      <c r="W11" s="120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163"/>
      <c r="B12" s="159"/>
      <c r="C12" s="121">
        <v>4</v>
      </c>
      <c r="D12" s="96">
        <v>4</v>
      </c>
      <c r="E12" s="96">
        <v>4</v>
      </c>
      <c r="F12" s="97"/>
      <c r="G12" s="112"/>
      <c r="H12" s="96"/>
      <c r="I12" s="96"/>
      <c r="J12" s="96"/>
      <c r="K12" s="97"/>
      <c r="L12" s="96"/>
      <c r="M12" s="96"/>
      <c r="N12" s="96"/>
      <c r="O12" s="96"/>
      <c r="P12" s="97"/>
      <c r="Q12" s="96"/>
      <c r="R12" s="96"/>
      <c r="S12" s="96"/>
      <c r="T12" s="96"/>
      <c r="U12" s="96"/>
      <c r="V12" s="96"/>
      <c r="W12" s="98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163"/>
      <c r="B13" s="158" t="str">
        <f>Neu!B9</f>
        <v>B63rs</v>
      </c>
      <c r="C13" s="119"/>
      <c r="D13" s="110"/>
      <c r="E13" s="110"/>
      <c r="F13" s="103"/>
      <c r="G13" s="110"/>
      <c r="H13" s="108"/>
      <c r="I13" s="110"/>
      <c r="J13" s="110"/>
      <c r="K13" s="103"/>
      <c r="L13" s="110"/>
      <c r="M13" s="110"/>
      <c r="N13" s="110"/>
      <c r="O13" s="110"/>
      <c r="P13" s="103"/>
      <c r="Q13" s="110"/>
      <c r="R13" s="110"/>
      <c r="S13" s="110"/>
      <c r="T13" s="110"/>
      <c r="U13" s="110"/>
      <c r="V13" s="110"/>
      <c r="W13" s="120"/>
      <c r="Y13" s="1">
        <f t="shared" si="1"/>
        <v>0</v>
      </c>
      <c r="Z13" s="1" t="str">
        <f t="shared" si="0"/>
        <v/>
      </c>
      <c r="AK13" s="138" t="s">
        <v>146</v>
      </c>
    </row>
    <row r="14" spans="1:38" ht="14.25" customHeight="1" x14ac:dyDescent="0.35">
      <c r="A14" s="163"/>
      <c r="B14" s="159"/>
      <c r="C14" s="121"/>
      <c r="D14" s="96"/>
      <c r="E14" s="96"/>
      <c r="F14" s="97"/>
      <c r="G14" s="96"/>
      <c r="H14" s="112"/>
      <c r="I14" s="96"/>
      <c r="J14" s="96"/>
      <c r="K14" s="97"/>
      <c r="L14" s="96"/>
      <c r="M14" s="96"/>
      <c r="N14" s="96"/>
      <c r="O14" s="96"/>
      <c r="P14" s="97"/>
      <c r="Q14" s="96"/>
      <c r="R14" s="96"/>
      <c r="S14" s="96"/>
      <c r="T14" s="96"/>
      <c r="U14" s="96"/>
      <c r="V14" s="96"/>
      <c r="W14" s="98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163"/>
      <c r="B15" s="158" t="str">
        <f>Neu!B10</f>
        <v>B63ra</v>
      </c>
      <c r="C15" s="119"/>
      <c r="D15" s="110"/>
      <c r="E15" s="110"/>
      <c r="F15" s="103"/>
      <c r="G15" s="110"/>
      <c r="H15" s="110"/>
      <c r="I15" s="108"/>
      <c r="J15" s="110">
        <v>1</v>
      </c>
      <c r="K15" s="103"/>
      <c r="L15" s="143"/>
      <c r="M15" s="110"/>
      <c r="N15" s="110"/>
      <c r="O15" s="110"/>
      <c r="P15" s="103"/>
      <c r="Q15" s="110"/>
      <c r="R15" s="110"/>
      <c r="S15" s="110"/>
      <c r="T15" s="110"/>
      <c r="U15" s="110"/>
      <c r="V15" s="110"/>
      <c r="W15" s="120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163"/>
      <c r="B16" s="159"/>
      <c r="C16" s="122"/>
      <c r="D16" s="111"/>
      <c r="E16" s="111"/>
      <c r="F16" s="102"/>
      <c r="G16" s="111"/>
      <c r="H16" s="111"/>
      <c r="I16" s="109"/>
      <c r="J16" s="96">
        <v>2</v>
      </c>
      <c r="K16" s="97">
        <v>2</v>
      </c>
      <c r="L16" s="144">
        <v>2</v>
      </c>
      <c r="M16" s="111"/>
      <c r="N16" s="111"/>
      <c r="O16" s="111"/>
      <c r="P16" s="102"/>
      <c r="Q16" s="111"/>
      <c r="R16" s="111"/>
      <c r="S16" s="111"/>
      <c r="T16" s="111"/>
      <c r="U16" s="111"/>
      <c r="V16" s="111"/>
      <c r="W16" s="118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163"/>
      <c r="B17" s="158" t="str">
        <f>Neu!B11</f>
        <v>B31ls</v>
      </c>
      <c r="C17" s="119"/>
      <c r="D17" s="110"/>
      <c r="E17" s="110"/>
      <c r="F17" s="103"/>
      <c r="G17" s="110"/>
      <c r="H17" s="110"/>
      <c r="I17" s="110"/>
      <c r="J17" s="108"/>
      <c r="K17" s="103"/>
      <c r="L17" s="110"/>
      <c r="M17" s="110"/>
      <c r="N17" s="110"/>
      <c r="O17" s="110"/>
      <c r="P17" s="103"/>
      <c r="Q17" s="110"/>
      <c r="R17" s="110"/>
      <c r="S17" s="110"/>
      <c r="T17" s="110"/>
      <c r="U17" s="110"/>
      <c r="V17" s="110"/>
      <c r="W17" s="120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163"/>
      <c r="B18" s="159"/>
      <c r="C18" s="121"/>
      <c r="D18" s="96"/>
      <c r="E18" s="96"/>
      <c r="F18" s="97"/>
      <c r="G18" s="96"/>
      <c r="H18" s="96"/>
      <c r="I18" s="96"/>
      <c r="J18" s="112"/>
      <c r="K18" s="97"/>
      <c r="L18" s="96"/>
      <c r="M18" s="96"/>
      <c r="N18" s="96"/>
      <c r="O18" s="96"/>
      <c r="P18" s="97"/>
      <c r="Q18" s="96"/>
      <c r="R18" s="96"/>
      <c r="S18" s="96"/>
      <c r="T18" s="96"/>
      <c r="U18" s="96"/>
      <c r="V18" s="96"/>
      <c r="W18" s="98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163"/>
      <c r="B19" s="158" t="str">
        <f>Neu!B12</f>
        <v>B64rs</v>
      </c>
      <c r="C19" s="119"/>
      <c r="D19" s="110"/>
      <c r="E19" s="110"/>
      <c r="F19" s="103"/>
      <c r="G19" s="110"/>
      <c r="H19" s="110"/>
      <c r="I19" s="110"/>
      <c r="J19" s="110"/>
      <c r="K19" s="101"/>
      <c r="L19" s="110"/>
      <c r="M19" s="110"/>
      <c r="N19" s="110"/>
      <c r="O19" s="110"/>
      <c r="P19" s="103"/>
      <c r="Q19" s="110"/>
      <c r="R19" s="110"/>
      <c r="S19" s="110"/>
      <c r="T19" s="110"/>
      <c r="U19" s="110"/>
      <c r="V19" s="110"/>
      <c r="W19" s="120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163"/>
      <c r="B20" s="159"/>
      <c r="C20" s="121"/>
      <c r="D20" s="96"/>
      <c r="E20" s="96"/>
      <c r="F20" s="97"/>
      <c r="G20" s="96"/>
      <c r="H20" s="96"/>
      <c r="I20" s="96"/>
      <c r="J20" s="96"/>
      <c r="K20" s="105"/>
      <c r="L20" s="96"/>
      <c r="M20" s="96"/>
      <c r="N20" s="96"/>
      <c r="O20" s="96"/>
      <c r="P20" s="97"/>
      <c r="Q20" s="96"/>
      <c r="R20" s="96"/>
      <c r="S20" s="96"/>
      <c r="T20" s="96"/>
      <c r="U20" s="96"/>
      <c r="V20" s="96"/>
      <c r="W20" s="98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163"/>
      <c r="B21" s="158" t="str">
        <f>Neu!B13</f>
        <v>B64ra</v>
      </c>
      <c r="C21" s="119"/>
      <c r="D21" s="110"/>
      <c r="E21" s="110"/>
      <c r="F21" s="103"/>
      <c r="G21" s="110"/>
      <c r="H21" s="110"/>
      <c r="I21" s="110"/>
      <c r="J21" s="110"/>
      <c r="K21" s="103"/>
      <c r="L21" s="108"/>
      <c r="M21" s="110"/>
      <c r="N21" s="110"/>
      <c r="O21" s="110"/>
      <c r="P21" s="103"/>
      <c r="Q21" s="110"/>
      <c r="R21" s="110"/>
      <c r="S21" s="110"/>
      <c r="T21" s="110"/>
      <c r="U21" s="110"/>
      <c r="V21" s="110"/>
      <c r="W21" s="120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163"/>
      <c r="B22" s="159"/>
      <c r="C22" s="121"/>
      <c r="D22" s="96"/>
      <c r="E22" s="96"/>
      <c r="F22" s="97"/>
      <c r="G22" s="96"/>
      <c r="H22" s="96">
        <v>4</v>
      </c>
      <c r="I22" s="96">
        <v>4</v>
      </c>
      <c r="J22" s="96">
        <v>4</v>
      </c>
      <c r="K22" s="97"/>
      <c r="L22" s="112"/>
      <c r="M22" s="96"/>
      <c r="N22" s="96"/>
      <c r="O22" s="96"/>
      <c r="P22" s="97"/>
      <c r="Q22" s="96"/>
      <c r="R22" s="96"/>
      <c r="S22" s="96"/>
      <c r="T22" s="96"/>
      <c r="U22" s="96"/>
      <c r="V22" s="96"/>
      <c r="W22" s="98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163"/>
      <c r="B23" s="158">
        <f>Neu!B14</f>
        <v>0</v>
      </c>
      <c r="C23" s="119"/>
      <c r="D23" s="110"/>
      <c r="E23" s="110"/>
      <c r="F23" s="103"/>
      <c r="G23" s="110"/>
      <c r="H23" s="110"/>
      <c r="I23" s="110"/>
      <c r="J23" s="110"/>
      <c r="K23" s="103"/>
      <c r="L23" s="110"/>
      <c r="M23" s="108"/>
      <c r="N23" s="110"/>
      <c r="O23" s="110"/>
      <c r="P23" s="103"/>
      <c r="Q23" s="110"/>
      <c r="R23" s="110"/>
      <c r="S23" s="110"/>
      <c r="T23" s="110"/>
      <c r="U23" s="110"/>
      <c r="V23" s="110"/>
      <c r="W23" s="120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163"/>
      <c r="B24" s="159"/>
      <c r="C24" s="122"/>
      <c r="D24" s="111"/>
      <c r="E24" s="111"/>
      <c r="F24" s="102"/>
      <c r="G24" s="111"/>
      <c r="H24" s="111"/>
      <c r="I24" s="111"/>
      <c r="J24" s="111"/>
      <c r="K24" s="102"/>
      <c r="L24" s="111"/>
      <c r="M24" s="109"/>
      <c r="N24" s="111"/>
      <c r="O24" s="111"/>
      <c r="P24" s="102"/>
      <c r="Q24" s="111"/>
      <c r="R24" s="111"/>
      <c r="S24" s="111"/>
      <c r="T24" s="111"/>
      <c r="U24" s="111"/>
      <c r="V24" s="111"/>
      <c r="W24" s="118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163"/>
      <c r="B25" s="158">
        <f>Neu!B15</f>
        <v>0</v>
      </c>
      <c r="C25" s="119"/>
      <c r="D25" s="110"/>
      <c r="E25" s="110"/>
      <c r="F25" s="103"/>
      <c r="G25" s="110"/>
      <c r="H25" s="110"/>
      <c r="I25" s="110"/>
      <c r="J25" s="110"/>
      <c r="K25" s="103"/>
      <c r="L25" s="110"/>
      <c r="M25" s="110"/>
      <c r="N25" s="108"/>
      <c r="O25" s="110"/>
      <c r="P25" s="103"/>
      <c r="Q25" s="110"/>
      <c r="R25" s="110"/>
      <c r="S25" s="110"/>
      <c r="T25" s="110"/>
      <c r="U25" s="110"/>
      <c r="V25" s="110"/>
      <c r="W25" s="120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163"/>
      <c r="B26" s="159"/>
      <c r="C26" s="121"/>
      <c r="D26" s="96"/>
      <c r="E26" s="96"/>
      <c r="F26" s="97"/>
      <c r="G26" s="96"/>
      <c r="H26" s="96"/>
      <c r="I26" s="96"/>
      <c r="J26" s="96"/>
      <c r="K26" s="97"/>
      <c r="L26" s="96"/>
      <c r="M26" s="96"/>
      <c r="N26" s="112"/>
      <c r="O26" s="96"/>
      <c r="P26" s="97"/>
      <c r="Q26" s="96"/>
      <c r="R26" s="96"/>
      <c r="S26" s="96"/>
      <c r="T26" s="96"/>
      <c r="U26" s="96"/>
      <c r="V26" s="96"/>
      <c r="W26" s="98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163"/>
      <c r="B27" s="158">
        <f>Neu!B16</f>
        <v>0</v>
      </c>
      <c r="C27" s="119"/>
      <c r="D27" s="110"/>
      <c r="E27" s="110"/>
      <c r="F27" s="103"/>
      <c r="G27" s="110"/>
      <c r="H27" s="110"/>
      <c r="I27" s="110"/>
      <c r="J27" s="110"/>
      <c r="K27" s="103"/>
      <c r="L27" s="110"/>
      <c r="M27" s="110"/>
      <c r="N27" s="110"/>
      <c r="O27" s="108"/>
      <c r="P27" s="103"/>
      <c r="Q27" s="110"/>
      <c r="R27" s="110"/>
      <c r="S27" s="110"/>
      <c r="T27" s="110"/>
      <c r="U27" s="110"/>
      <c r="V27" s="110"/>
      <c r="W27" s="120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163"/>
      <c r="B28" s="159"/>
      <c r="C28" s="121"/>
      <c r="D28" s="96"/>
      <c r="E28" s="96"/>
      <c r="F28" s="97"/>
      <c r="G28" s="96"/>
      <c r="H28" s="96"/>
      <c r="I28" s="96"/>
      <c r="J28" s="96"/>
      <c r="K28" s="97"/>
      <c r="L28" s="96"/>
      <c r="M28" s="96"/>
      <c r="N28" s="96"/>
      <c r="O28" s="112"/>
      <c r="P28" s="97"/>
      <c r="Q28" s="96"/>
      <c r="R28" s="96"/>
      <c r="S28" s="96"/>
      <c r="T28" s="96"/>
      <c r="U28" s="96"/>
      <c r="V28" s="96"/>
      <c r="W28" s="98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163"/>
      <c r="B29" s="158">
        <f>Neu!B17</f>
        <v>0</v>
      </c>
      <c r="C29" s="119"/>
      <c r="D29" s="110"/>
      <c r="E29" s="110"/>
      <c r="F29" s="103"/>
      <c r="G29" s="110"/>
      <c r="H29" s="110"/>
      <c r="I29" s="110"/>
      <c r="J29" s="110"/>
      <c r="K29" s="103"/>
      <c r="L29" s="110"/>
      <c r="M29" s="110"/>
      <c r="N29" s="110"/>
      <c r="O29" s="110"/>
      <c r="P29" s="101"/>
      <c r="Q29" s="110"/>
      <c r="R29" s="110"/>
      <c r="S29" s="110"/>
      <c r="T29" s="110"/>
      <c r="U29" s="110"/>
      <c r="V29" s="110"/>
      <c r="W29" s="120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163"/>
      <c r="B30" s="159"/>
      <c r="C30" s="121"/>
      <c r="D30" s="96"/>
      <c r="E30" s="96"/>
      <c r="F30" s="97"/>
      <c r="G30" s="96"/>
      <c r="H30" s="96"/>
      <c r="I30" s="96"/>
      <c r="J30" s="96"/>
      <c r="K30" s="97"/>
      <c r="L30" s="96"/>
      <c r="M30" s="96"/>
      <c r="N30" s="96"/>
      <c r="O30" s="96"/>
      <c r="P30" s="105"/>
      <c r="Q30" s="96"/>
      <c r="R30" s="96"/>
      <c r="S30" s="96"/>
      <c r="T30" s="96"/>
      <c r="U30" s="96"/>
      <c r="V30" s="96"/>
      <c r="W30" s="98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163"/>
      <c r="B31" s="158">
        <f>Neu!B18</f>
        <v>0</v>
      </c>
      <c r="C31" s="119"/>
      <c r="D31" s="110"/>
      <c r="E31" s="110"/>
      <c r="F31" s="103"/>
      <c r="G31" s="110"/>
      <c r="H31" s="110"/>
      <c r="I31" s="110"/>
      <c r="J31" s="110"/>
      <c r="K31" s="103"/>
      <c r="L31" s="110"/>
      <c r="M31" s="110"/>
      <c r="N31" s="110"/>
      <c r="O31" s="110"/>
      <c r="P31" s="103"/>
      <c r="Q31" s="108"/>
      <c r="R31" s="110"/>
      <c r="S31" s="110"/>
      <c r="T31" s="110"/>
      <c r="U31" s="110"/>
      <c r="V31" s="110"/>
      <c r="W31" s="120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163"/>
      <c r="B32" s="159"/>
      <c r="C32" s="122"/>
      <c r="D32" s="111"/>
      <c r="E32" s="111"/>
      <c r="F32" s="102"/>
      <c r="G32" s="111"/>
      <c r="H32" s="111"/>
      <c r="I32" s="111"/>
      <c r="J32" s="111"/>
      <c r="K32" s="102"/>
      <c r="L32" s="111"/>
      <c r="M32" s="111"/>
      <c r="N32" s="111"/>
      <c r="O32" s="111"/>
      <c r="P32" s="102"/>
      <c r="Q32" s="109"/>
      <c r="R32" s="111"/>
      <c r="S32" s="111"/>
      <c r="T32" s="111"/>
      <c r="U32" s="111"/>
      <c r="V32" s="111"/>
      <c r="W32" s="118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163"/>
      <c r="B33" s="158">
        <f>Neu!B19</f>
        <v>0</v>
      </c>
      <c r="C33" s="119"/>
      <c r="D33" s="110"/>
      <c r="E33" s="110"/>
      <c r="F33" s="103"/>
      <c r="G33" s="110"/>
      <c r="H33" s="110"/>
      <c r="I33" s="110"/>
      <c r="J33" s="110"/>
      <c r="K33" s="103"/>
      <c r="L33" s="110"/>
      <c r="M33" s="110"/>
      <c r="N33" s="110"/>
      <c r="O33" s="110"/>
      <c r="P33" s="103"/>
      <c r="Q33" s="110"/>
      <c r="R33" s="108"/>
      <c r="S33" s="110"/>
      <c r="T33" s="110"/>
      <c r="U33" s="110"/>
      <c r="V33" s="110"/>
      <c r="W33" s="120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163"/>
      <c r="B34" s="159"/>
      <c r="C34" s="121"/>
      <c r="D34" s="96"/>
      <c r="E34" s="96"/>
      <c r="F34" s="97"/>
      <c r="G34" s="96"/>
      <c r="H34" s="96"/>
      <c r="I34" s="96"/>
      <c r="J34" s="96"/>
      <c r="K34" s="97"/>
      <c r="L34" s="96"/>
      <c r="M34" s="96"/>
      <c r="N34" s="96"/>
      <c r="O34" s="96"/>
      <c r="P34" s="97"/>
      <c r="Q34" s="96"/>
      <c r="R34" s="112"/>
      <c r="S34" s="96"/>
      <c r="T34" s="96"/>
      <c r="U34" s="96"/>
      <c r="V34" s="96"/>
      <c r="W34" s="98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163"/>
      <c r="B35" s="158">
        <f>Neu!B20</f>
        <v>0</v>
      </c>
      <c r="C35" s="119"/>
      <c r="D35" s="110"/>
      <c r="E35" s="110"/>
      <c r="F35" s="103"/>
      <c r="G35" s="110"/>
      <c r="H35" s="110"/>
      <c r="I35" s="110"/>
      <c r="J35" s="110"/>
      <c r="K35" s="103"/>
      <c r="L35" s="110"/>
      <c r="M35" s="110"/>
      <c r="N35" s="110"/>
      <c r="O35" s="110"/>
      <c r="P35" s="103"/>
      <c r="Q35" s="110"/>
      <c r="R35" s="110"/>
      <c r="S35" s="108"/>
      <c r="T35" s="110"/>
      <c r="U35" s="110"/>
      <c r="V35" s="110"/>
      <c r="W35" s="120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163"/>
      <c r="B36" s="159"/>
      <c r="C36" s="121"/>
      <c r="D36" s="96"/>
      <c r="E36" s="96"/>
      <c r="F36" s="97"/>
      <c r="G36" s="96"/>
      <c r="H36" s="96"/>
      <c r="I36" s="96"/>
      <c r="J36" s="96"/>
      <c r="K36" s="97"/>
      <c r="L36" s="96"/>
      <c r="M36" s="96"/>
      <c r="N36" s="96"/>
      <c r="O36" s="96"/>
      <c r="P36" s="97"/>
      <c r="Q36" s="96"/>
      <c r="R36" s="96"/>
      <c r="S36" s="112"/>
      <c r="T36" s="96"/>
      <c r="U36" s="96"/>
      <c r="V36" s="96"/>
      <c r="W36" s="98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163"/>
      <c r="B37" s="158">
        <f>Neu!B21</f>
        <v>0</v>
      </c>
      <c r="C37" s="119"/>
      <c r="D37" s="110"/>
      <c r="E37" s="110"/>
      <c r="F37" s="103"/>
      <c r="G37" s="110"/>
      <c r="H37" s="110"/>
      <c r="I37" s="110"/>
      <c r="J37" s="110"/>
      <c r="K37" s="103"/>
      <c r="L37" s="110"/>
      <c r="M37" s="110"/>
      <c r="N37" s="110"/>
      <c r="O37" s="110"/>
      <c r="P37" s="103"/>
      <c r="Q37" s="110"/>
      <c r="R37" s="110"/>
      <c r="S37" s="110"/>
      <c r="T37" s="108"/>
      <c r="U37" s="110"/>
      <c r="V37" s="110"/>
      <c r="W37" s="120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163"/>
      <c r="B38" s="159"/>
      <c r="C38" s="121"/>
      <c r="D38" s="96"/>
      <c r="E38" s="96"/>
      <c r="F38" s="97"/>
      <c r="G38" s="96"/>
      <c r="H38" s="96"/>
      <c r="I38" s="96"/>
      <c r="J38" s="96"/>
      <c r="K38" s="97"/>
      <c r="L38" s="96"/>
      <c r="M38" s="96"/>
      <c r="N38" s="96"/>
      <c r="O38" s="96"/>
      <c r="P38" s="97"/>
      <c r="Q38" s="96"/>
      <c r="R38" s="96"/>
      <c r="S38" s="96"/>
      <c r="T38" s="112"/>
      <c r="U38" s="96"/>
      <c r="V38" s="96"/>
      <c r="W38" s="98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163"/>
      <c r="B39" s="158">
        <f>Neu!B22</f>
        <v>0</v>
      </c>
      <c r="C39" s="119"/>
      <c r="D39" s="110"/>
      <c r="E39" s="110"/>
      <c r="F39" s="103"/>
      <c r="G39" s="110"/>
      <c r="H39" s="110"/>
      <c r="I39" s="110"/>
      <c r="J39" s="110"/>
      <c r="K39" s="103"/>
      <c r="L39" s="110"/>
      <c r="M39" s="110"/>
      <c r="N39" s="110"/>
      <c r="O39" s="110"/>
      <c r="P39" s="103"/>
      <c r="Q39" s="110"/>
      <c r="R39" s="110"/>
      <c r="S39" s="110"/>
      <c r="T39" s="110"/>
      <c r="U39" s="108"/>
      <c r="V39" s="110"/>
      <c r="W39" s="120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163"/>
      <c r="B40" s="159"/>
      <c r="C40" s="121"/>
      <c r="D40" s="96"/>
      <c r="E40" s="96"/>
      <c r="F40" s="97"/>
      <c r="G40" s="96"/>
      <c r="H40" s="96"/>
      <c r="I40" s="96"/>
      <c r="J40" s="96"/>
      <c r="K40" s="97"/>
      <c r="L40" s="96"/>
      <c r="M40" s="96"/>
      <c r="N40" s="96"/>
      <c r="O40" s="96"/>
      <c r="P40" s="97"/>
      <c r="Q40" s="96"/>
      <c r="R40" s="96"/>
      <c r="S40" s="96"/>
      <c r="T40" s="96"/>
      <c r="U40" s="112"/>
      <c r="V40" s="96"/>
      <c r="W40" s="98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163"/>
      <c r="B41" s="158">
        <f>Neu!B23</f>
        <v>0</v>
      </c>
      <c r="C41" s="119"/>
      <c r="D41" s="110"/>
      <c r="E41" s="110"/>
      <c r="F41" s="103"/>
      <c r="G41" s="110"/>
      <c r="H41" s="110"/>
      <c r="I41" s="110"/>
      <c r="J41" s="110"/>
      <c r="K41" s="103"/>
      <c r="L41" s="110"/>
      <c r="M41" s="110"/>
      <c r="N41" s="110"/>
      <c r="O41" s="110"/>
      <c r="P41" s="103"/>
      <c r="Q41" s="110"/>
      <c r="R41" s="110"/>
      <c r="S41" s="110"/>
      <c r="T41" s="110"/>
      <c r="U41" s="110"/>
      <c r="V41" s="108"/>
      <c r="W41" s="120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163"/>
      <c r="B42" s="159"/>
      <c r="C42" s="121"/>
      <c r="D42" s="96"/>
      <c r="E42" s="96"/>
      <c r="F42" s="97"/>
      <c r="G42" s="96"/>
      <c r="H42" s="96"/>
      <c r="I42" s="96"/>
      <c r="J42" s="96"/>
      <c r="K42" s="97"/>
      <c r="L42" s="96"/>
      <c r="M42" s="96"/>
      <c r="N42" s="96"/>
      <c r="O42" s="96"/>
      <c r="P42" s="97"/>
      <c r="Q42" s="96"/>
      <c r="R42" s="96"/>
      <c r="S42" s="96"/>
      <c r="T42" s="96"/>
      <c r="U42" s="96"/>
      <c r="V42" s="112"/>
      <c r="W42" s="98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163"/>
      <c r="B43" s="158">
        <f>Neu!B24</f>
        <v>0</v>
      </c>
      <c r="C43" s="119"/>
      <c r="D43" s="110"/>
      <c r="E43" s="110"/>
      <c r="F43" s="103"/>
      <c r="G43" s="110"/>
      <c r="H43" s="110"/>
      <c r="I43" s="110"/>
      <c r="J43" s="110"/>
      <c r="K43" s="103"/>
      <c r="L43" s="110"/>
      <c r="M43" s="110"/>
      <c r="N43" s="110"/>
      <c r="O43" s="110"/>
      <c r="P43" s="103"/>
      <c r="Q43" s="110"/>
      <c r="R43" s="110"/>
      <c r="S43" s="110"/>
      <c r="T43" s="110"/>
      <c r="U43" s="110"/>
      <c r="V43" s="110"/>
      <c r="W43" s="123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07"/>
      <c r="B44" s="160"/>
      <c r="C44" s="124"/>
      <c r="D44" s="125"/>
      <c r="E44" s="125"/>
      <c r="F44" s="126"/>
      <c r="G44" s="125"/>
      <c r="H44" s="125"/>
      <c r="I44" s="125"/>
      <c r="J44" s="125"/>
      <c r="K44" s="126"/>
      <c r="L44" s="125"/>
      <c r="M44" s="125"/>
      <c r="N44" s="125"/>
      <c r="O44" s="125"/>
      <c r="P44" s="126"/>
      <c r="Q44" s="125"/>
      <c r="R44" s="125"/>
      <c r="S44" s="125"/>
      <c r="T44" s="125"/>
      <c r="U44" s="125"/>
      <c r="V44" s="125"/>
      <c r="W44" s="127"/>
      <c r="Z44" s="1" t="str">
        <f t="shared" si="2"/>
        <v/>
      </c>
    </row>
    <row r="45" spans="1:26" x14ac:dyDescent="0.35">
      <c r="V45" s="95" t="s">
        <v>142</v>
      </c>
      <c r="W45" s="1">
        <f>(MAX(Z:Z)+MIN(Z:Z))/2</f>
        <v>2.5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7" priority="7" operator="equal">
      <formula>0</formula>
    </cfRule>
  </conditionalFormatting>
  <conditionalFormatting sqref="C3:L22">
    <cfRule type="colorScale" priority="1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C2:W2">
    <cfRule type="cellIs" dxfId="6" priority="8" operator="equal">
      <formula>0</formula>
    </cfRule>
  </conditionalFormatting>
  <conditionalFormatting sqref="C23:W44 M3:W22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zoomScale="90" zoomScaleNormal="90" workbookViewId="0">
      <selection activeCell="U14" sqref="U14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168"/>
      <c r="B1" s="168"/>
      <c r="C1" s="168" t="s">
        <v>4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23" ht="15" thickBot="1" x14ac:dyDescent="0.4">
      <c r="A2" s="168"/>
      <c r="B2" s="168"/>
      <c r="C2" s="134" t="str">
        <f>Neu!B4</f>
        <v>B63ls</v>
      </c>
      <c r="D2" s="135" t="str">
        <f>Neu!B5</f>
        <v>B63la</v>
      </c>
      <c r="E2" s="135" t="str">
        <f>Neu!B6</f>
        <v>B31rs</v>
      </c>
      <c r="F2" s="135" t="str">
        <f>Neu!B7</f>
        <v>B64ls</v>
      </c>
      <c r="G2" s="135" t="str">
        <f>Neu!B8</f>
        <v>B64la</v>
      </c>
      <c r="H2" s="135" t="str">
        <f>Neu!B9</f>
        <v>B63rs</v>
      </c>
      <c r="I2" s="135" t="str">
        <f>Neu!B10</f>
        <v>B63ra</v>
      </c>
      <c r="J2" s="135" t="str">
        <f>Neu!B11</f>
        <v>B31ls</v>
      </c>
      <c r="K2" s="135" t="str">
        <f>Neu!B12</f>
        <v>B64rs</v>
      </c>
      <c r="L2" s="135" t="str">
        <f>Neu!B13</f>
        <v>B64ra</v>
      </c>
      <c r="M2" s="135">
        <f>Neu!B14</f>
        <v>0</v>
      </c>
      <c r="N2" s="135">
        <f>Neu!B15</f>
        <v>0</v>
      </c>
      <c r="O2" s="135">
        <f>Neu!B16</f>
        <v>0</v>
      </c>
      <c r="P2" s="135">
        <f>Neu!B17</f>
        <v>0</v>
      </c>
      <c r="Q2" s="135">
        <f>Neu!$B18</f>
        <v>0</v>
      </c>
      <c r="R2" s="135">
        <f>Neu!$B19</f>
        <v>0</v>
      </c>
      <c r="S2" s="135">
        <f>Neu!$B20</f>
        <v>0</v>
      </c>
      <c r="T2" s="135">
        <f>Neu!$B21</f>
        <v>0</v>
      </c>
      <c r="U2" s="135">
        <f>Neu!$B22</f>
        <v>0</v>
      </c>
      <c r="V2" s="135">
        <f>Neu!$B23</f>
        <v>0</v>
      </c>
      <c r="W2" s="136">
        <f>Neu!$B24</f>
        <v>0</v>
      </c>
    </row>
    <row r="3" spans="1:23" ht="29.15" customHeight="1" x14ac:dyDescent="0.35">
      <c r="A3" s="169" t="s">
        <v>5</v>
      </c>
      <c r="B3" s="2" t="str">
        <f>Neu!B4</f>
        <v>B63ls</v>
      </c>
      <c r="C3" s="75"/>
      <c r="D3" s="76">
        <f>C4</f>
        <v>0.13</v>
      </c>
      <c r="E3" s="76">
        <f>C5</f>
        <v>0</v>
      </c>
      <c r="F3" s="76">
        <f>C6</f>
        <v>0</v>
      </c>
      <c r="G3" s="76">
        <f>C7</f>
        <v>0</v>
      </c>
      <c r="H3" s="76">
        <f>C8</f>
        <v>0</v>
      </c>
      <c r="I3" s="76">
        <f>C9</f>
        <v>0</v>
      </c>
      <c r="J3" s="76">
        <f>C10</f>
        <v>0</v>
      </c>
      <c r="K3" s="76">
        <f>C11</f>
        <v>0</v>
      </c>
      <c r="L3" s="76">
        <f>C12</f>
        <v>0</v>
      </c>
      <c r="M3" s="76"/>
      <c r="N3" s="76"/>
      <c r="O3" s="76"/>
      <c r="P3" s="76"/>
      <c r="Q3" s="77"/>
      <c r="R3" s="77"/>
      <c r="S3" s="77"/>
      <c r="T3" s="77"/>
      <c r="U3" s="77"/>
      <c r="V3" s="77"/>
      <c r="W3" s="78"/>
    </row>
    <row r="4" spans="1:23" ht="29.15" customHeight="1" x14ac:dyDescent="0.35">
      <c r="A4" s="169"/>
      <c r="B4" s="3" t="str">
        <f>Neu!B5</f>
        <v>B63la</v>
      </c>
      <c r="C4" s="79">
        <v>0.13</v>
      </c>
      <c r="D4" s="71"/>
      <c r="E4" s="7">
        <v>4.4999999999999998E-2</v>
      </c>
      <c r="F4" s="4"/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/>
      <c r="N4" s="7"/>
      <c r="O4" s="7"/>
      <c r="P4" s="7"/>
      <c r="Q4" s="72"/>
      <c r="R4" s="72"/>
      <c r="S4" s="70"/>
      <c r="T4" s="70"/>
      <c r="U4" s="70"/>
      <c r="V4" s="70"/>
      <c r="W4" s="6"/>
    </row>
    <row r="5" spans="1:23" ht="29.15" customHeight="1" x14ac:dyDescent="0.35">
      <c r="A5" s="169"/>
      <c r="B5" s="3" t="str">
        <f>Neu!B6</f>
        <v>B31rs</v>
      </c>
      <c r="C5" s="79"/>
      <c r="D5" s="7">
        <v>4.4999999999999998E-2</v>
      </c>
      <c r="E5" s="71"/>
      <c r="F5" s="4"/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/>
      <c r="N5" s="7"/>
      <c r="O5" s="7"/>
      <c r="P5" s="7"/>
      <c r="Q5" s="72"/>
      <c r="R5" s="72"/>
      <c r="S5" s="70"/>
      <c r="T5" s="70"/>
      <c r="U5" s="70"/>
      <c r="V5" s="70"/>
      <c r="W5" s="6"/>
    </row>
    <row r="6" spans="1:23" ht="29.15" customHeight="1" x14ac:dyDescent="0.35">
      <c r="A6" s="169"/>
      <c r="B6" s="3" t="str">
        <f>Neu!B7</f>
        <v>B64ls</v>
      </c>
      <c r="C6" s="79"/>
      <c r="D6" s="7"/>
      <c r="E6" s="7"/>
      <c r="F6" s="71"/>
      <c r="G6" s="7">
        <v>2.5000000000000001E-2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/>
      <c r="N6" s="7"/>
      <c r="O6" s="7"/>
      <c r="P6" s="7"/>
      <c r="Q6" s="72"/>
      <c r="R6" s="72"/>
      <c r="S6" s="70"/>
      <c r="T6" s="70"/>
      <c r="U6" s="70"/>
      <c r="V6" s="70"/>
      <c r="W6" s="6"/>
    </row>
    <row r="7" spans="1:23" ht="29.15" customHeight="1" x14ac:dyDescent="0.35">
      <c r="A7" s="169"/>
      <c r="B7" s="3" t="str">
        <f>Neu!B8</f>
        <v>B64la</v>
      </c>
      <c r="C7" s="79"/>
      <c r="D7" s="147"/>
      <c r="E7" s="7"/>
      <c r="F7" s="7">
        <v>0.1</v>
      </c>
      <c r="G7" s="71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/>
      <c r="N7" s="7"/>
      <c r="O7" s="7"/>
      <c r="P7" s="7"/>
      <c r="Q7" s="72"/>
      <c r="R7" s="72"/>
      <c r="S7" s="70"/>
      <c r="T7" s="70"/>
      <c r="U7" s="70"/>
      <c r="V7" s="70"/>
      <c r="W7" s="6"/>
    </row>
    <row r="8" spans="1:23" ht="29.15" customHeight="1" x14ac:dyDescent="0.35">
      <c r="A8" s="169"/>
      <c r="B8" s="3" t="str">
        <f>Neu!B9</f>
        <v>B63rs</v>
      </c>
      <c r="C8" s="79"/>
      <c r="D8" s="7"/>
      <c r="E8" s="7"/>
      <c r="F8" s="7"/>
      <c r="G8" s="7"/>
      <c r="H8" s="71"/>
      <c r="I8" s="7">
        <f>H9</f>
        <v>0.13</v>
      </c>
      <c r="J8" s="7">
        <f>H10</f>
        <v>0</v>
      </c>
      <c r="K8" s="7">
        <f>H11</f>
        <v>0</v>
      </c>
      <c r="L8" s="7">
        <f>H12</f>
        <v>0</v>
      </c>
      <c r="M8" s="7"/>
      <c r="N8" s="7"/>
      <c r="O8" s="7"/>
      <c r="P8" s="7"/>
      <c r="Q8" s="72"/>
      <c r="R8" s="72"/>
      <c r="S8" s="70"/>
      <c r="T8" s="70"/>
      <c r="U8" s="70"/>
      <c r="V8" s="70"/>
      <c r="W8" s="6"/>
    </row>
    <row r="9" spans="1:23" ht="29.15" customHeight="1" x14ac:dyDescent="0.35">
      <c r="A9" s="169"/>
      <c r="B9" s="3" t="str">
        <f>Neu!B10</f>
        <v>B63ra</v>
      </c>
      <c r="C9" s="79"/>
      <c r="D9" s="147"/>
      <c r="E9" s="7"/>
      <c r="F9" s="7"/>
      <c r="G9" s="7"/>
      <c r="H9" s="7">
        <v>0.13</v>
      </c>
      <c r="I9" s="71"/>
      <c r="J9" s="7">
        <f>I10</f>
        <v>0.05</v>
      </c>
      <c r="K9" s="7">
        <f>I11</f>
        <v>0</v>
      </c>
      <c r="L9" s="7">
        <f>I12</f>
        <v>0</v>
      </c>
      <c r="M9" s="7"/>
      <c r="N9" s="7"/>
      <c r="O9" s="7"/>
      <c r="P9" s="7"/>
      <c r="Q9" s="72"/>
      <c r="R9" s="72"/>
      <c r="S9" s="70"/>
      <c r="T9" s="70"/>
      <c r="U9" s="70"/>
      <c r="V9" s="70"/>
      <c r="W9" s="6"/>
    </row>
    <row r="10" spans="1:23" ht="29.15" customHeight="1" x14ac:dyDescent="0.35">
      <c r="A10" s="169"/>
      <c r="B10" s="3" t="str">
        <f>Neu!B11</f>
        <v>B31ls</v>
      </c>
      <c r="C10" s="79"/>
      <c r="D10" s="7"/>
      <c r="E10" s="7"/>
      <c r="F10" s="7"/>
      <c r="G10" s="7"/>
      <c r="H10" s="7"/>
      <c r="I10" s="14">
        <v>0.05</v>
      </c>
      <c r="J10" s="71"/>
      <c r="K10" s="7">
        <f>J11</f>
        <v>0</v>
      </c>
      <c r="L10" s="7">
        <f>J12</f>
        <v>0</v>
      </c>
      <c r="M10" s="7"/>
      <c r="N10" s="7"/>
      <c r="O10" s="7"/>
      <c r="P10" s="7"/>
      <c r="Q10" s="72"/>
      <c r="R10" s="72"/>
      <c r="S10" s="70"/>
      <c r="T10" s="70"/>
      <c r="U10" s="70"/>
      <c r="V10" s="70"/>
      <c r="W10" s="6"/>
    </row>
    <row r="11" spans="1:23" ht="29.15" customHeight="1" x14ac:dyDescent="0.35">
      <c r="A11" s="169"/>
      <c r="B11" s="3" t="str">
        <f>Neu!B12</f>
        <v>B64rs</v>
      </c>
      <c r="C11" s="79"/>
      <c r="D11" s="7"/>
      <c r="E11" s="7"/>
      <c r="F11" s="7"/>
      <c r="G11" s="7"/>
      <c r="H11" s="7"/>
      <c r="I11" s="7"/>
      <c r="J11" s="7"/>
      <c r="K11" s="71"/>
      <c r="L11" s="7">
        <v>2.5000000000000001E-2</v>
      </c>
      <c r="M11" s="7"/>
      <c r="N11" s="7"/>
      <c r="O11" s="7"/>
      <c r="P11" s="7"/>
      <c r="Q11" s="72"/>
      <c r="R11" s="72"/>
      <c r="S11" s="70"/>
      <c r="T11" s="70"/>
      <c r="U11" s="70"/>
      <c r="V11" s="70"/>
      <c r="W11" s="6"/>
    </row>
    <row r="12" spans="1:23" ht="29.15" customHeight="1" x14ac:dyDescent="0.35">
      <c r="A12" s="169"/>
      <c r="B12" s="3" t="str">
        <f>Neu!B13</f>
        <v>B64ra</v>
      </c>
      <c r="C12" s="79"/>
      <c r="D12" s="7"/>
      <c r="E12" s="7"/>
      <c r="F12" s="7"/>
      <c r="G12" s="7"/>
      <c r="H12" s="7"/>
      <c r="I12" s="7"/>
      <c r="J12" s="7"/>
      <c r="K12" s="7">
        <v>0.1</v>
      </c>
      <c r="L12" s="71"/>
      <c r="M12" s="7"/>
      <c r="N12" s="7"/>
      <c r="O12" s="7"/>
      <c r="P12" s="7"/>
      <c r="Q12" s="72"/>
      <c r="R12" s="72"/>
      <c r="S12" s="70"/>
      <c r="T12" s="70"/>
      <c r="U12" s="70"/>
      <c r="V12" s="70"/>
      <c r="W12" s="6"/>
    </row>
    <row r="13" spans="1:23" ht="29.15" customHeight="1" x14ac:dyDescent="0.35">
      <c r="A13" s="169"/>
      <c r="B13" s="3">
        <f>Neu!B14</f>
        <v>0</v>
      </c>
      <c r="C13" s="79"/>
      <c r="D13" s="7"/>
      <c r="E13" s="7"/>
      <c r="F13" s="7"/>
      <c r="G13" s="7"/>
      <c r="H13" s="7"/>
      <c r="I13" s="7"/>
      <c r="J13" s="7"/>
      <c r="K13" s="7"/>
      <c r="L13" s="7"/>
      <c r="M13" s="71"/>
      <c r="N13" s="7"/>
      <c r="O13" s="7"/>
      <c r="P13" s="7"/>
      <c r="Q13" s="72"/>
      <c r="R13" s="72"/>
      <c r="S13" s="70"/>
      <c r="T13" s="70"/>
      <c r="U13" s="70"/>
      <c r="V13" s="70"/>
      <c r="W13" s="6"/>
    </row>
    <row r="14" spans="1:23" ht="29.15" customHeight="1" x14ac:dyDescent="0.35">
      <c r="A14" s="169"/>
      <c r="B14" s="3">
        <f>Neu!B15</f>
        <v>0</v>
      </c>
      <c r="C14" s="79"/>
      <c r="D14" s="7"/>
      <c r="E14" s="7"/>
      <c r="F14" s="7"/>
      <c r="G14" s="7"/>
      <c r="H14" s="7"/>
      <c r="I14" s="7"/>
      <c r="J14" s="7"/>
      <c r="K14" s="7"/>
      <c r="L14" s="7"/>
      <c r="M14" s="7"/>
      <c r="N14" s="71"/>
      <c r="O14" s="7"/>
      <c r="P14" s="7"/>
      <c r="Q14" s="72"/>
      <c r="R14" s="72"/>
      <c r="S14" s="70"/>
      <c r="T14" s="70"/>
      <c r="U14" s="70"/>
      <c r="V14" s="70"/>
      <c r="W14" s="6"/>
    </row>
    <row r="15" spans="1:23" ht="29.15" customHeight="1" x14ac:dyDescent="0.35">
      <c r="A15" s="169"/>
      <c r="B15" s="3">
        <f>Neu!B16</f>
        <v>0</v>
      </c>
      <c r="C15" s="7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1"/>
      <c r="P15" s="7"/>
      <c r="Q15" s="72"/>
      <c r="R15" s="72"/>
      <c r="S15" s="70"/>
      <c r="T15" s="70"/>
      <c r="U15" s="70"/>
      <c r="V15" s="70"/>
      <c r="W15" s="6"/>
    </row>
    <row r="16" spans="1:23" ht="29.15" customHeight="1" x14ac:dyDescent="0.35">
      <c r="A16" s="169"/>
      <c r="B16" s="3">
        <f>Neu!B17</f>
        <v>0</v>
      </c>
      <c r="C16" s="7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1"/>
      <c r="Q16" s="72"/>
      <c r="R16" s="72"/>
      <c r="S16" s="70"/>
      <c r="T16" s="70"/>
      <c r="U16" s="70"/>
      <c r="V16" s="70"/>
      <c r="W16" s="6"/>
    </row>
    <row r="17" spans="1:23" ht="29.15" customHeight="1" x14ac:dyDescent="0.35">
      <c r="A17" s="169"/>
      <c r="B17" s="3">
        <f>Neu!B18</f>
        <v>0</v>
      </c>
      <c r="C17" s="80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72"/>
      <c r="S17" s="70"/>
      <c r="T17" s="70"/>
      <c r="U17" s="70"/>
      <c r="V17" s="70"/>
      <c r="W17" s="6"/>
    </row>
    <row r="18" spans="1:23" ht="29.15" customHeight="1" x14ac:dyDescent="0.35">
      <c r="B18" s="3">
        <f>Neu!B19</f>
        <v>0</v>
      </c>
      <c r="C18" s="7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1"/>
      <c r="S18" s="70"/>
      <c r="T18" s="70"/>
      <c r="U18" s="70"/>
      <c r="V18" s="70"/>
      <c r="W18" s="6"/>
    </row>
    <row r="19" spans="1:23" ht="29.15" customHeight="1" x14ac:dyDescent="0.35">
      <c r="B19" s="3">
        <f>Neu!B20</f>
        <v>0</v>
      </c>
      <c r="C19" s="7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1"/>
      <c r="T19" s="70"/>
      <c r="U19" s="70"/>
      <c r="V19" s="70"/>
      <c r="W19" s="6"/>
    </row>
    <row r="20" spans="1:23" ht="29.15" customHeight="1" x14ac:dyDescent="0.35">
      <c r="B20" s="3">
        <f>Neu!B21</f>
        <v>0</v>
      </c>
      <c r="C20" s="7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1"/>
      <c r="U20" s="70"/>
      <c r="V20" s="70"/>
      <c r="W20" s="6"/>
    </row>
    <row r="21" spans="1:23" ht="29.15" customHeight="1" x14ac:dyDescent="0.35">
      <c r="B21" s="3">
        <f>Neu!B22</f>
        <v>0</v>
      </c>
      <c r="C21" s="7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1"/>
      <c r="V21" s="70"/>
      <c r="W21" s="6"/>
    </row>
    <row r="22" spans="1:23" ht="29.15" customHeight="1" x14ac:dyDescent="0.35">
      <c r="B22" s="3">
        <f>Neu!B23</f>
        <v>0</v>
      </c>
      <c r="C22" s="7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1"/>
      <c r="W22" s="6"/>
    </row>
    <row r="23" spans="1:23" ht="29.15" customHeight="1" thickBot="1" x14ac:dyDescent="0.4">
      <c r="B23" s="5">
        <f>Neu!B24</f>
        <v>0</v>
      </c>
      <c r="C23" s="8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2"/>
    </row>
  </sheetData>
  <mergeCells count="3">
    <mergeCell ref="A1:B2"/>
    <mergeCell ref="C1:Q1"/>
    <mergeCell ref="A3:A17"/>
  </mergeCells>
  <conditionalFormatting sqref="B3:B23">
    <cfRule type="cellIs" dxfId="5" priority="13" operator="equal">
      <formula>0</formula>
    </cfRule>
  </conditionalFormatting>
  <conditionalFormatting sqref="C3:L9 C10:H10 J10:L10 C11:L12">
    <cfRule type="colorScale" priority="3">
      <colorScale>
        <cfvo type="min"/>
        <cfvo type="max"/>
        <color theme="0"/>
        <color rgb="FFFF0000"/>
      </colorScale>
    </cfRule>
  </conditionalFormatting>
  <conditionalFormatting sqref="C2:W2">
    <cfRule type="cellIs" dxfId="4" priority="14" operator="equal">
      <formula>0</formula>
    </cfRule>
  </conditionalFormatting>
  <conditionalFormatting sqref="C13:W23 M3:W12">
    <cfRule type="colorScale" priority="12">
      <colorScale>
        <cfvo type="min"/>
        <cfvo type="max"/>
        <color theme="0"/>
        <color rgb="FFFF0000"/>
      </colorScale>
    </cfRule>
  </conditionalFormatting>
  <conditionalFormatting sqref="D3:L3 E4:L4 F5:L5 G6:L6 H7:L7 I8:L8 J9:L9 K10:L10 L11">
    <cfRule type="cellIs" dxfId="3" priority="2" operator="equal">
      <formula>0</formula>
    </cfRule>
  </conditionalFormatting>
  <conditionalFormatting sqref="D3:L3 F5:L5 G6:L6 H7:L7 I8:L8 K10:L10 L11 E4:L4 J9:L9">
    <cfRule type="colorScale" priority="1">
      <colorScale>
        <cfvo type="min"/>
        <cfvo type="max"/>
        <color theme="4" tint="0.79998168889431442"/>
        <color rgb="FFFF0000"/>
      </colorScale>
    </cfRule>
  </conditionalFormatting>
  <conditionalFormatting sqref="M3:W12 N13:W13 O14:W14 P15:W15 Q16:W16 R17:W17 S18:W18 T19:W19 U20:W20 V21:W21 W22">
    <cfRule type="colorScale" priority="10">
      <colorScale>
        <cfvo type="min"/>
        <cfvo type="max"/>
        <color theme="4" tint="0.79998168889431442"/>
        <color rgb="FFFF0000"/>
      </colorScale>
    </cfRule>
    <cfRule type="cellIs" dxfId="2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B5" sqref="B5"/>
    </sheetView>
  </sheetViews>
  <sheetFormatPr defaultColWidth="9.1796875" defaultRowHeight="14.5" x14ac:dyDescent="0.35"/>
  <cols>
    <col min="1" max="1" width="35.453125" style="25" customWidth="1"/>
    <col min="2" max="2" width="10.81640625" style="26" customWidth="1"/>
    <col min="3" max="3" width="9.1796875" style="26"/>
    <col min="4" max="4" width="17.1796875" style="26" customWidth="1"/>
    <col min="5" max="16384" width="9.1796875" style="26"/>
  </cols>
  <sheetData>
    <row r="1" spans="1:4" x14ac:dyDescent="0.35">
      <c r="A1" s="27"/>
      <c r="B1" s="28" t="s">
        <v>15</v>
      </c>
      <c r="C1" s="28" t="s">
        <v>16</v>
      </c>
      <c r="D1" s="28" t="s">
        <v>17</v>
      </c>
    </row>
    <row r="2" spans="1:4" x14ac:dyDescent="0.35">
      <c r="A2" s="27" t="s">
        <v>18</v>
      </c>
      <c r="B2" s="34">
        <v>0</v>
      </c>
      <c r="C2" s="34">
        <v>50</v>
      </c>
      <c r="D2" s="34">
        <v>10</v>
      </c>
    </row>
    <row r="3" spans="1:4" x14ac:dyDescent="0.35">
      <c r="A3" s="27" t="s">
        <v>20</v>
      </c>
      <c r="B3" s="34">
        <v>0</v>
      </c>
      <c r="C3" s="34">
        <v>200</v>
      </c>
      <c r="D3" s="34">
        <v>10</v>
      </c>
    </row>
    <row r="4" spans="1:4" x14ac:dyDescent="0.35">
      <c r="A4" s="27" t="s">
        <v>19</v>
      </c>
      <c r="B4" s="34">
        <v>0</v>
      </c>
      <c r="C4" s="34">
        <v>200</v>
      </c>
      <c r="D4" s="34">
        <v>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3400-31E7-4A57-AD95-5DF10879A2E2}">
  <dimension ref="A1:Z78"/>
  <sheetViews>
    <sheetView topLeftCell="A2" workbookViewId="0">
      <selection activeCell="E26" sqref="E26"/>
    </sheetView>
  </sheetViews>
  <sheetFormatPr defaultColWidth="9.1796875" defaultRowHeight="14.5" x14ac:dyDescent="0.35"/>
  <cols>
    <col min="1" max="2" width="8.453125" style="23" customWidth="1"/>
    <col min="3" max="3" width="14.17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21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70" t="s">
        <v>68</v>
      </c>
      <c r="G1" s="170"/>
      <c r="H1" s="170"/>
      <c r="I1" s="170"/>
      <c r="J1" s="170"/>
      <c r="K1" s="170"/>
      <c r="L1" s="51" t="s">
        <v>45</v>
      </c>
      <c r="M1" s="16" t="s">
        <v>122</v>
      </c>
      <c r="N1" s="36" t="s">
        <v>123</v>
      </c>
      <c r="T1" s="36" t="s">
        <v>72</v>
      </c>
    </row>
    <row r="2" spans="1:26" x14ac:dyDescent="0.35">
      <c r="A2" s="38" t="s">
        <v>21</v>
      </c>
      <c r="B2" s="35" t="s">
        <v>22</v>
      </c>
      <c r="C2" s="17" t="s">
        <v>181</v>
      </c>
      <c r="D2" s="35" t="s">
        <v>24</v>
      </c>
      <c r="E2" s="17">
        <v>1</v>
      </c>
      <c r="F2" s="39" t="s">
        <v>60</v>
      </c>
      <c r="G2" s="36" t="s">
        <v>56</v>
      </c>
      <c r="M2" s="16" t="s">
        <v>43</v>
      </c>
      <c r="N2" s="36" t="s">
        <v>48</v>
      </c>
      <c r="Q2" s="16" t="s">
        <v>53</v>
      </c>
      <c r="R2" s="36" t="s">
        <v>82</v>
      </c>
      <c r="T2" s="16" t="s">
        <v>73</v>
      </c>
      <c r="U2" s="23" t="s">
        <v>78</v>
      </c>
    </row>
    <row r="3" spans="1:26" x14ac:dyDescent="0.35">
      <c r="B3" s="35" t="s">
        <v>14</v>
      </c>
      <c r="C3" s="17">
        <v>24</v>
      </c>
      <c r="D3" s="35" t="s">
        <v>25</v>
      </c>
      <c r="E3" s="17">
        <v>1</v>
      </c>
      <c r="F3" s="51" t="s">
        <v>44</v>
      </c>
      <c r="G3" s="36" t="s">
        <v>57</v>
      </c>
      <c r="I3" s="38" t="s">
        <v>133</v>
      </c>
      <c r="J3" s="36" t="s">
        <v>134</v>
      </c>
      <c r="M3" s="16" t="s">
        <v>46</v>
      </c>
      <c r="N3" s="36" t="s">
        <v>47</v>
      </c>
      <c r="Q3" s="16" t="s">
        <v>54</v>
      </c>
      <c r="R3" s="36" t="s">
        <v>55</v>
      </c>
      <c r="T3" s="16" t="s">
        <v>74</v>
      </c>
      <c r="U3" s="23" t="s">
        <v>80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61</v>
      </c>
      <c r="G4" s="36" t="s">
        <v>58</v>
      </c>
      <c r="I4" s="38" t="s">
        <v>69</v>
      </c>
      <c r="J4" s="50" t="s">
        <v>70</v>
      </c>
      <c r="M4" s="16" t="s">
        <v>49</v>
      </c>
      <c r="N4" s="36" t="s">
        <v>51</v>
      </c>
      <c r="Q4" s="16" t="s">
        <v>84</v>
      </c>
      <c r="R4" s="36" t="s">
        <v>83</v>
      </c>
      <c r="T4" s="16" t="s">
        <v>75</v>
      </c>
      <c r="U4" s="23" t="s">
        <v>77</v>
      </c>
    </row>
    <row r="5" spans="1:26" x14ac:dyDescent="0.35">
      <c r="B5" s="40" t="s">
        <v>62</v>
      </c>
      <c r="F5" s="51" t="s">
        <v>44</v>
      </c>
      <c r="G5" s="36" t="s">
        <v>59</v>
      </c>
      <c r="I5" s="23" t="s">
        <v>44</v>
      </c>
      <c r="J5" s="50" t="s">
        <v>71</v>
      </c>
      <c r="M5" s="16" t="s">
        <v>50</v>
      </c>
      <c r="N5" s="36" t="s">
        <v>52</v>
      </c>
      <c r="Q5" s="16" t="s">
        <v>126</v>
      </c>
      <c r="R5" s="36" t="s">
        <v>127</v>
      </c>
      <c r="T5" s="16" t="s">
        <v>76</v>
      </c>
      <c r="U5" s="23" t="s">
        <v>79</v>
      </c>
    </row>
    <row r="6" spans="1:26" ht="15" thickBot="1" x14ac:dyDescent="0.4">
      <c r="A6" s="37" t="s">
        <v>36</v>
      </c>
      <c r="J6" s="50" t="s">
        <v>81</v>
      </c>
      <c r="M6" s="59" t="s">
        <v>164</v>
      </c>
      <c r="N6" s="36" t="s">
        <v>125</v>
      </c>
    </row>
    <row r="7" spans="1:26" ht="15" thickBot="1" x14ac:dyDescent="0.4">
      <c r="B7" s="156" t="s">
        <v>31</v>
      </c>
      <c r="C7" s="174"/>
      <c r="D7" s="174"/>
      <c r="E7" s="174"/>
      <c r="F7" s="175"/>
      <c r="G7" s="176" t="s">
        <v>35</v>
      </c>
      <c r="H7" s="174"/>
      <c r="I7" s="174"/>
      <c r="J7" s="174"/>
      <c r="K7" s="157"/>
      <c r="L7" s="156" t="s">
        <v>41</v>
      </c>
      <c r="M7" s="174"/>
      <c r="N7" s="174"/>
      <c r="O7" s="174"/>
      <c r="P7" s="157"/>
      <c r="Q7" s="156" t="s">
        <v>42</v>
      </c>
      <c r="R7" s="174"/>
      <c r="S7" s="174"/>
      <c r="T7" s="174"/>
      <c r="U7" s="157"/>
      <c r="V7" s="156" t="s">
        <v>182</v>
      </c>
      <c r="W7" s="174"/>
      <c r="X7" s="174"/>
      <c r="Y7" s="174"/>
      <c r="Z7" s="157"/>
    </row>
    <row r="8" spans="1:26" x14ac:dyDescent="0.35">
      <c r="A8" s="46" t="s">
        <v>40</v>
      </c>
      <c r="B8" s="60" t="s">
        <v>27</v>
      </c>
      <c r="C8" s="16" t="s">
        <v>30</v>
      </c>
      <c r="D8" s="16" t="s">
        <v>28</v>
      </c>
      <c r="E8" s="16" t="s">
        <v>29</v>
      </c>
      <c r="F8" s="67" t="s">
        <v>34</v>
      </c>
      <c r="G8" s="49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>
        <v>1</v>
      </c>
      <c r="B9" s="61" t="s">
        <v>31</v>
      </c>
      <c r="C9" s="17">
        <v>6</v>
      </c>
      <c r="D9" s="17">
        <v>0</v>
      </c>
      <c r="E9" s="17">
        <v>24</v>
      </c>
      <c r="F9" s="48" t="s">
        <v>165</v>
      </c>
      <c r="G9" s="43" t="s">
        <v>166</v>
      </c>
      <c r="H9" s="17">
        <v>7</v>
      </c>
      <c r="I9" s="17">
        <v>-70</v>
      </c>
      <c r="J9" s="17">
        <v>0</v>
      </c>
      <c r="K9" s="48" t="s">
        <v>167</v>
      </c>
      <c r="L9" s="43"/>
      <c r="M9" s="17"/>
      <c r="N9" s="17"/>
      <c r="O9" s="17"/>
      <c r="P9" s="48"/>
      <c r="Q9" s="43"/>
      <c r="R9" s="17"/>
      <c r="S9" s="17"/>
      <c r="T9" s="17"/>
      <c r="U9" s="48"/>
      <c r="V9" s="43"/>
      <c r="W9" s="17"/>
      <c r="X9" s="17"/>
      <c r="Y9" s="17"/>
      <c r="Z9" s="19"/>
    </row>
    <row r="10" spans="1:26" x14ac:dyDescent="0.35">
      <c r="A10" s="47">
        <v>1</v>
      </c>
      <c r="B10" s="61" t="s">
        <v>31</v>
      </c>
      <c r="C10" s="17">
        <v>6</v>
      </c>
      <c r="D10" s="17">
        <v>0</v>
      </c>
      <c r="E10" s="17">
        <v>24</v>
      </c>
      <c r="F10" s="48" t="s">
        <v>165</v>
      </c>
      <c r="G10" s="43" t="s">
        <v>168</v>
      </c>
      <c r="H10" s="17">
        <v>7</v>
      </c>
      <c r="I10" s="17">
        <v>-70</v>
      </c>
      <c r="J10" s="17">
        <v>0</v>
      </c>
      <c r="K10" s="48" t="s">
        <v>169</v>
      </c>
      <c r="L10" s="43"/>
      <c r="M10" s="17"/>
      <c r="N10" s="17"/>
      <c r="O10" s="17"/>
      <c r="P10" s="48"/>
      <c r="Q10" s="43"/>
      <c r="R10" s="17"/>
      <c r="S10" s="17"/>
      <c r="T10" s="17"/>
      <c r="U10" s="48"/>
      <c r="V10" s="43"/>
      <c r="W10" s="17"/>
      <c r="X10" s="17"/>
      <c r="Y10" s="17"/>
      <c r="Z10" s="19"/>
    </row>
    <row r="11" spans="1:26" x14ac:dyDescent="0.35">
      <c r="A11" s="47">
        <v>1</v>
      </c>
      <c r="B11" s="61" t="s">
        <v>31</v>
      </c>
      <c r="C11" s="17">
        <v>6</v>
      </c>
      <c r="D11" s="17">
        <v>0</v>
      </c>
      <c r="E11" s="17">
        <v>24</v>
      </c>
      <c r="F11" s="48" t="s">
        <v>165</v>
      </c>
      <c r="G11" s="43" t="s">
        <v>172</v>
      </c>
      <c r="H11" s="17">
        <v>7</v>
      </c>
      <c r="I11" s="17">
        <v>-70</v>
      </c>
      <c r="J11" s="17">
        <v>0</v>
      </c>
      <c r="K11" s="48" t="s">
        <v>173</v>
      </c>
      <c r="L11" s="43" t="s">
        <v>170</v>
      </c>
      <c r="M11" s="17">
        <v>7</v>
      </c>
      <c r="N11" s="17">
        <v>-70</v>
      </c>
      <c r="O11" s="17">
        <v>0</v>
      </c>
      <c r="P11" s="48" t="s">
        <v>171</v>
      </c>
      <c r="Q11" s="43"/>
      <c r="R11" s="17"/>
      <c r="S11" s="17"/>
      <c r="T11" s="17"/>
      <c r="U11" s="48"/>
      <c r="V11" s="43"/>
      <c r="W11" s="17"/>
      <c r="X11" s="17"/>
      <c r="Y11" s="17"/>
      <c r="Z11" s="19"/>
    </row>
    <row r="12" spans="1:26" x14ac:dyDescent="0.35">
      <c r="A12" s="47">
        <v>1</v>
      </c>
      <c r="B12" s="61" t="s">
        <v>31</v>
      </c>
      <c r="C12" s="17">
        <v>6</v>
      </c>
      <c r="D12" s="17">
        <v>0</v>
      </c>
      <c r="E12" s="17">
        <v>24</v>
      </c>
      <c r="F12" s="48" t="s">
        <v>165</v>
      </c>
      <c r="G12" s="43" t="s">
        <v>174</v>
      </c>
      <c r="H12" s="17">
        <v>5</v>
      </c>
      <c r="I12" s="17">
        <v>-60</v>
      </c>
      <c r="J12" s="17">
        <v>0</v>
      </c>
      <c r="K12" s="48" t="s">
        <v>169</v>
      </c>
      <c r="L12" s="43" t="s">
        <v>175</v>
      </c>
      <c r="M12" s="17">
        <v>5</v>
      </c>
      <c r="N12" s="17">
        <v>-2</v>
      </c>
      <c r="O12" s="17">
        <v>0</v>
      </c>
      <c r="P12" s="48" t="s">
        <v>165</v>
      </c>
      <c r="Q12" s="43"/>
      <c r="R12" s="17"/>
      <c r="S12" s="17"/>
      <c r="T12" s="17"/>
      <c r="U12" s="48"/>
      <c r="V12" s="43"/>
      <c r="W12" s="17"/>
      <c r="X12" s="17"/>
      <c r="Y12" s="17"/>
      <c r="Z12" s="19"/>
    </row>
    <row r="13" spans="1:26" x14ac:dyDescent="0.35">
      <c r="A13" s="47">
        <v>1</v>
      </c>
      <c r="B13" s="61" t="s">
        <v>31</v>
      </c>
      <c r="C13" s="17">
        <v>6</v>
      </c>
      <c r="D13" s="17">
        <v>0</v>
      </c>
      <c r="E13" s="17">
        <v>24</v>
      </c>
      <c r="F13" s="48" t="s">
        <v>165</v>
      </c>
      <c r="G13" s="43" t="s">
        <v>176</v>
      </c>
      <c r="H13" s="17">
        <v>6</v>
      </c>
      <c r="I13" s="17">
        <v>-5</v>
      </c>
      <c r="J13" s="17">
        <v>1</v>
      </c>
      <c r="K13" s="48" t="s">
        <v>167</v>
      </c>
      <c r="L13" s="43" t="s">
        <v>177</v>
      </c>
      <c r="M13" s="17">
        <v>6</v>
      </c>
      <c r="N13" s="17">
        <v>-2</v>
      </c>
      <c r="O13" s="17">
        <v>34</v>
      </c>
      <c r="P13" s="48" t="s">
        <v>178</v>
      </c>
      <c r="Q13" s="43" t="s">
        <v>179</v>
      </c>
      <c r="R13" s="17">
        <v>6</v>
      </c>
      <c r="S13" s="17">
        <v>-2</v>
      </c>
      <c r="T13" s="17">
        <v>34</v>
      </c>
      <c r="U13" s="48" t="s">
        <v>180</v>
      </c>
      <c r="V13" s="43"/>
      <c r="W13" s="17"/>
      <c r="X13" s="17"/>
      <c r="Y13" s="17"/>
      <c r="Z13" s="48"/>
    </row>
    <row r="14" spans="1:26" x14ac:dyDescent="0.35">
      <c r="A14" s="47"/>
      <c r="B14" s="61"/>
      <c r="C14" s="17"/>
      <c r="D14" s="17"/>
      <c r="E14" s="17"/>
      <c r="F14" s="48"/>
      <c r="G14" s="43"/>
      <c r="H14" s="17"/>
      <c r="I14" s="17"/>
      <c r="J14" s="17"/>
      <c r="K14" s="48"/>
      <c r="L14" s="43"/>
      <c r="M14" s="17"/>
      <c r="N14" s="17"/>
      <c r="O14" s="17"/>
      <c r="P14" s="48"/>
      <c r="Q14" s="43"/>
      <c r="R14" s="17"/>
      <c r="S14" s="17"/>
      <c r="T14" s="17"/>
      <c r="U14" s="48"/>
      <c r="V14" s="43"/>
      <c r="W14" s="17"/>
      <c r="X14" s="17"/>
      <c r="Y14" s="17"/>
      <c r="Z14" s="19"/>
    </row>
    <row r="16" spans="1:26" x14ac:dyDescent="0.35">
      <c r="A16" s="170" t="s">
        <v>63</v>
      </c>
      <c r="B16" s="170"/>
      <c r="C16" s="170"/>
      <c r="D16" s="170"/>
      <c r="E16" s="170"/>
      <c r="F16" s="170"/>
      <c r="G16" s="170"/>
      <c r="H16" s="170"/>
      <c r="I16" s="170"/>
      <c r="J16" s="170"/>
      <c r="L16" s="170" t="s">
        <v>64</v>
      </c>
      <c r="M16" s="170"/>
    </row>
    <row r="17" spans="2:17" ht="15" customHeight="1" x14ac:dyDescent="0.35">
      <c r="B17" s="148" t="s">
        <v>37</v>
      </c>
      <c r="C17" s="149"/>
      <c r="D17" s="149"/>
      <c r="E17" s="151"/>
      <c r="G17" s="171" t="s">
        <v>67</v>
      </c>
      <c r="H17" s="171"/>
      <c r="I17" s="171"/>
      <c r="J17" s="171"/>
      <c r="L17" s="43" t="s">
        <v>91</v>
      </c>
      <c r="M17" s="172" t="s">
        <v>65</v>
      </c>
      <c r="N17" s="173"/>
      <c r="O17" s="173"/>
      <c r="P17" s="173"/>
      <c r="Q17" s="173"/>
    </row>
    <row r="18" spans="2:17" x14ac:dyDescent="0.35">
      <c r="B18" s="16" t="s">
        <v>38</v>
      </c>
      <c r="C18" s="16" t="s">
        <v>28</v>
      </c>
      <c r="D18" s="16" t="s">
        <v>29</v>
      </c>
      <c r="E18" s="16" t="s">
        <v>39</v>
      </c>
      <c r="G18" s="16" t="s">
        <v>38</v>
      </c>
      <c r="H18" s="16" t="s">
        <v>28</v>
      </c>
      <c r="I18" s="16" t="s">
        <v>29</v>
      </c>
      <c r="J18" s="16" t="s">
        <v>66</v>
      </c>
      <c r="L18" s="43"/>
      <c r="M18" s="172"/>
      <c r="N18" s="173"/>
      <c r="O18" s="173"/>
      <c r="P18" s="173"/>
      <c r="Q18" s="173"/>
    </row>
    <row r="19" spans="2:17" x14ac:dyDescent="0.35">
      <c r="B19" s="43" t="s">
        <v>150</v>
      </c>
      <c r="C19" s="17">
        <v>0.5</v>
      </c>
      <c r="D19" s="17">
        <v>1.5</v>
      </c>
      <c r="E19" s="17">
        <v>1.2</v>
      </c>
      <c r="G19" s="17"/>
      <c r="H19" s="17"/>
      <c r="I19" s="17"/>
      <c r="J19" s="17"/>
      <c r="L19" s="43"/>
      <c r="M19" s="14"/>
    </row>
    <row r="20" spans="2:17" x14ac:dyDescent="0.35">
      <c r="B20" s="43" t="s">
        <v>150</v>
      </c>
      <c r="C20" s="17">
        <v>2.5</v>
      </c>
      <c r="D20" s="17">
        <v>3.5</v>
      </c>
      <c r="E20" s="17">
        <v>1.2</v>
      </c>
      <c r="G20" s="17"/>
      <c r="H20" s="17"/>
      <c r="I20" s="17"/>
      <c r="J20" s="17"/>
      <c r="L20" s="43"/>
      <c r="M20" s="14"/>
    </row>
    <row r="21" spans="2:17" x14ac:dyDescent="0.35">
      <c r="B21" s="43" t="s">
        <v>150</v>
      </c>
      <c r="C21" s="17">
        <v>4.5</v>
      </c>
      <c r="D21" s="17">
        <v>5.5</v>
      </c>
      <c r="E21" s="17">
        <v>1.2</v>
      </c>
      <c r="G21" s="17"/>
      <c r="H21" s="17"/>
      <c r="I21" s="17"/>
      <c r="J21" s="17"/>
      <c r="L21" s="43"/>
      <c r="M21" s="14"/>
    </row>
    <row r="22" spans="2:17" x14ac:dyDescent="0.35">
      <c r="B22" s="43" t="s">
        <v>150</v>
      </c>
      <c r="C22" s="17">
        <v>6.5</v>
      </c>
      <c r="D22" s="17">
        <v>7.5</v>
      </c>
      <c r="E22" s="17">
        <v>1.2</v>
      </c>
      <c r="G22" s="17"/>
      <c r="H22" s="17"/>
      <c r="I22" s="17"/>
      <c r="J22" s="17"/>
      <c r="L22" s="43"/>
      <c r="M22" s="14"/>
    </row>
    <row r="23" spans="2:17" x14ac:dyDescent="0.35">
      <c r="B23" s="43"/>
      <c r="C23" s="17"/>
      <c r="D23" s="17"/>
      <c r="E23" s="17"/>
      <c r="G23" s="17"/>
      <c r="H23" s="17"/>
      <c r="I23" s="17"/>
      <c r="J23" s="17"/>
      <c r="L23" s="43"/>
      <c r="M23" s="14"/>
    </row>
    <row r="24" spans="2:17" x14ac:dyDescent="0.35">
      <c r="B24" s="86"/>
      <c r="C24" s="17"/>
      <c r="D24" s="17"/>
      <c r="E24" s="17"/>
      <c r="G24" s="17"/>
      <c r="H24" s="17"/>
      <c r="I24" s="17"/>
      <c r="J24" s="17"/>
      <c r="L24" s="43"/>
      <c r="M24" s="14"/>
    </row>
    <row r="25" spans="2:17" x14ac:dyDescent="0.35">
      <c r="B25" s="86"/>
      <c r="C25" s="17"/>
      <c r="D25" s="17"/>
      <c r="E25" s="17"/>
      <c r="G25" s="17"/>
      <c r="H25" s="17"/>
      <c r="I25" s="17"/>
      <c r="J25" s="17"/>
      <c r="L25" s="43"/>
      <c r="M25" s="14"/>
    </row>
    <row r="26" spans="2:17" x14ac:dyDescent="0.35">
      <c r="B26" s="86"/>
      <c r="C26" s="17"/>
      <c r="D26" s="17"/>
      <c r="E26" s="17"/>
      <c r="G26" s="17"/>
      <c r="H26" s="17"/>
      <c r="I26" s="17"/>
      <c r="J26" s="17"/>
      <c r="L26" s="43"/>
      <c r="M26" s="14"/>
    </row>
    <row r="27" spans="2:17" x14ac:dyDescent="0.35">
      <c r="B27" s="86"/>
      <c r="C27" s="17"/>
      <c r="D27" s="17"/>
      <c r="E27" s="17"/>
      <c r="G27" s="17"/>
      <c r="H27" s="17"/>
      <c r="I27" s="17"/>
      <c r="J27" s="17"/>
      <c r="L27" s="43"/>
      <c r="M27" s="14"/>
    </row>
    <row r="28" spans="2:17" x14ac:dyDescent="0.35">
      <c r="B28" s="86"/>
      <c r="C28" s="17"/>
      <c r="D28" s="17"/>
      <c r="E28" s="17"/>
      <c r="G28" s="17"/>
      <c r="H28" s="17"/>
      <c r="I28" s="17"/>
      <c r="J28" s="17"/>
      <c r="L28" s="24"/>
      <c r="M28" s="14"/>
    </row>
    <row r="29" spans="2:17" x14ac:dyDescent="0.35">
      <c r="B29" s="86"/>
      <c r="C29" s="17"/>
      <c r="D29" s="17"/>
      <c r="E29" s="17"/>
      <c r="G29" s="17"/>
      <c r="H29" s="17"/>
      <c r="I29" s="17"/>
      <c r="J29" s="17"/>
      <c r="L29" s="24"/>
      <c r="M29" s="14"/>
    </row>
    <row r="30" spans="2:17" x14ac:dyDescent="0.35">
      <c r="B30" s="86"/>
      <c r="C30" s="17"/>
      <c r="D30" s="17"/>
      <c r="E30" s="17"/>
      <c r="G30" s="17"/>
      <c r="H30" s="17"/>
      <c r="I30" s="17"/>
      <c r="J30" s="17"/>
      <c r="L30" s="24"/>
      <c r="M30" s="14"/>
    </row>
    <row r="31" spans="2:17" x14ac:dyDescent="0.35">
      <c r="B31" s="17"/>
      <c r="C31" s="17"/>
      <c r="D31" s="17"/>
      <c r="E31" s="17"/>
      <c r="G31" s="17"/>
      <c r="H31" s="17"/>
      <c r="I31" s="17"/>
      <c r="J31" s="17"/>
      <c r="L31" s="24"/>
      <c r="M31" s="14"/>
    </row>
    <row r="32" spans="2:17" x14ac:dyDescent="0.35">
      <c r="B32" s="17"/>
      <c r="C32" s="17"/>
      <c r="D32" s="17"/>
      <c r="E32" s="17"/>
      <c r="G32" s="17"/>
      <c r="H32" s="17"/>
      <c r="I32" s="17"/>
      <c r="J32" s="17"/>
      <c r="L32" s="24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24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24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24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1" priority="1" operator="notEqual">
      <formula>MAX($E$9:$E$14)</formula>
    </cfRule>
  </conditionalFormatting>
  <dataValidations disablePrompts="1" count="1">
    <dataValidation type="list" allowBlank="1" showInputMessage="1" showErrorMessage="1" sqref="K9:K14 U9:U14 Z9:Z14 F9:F14 P9:P14" xr:uid="{E75B733D-8788-4A10-B518-716BEBDDBAF1}">
      <formula1>"green,red,yellow,blue,orange,cyan,black,white,magenta,pink"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EC41-4815-4A3B-AADC-8F5F86C614DC}">
  <dimension ref="A1:U35"/>
  <sheetViews>
    <sheetView workbookViewId="0">
      <selection activeCell="D25" sqref="D25"/>
    </sheetView>
  </sheetViews>
  <sheetFormatPr defaultRowHeight="14.5" x14ac:dyDescent="0.35"/>
  <sheetData>
    <row r="1" spans="1:21" x14ac:dyDescent="0.35">
      <c r="A1" s="23"/>
      <c r="B1" s="23"/>
      <c r="C1" s="23"/>
      <c r="D1" s="23"/>
      <c r="E1" s="23"/>
      <c r="F1" s="170" t="s">
        <v>68</v>
      </c>
      <c r="G1" s="170"/>
      <c r="H1" s="170"/>
      <c r="I1" s="170"/>
      <c r="J1" s="170"/>
      <c r="K1" s="170"/>
      <c r="L1" s="51" t="s">
        <v>45</v>
      </c>
      <c r="M1" s="16" t="s">
        <v>122</v>
      </c>
      <c r="N1" s="36" t="s">
        <v>123</v>
      </c>
      <c r="O1" s="23"/>
      <c r="P1" s="23"/>
      <c r="Q1" s="23"/>
      <c r="R1" s="23"/>
      <c r="S1" s="23"/>
      <c r="T1" s="36" t="s">
        <v>72</v>
      </c>
      <c r="U1" s="23"/>
    </row>
    <row r="2" spans="1:21" x14ac:dyDescent="0.35">
      <c r="A2" s="38" t="s">
        <v>21</v>
      </c>
      <c r="B2" s="35" t="s">
        <v>22</v>
      </c>
      <c r="C2" s="17" t="s">
        <v>163</v>
      </c>
      <c r="D2" s="35" t="s">
        <v>24</v>
      </c>
      <c r="E2" s="17">
        <v>1</v>
      </c>
      <c r="F2" s="39" t="s">
        <v>60</v>
      </c>
      <c r="G2" s="36" t="s">
        <v>56</v>
      </c>
      <c r="H2" s="23"/>
      <c r="I2" s="23"/>
      <c r="J2" s="23"/>
      <c r="K2" s="23"/>
      <c r="L2" s="23"/>
      <c r="M2" s="16" t="s">
        <v>43</v>
      </c>
      <c r="N2" s="36" t="s">
        <v>48</v>
      </c>
      <c r="O2" s="23"/>
      <c r="P2" s="23"/>
      <c r="Q2" s="16" t="s">
        <v>53</v>
      </c>
      <c r="R2" s="36" t="s">
        <v>82</v>
      </c>
      <c r="S2" s="23"/>
      <c r="T2" s="16" t="s">
        <v>73</v>
      </c>
      <c r="U2" s="23" t="s">
        <v>78</v>
      </c>
    </row>
    <row r="3" spans="1:21" x14ac:dyDescent="0.35">
      <c r="A3" s="23"/>
      <c r="B3" s="35" t="s">
        <v>14</v>
      </c>
      <c r="C3" s="17">
        <v>60</v>
      </c>
      <c r="D3" s="35" t="s">
        <v>25</v>
      </c>
      <c r="E3" s="17">
        <v>1</v>
      </c>
      <c r="F3" s="51" t="s">
        <v>44</v>
      </c>
      <c r="G3" s="36" t="s">
        <v>57</v>
      </c>
      <c r="H3" s="23"/>
      <c r="I3" s="38" t="s">
        <v>133</v>
      </c>
      <c r="J3" s="36" t="s">
        <v>134</v>
      </c>
      <c r="K3" s="23"/>
      <c r="L3" s="23"/>
      <c r="M3" s="16" t="s">
        <v>46</v>
      </c>
      <c r="N3" s="36" t="s">
        <v>47</v>
      </c>
      <c r="O3" s="23"/>
      <c r="P3" s="23"/>
      <c r="Q3" s="16" t="s">
        <v>54</v>
      </c>
      <c r="R3" s="36" t="s">
        <v>55</v>
      </c>
      <c r="S3" s="23"/>
      <c r="T3" s="16" t="s">
        <v>74</v>
      </c>
      <c r="U3" s="23" t="s">
        <v>80</v>
      </c>
    </row>
    <row r="4" spans="1:21" x14ac:dyDescent="0.35">
      <c r="A4" s="23"/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61</v>
      </c>
      <c r="G4" s="36" t="s">
        <v>58</v>
      </c>
      <c r="H4" s="23"/>
      <c r="I4" s="38" t="s">
        <v>69</v>
      </c>
      <c r="J4" s="50" t="s">
        <v>70</v>
      </c>
      <c r="K4" s="23"/>
      <c r="L4" s="23"/>
      <c r="M4" s="16" t="s">
        <v>49</v>
      </c>
      <c r="N4" s="36" t="s">
        <v>51</v>
      </c>
      <c r="O4" s="23"/>
      <c r="P4" s="23"/>
      <c r="Q4" s="16" t="s">
        <v>84</v>
      </c>
      <c r="R4" s="36" t="s">
        <v>83</v>
      </c>
      <c r="S4" s="23"/>
      <c r="T4" s="16" t="s">
        <v>75</v>
      </c>
      <c r="U4" s="23" t="s">
        <v>77</v>
      </c>
    </row>
    <row r="5" spans="1:21" x14ac:dyDescent="0.35">
      <c r="A5" s="23"/>
      <c r="B5" s="40" t="s">
        <v>62</v>
      </c>
      <c r="C5" s="23"/>
      <c r="D5" s="23"/>
      <c r="E5" s="23"/>
      <c r="F5" s="51" t="s">
        <v>44</v>
      </c>
      <c r="G5" s="36" t="s">
        <v>59</v>
      </c>
      <c r="H5" s="23"/>
      <c r="I5" s="23" t="s">
        <v>44</v>
      </c>
      <c r="J5" s="50" t="s">
        <v>71</v>
      </c>
      <c r="K5" s="23"/>
      <c r="L5" s="23"/>
      <c r="M5" s="16" t="s">
        <v>50</v>
      </c>
      <c r="N5" s="36" t="s">
        <v>52</v>
      </c>
      <c r="O5" s="23"/>
      <c r="P5" s="23"/>
      <c r="Q5" s="16" t="s">
        <v>126</v>
      </c>
      <c r="R5" s="36" t="s">
        <v>127</v>
      </c>
      <c r="S5" s="23"/>
      <c r="T5" s="16" t="s">
        <v>76</v>
      </c>
      <c r="U5" s="23" t="s">
        <v>79</v>
      </c>
    </row>
    <row r="6" spans="1:21" ht="15" thickBot="1" x14ac:dyDescent="0.4">
      <c r="A6" s="37" t="s">
        <v>36</v>
      </c>
      <c r="B6" s="23"/>
      <c r="C6" s="23"/>
      <c r="D6" s="23"/>
      <c r="E6" s="23"/>
      <c r="F6" s="23"/>
      <c r="G6" s="23"/>
      <c r="H6" s="23"/>
      <c r="I6" s="23"/>
      <c r="J6" s="50" t="s">
        <v>81</v>
      </c>
      <c r="K6" s="23"/>
      <c r="L6" s="23"/>
      <c r="M6" s="59" t="s">
        <v>164</v>
      </c>
      <c r="N6" s="36" t="s">
        <v>125</v>
      </c>
      <c r="O6" s="23"/>
      <c r="P6" s="23"/>
      <c r="Q6" s="23"/>
      <c r="R6" s="23"/>
      <c r="S6" s="23"/>
      <c r="T6" s="23"/>
      <c r="U6" s="23"/>
    </row>
    <row r="7" spans="1:21" ht="15" thickBot="1" x14ac:dyDescent="0.4">
      <c r="A7" s="23"/>
      <c r="B7" s="156" t="s">
        <v>31</v>
      </c>
      <c r="C7" s="174"/>
      <c r="D7" s="174"/>
      <c r="E7" s="174"/>
      <c r="F7" s="175"/>
      <c r="G7" s="176" t="s">
        <v>35</v>
      </c>
      <c r="H7" s="174"/>
      <c r="I7" s="174"/>
      <c r="J7" s="174"/>
      <c r="K7" s="157"/>
      <c r="L7" s="156" t="s">
        <v>41</v>
      </c>
      <c r="M7" s="174"/>
      <c r="N7" s="174"/>
      <c r="O7" s="174"/>
      <c r="P7" s="157"/>
      <c r="Q7" s="156" t="s">
        <v>42</v>
      </c>
      <c r="R7" s="174"/>
      <c r="S7" s="174"/>
      <c r="T7" s="174"/>
      <c r="U7" s="157"/>
    </row>
    <row r="8" spans="1:21" x14ac:dyDescent="0.35">
      <c r="A8" s="46" t="s">
        <v>40</v>
      </c>
      <c r="B8" s="60" t="s">
        <v>27</v>
      </c>
      <c r="C8" s="16" t="s">
        <v>30</v>
      </c>
      <c r="D8" s="16" t="s">
        <v>28</v>
      </c>
      <c r="E8" s="16" t="s">
        <v>29</v>
      </c>
      <c r="F8" s="67" t="s">
        <v>34</v>
      </c>
      <c r="G8" s="49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</row>
    <row r="9" spans="1:21" x14ac:dyDescent="0.35">
      <c r="A9" s="47">
        <v>1</v>
      </c>
      <c r="B9" s="61" t="s">
        <v>31</v>
      </c>
      <c r="C9" s="17">
        <v>6</v>
      </c>
      <c r="D9" s="17">
        <v>0</v>
      </c>
      <c r="E9" s="17">
        <v>60</v>
      </c>
      <c r="F9" s="48" t="s">
        <v>165</v>
      </c>
      <c r="G9" s="43" t="s">
        <v>166</v>
      </c>
      <c r="H9" s="17">
        <v>5</v>
      </c>
      <c r="I9" s="17">
        <v>-70</v>
      </c>
      <c r="J9" s="17">
        <v>-20</v>
      </c>
      <c r="K9" s="48" t="s">
        <v>167</v>
      </c>
      <c r="L9" s="43"/>
      <c r="M9" s="17"/>
      <c r="N9" s="17"/>
      <c r="O9" s="17"/>
      <c r="P9" s="48"/>
      <c r="Q9" s="43"/>
      <c r="R9" s="17"/>
      <c r="S9" s="17"/>
      <c r="T9" s="17"/>
      <c r="U9" s="48"/>
    </row>
    <row r="10" spans="1:21" x14ac:dyDescent="0.35">
      <c r="A10" s="47">
        <v>1</v>
      </c>
      <c r="B10" s="61" t="s">
        <v>31</v>
      </c>
      <c r="C10" s="17">
        <v>6</v>
      </c>
      <c r="D10" s="17">
        <v>0</v>
      </c>
      <c r="E10" s="17">
        <v>60</v>
      </c>
      <c r="F10" s="48" t="s">
        <v>165</v>
      </c>
      <c r="G10" s="43" t="s">
        <v>168</v>
      </c>
      <c r="H10" s="17">
        <v>7</v>
      </c>
      <c r="I10" s="17">
        <v>-70</v>
      </c>
      <c r="J10" s="17">
        <v>0</v>
      </c>
      <c r="K10" s="48" t="s">
        <v>169</v>
      </c>
      <c r="L10" s="43" t="s">
        <v>170</v>
      </c>
      <c r="M10" s="17">
        <v>7</v>
      </c>
      <c r="N10" s="17">
        <v>-70</v>
      </c>
      <c r="O10" s="17">
        <v>0</v>
      </c>
      <c r="P10" s="48" t="s">
        <v>171</v>
      </c>
      <c r="Q10" s="43"/>
      <c r="R10" s="17"/>
      <c r="S10" s="17"/>
      <c r="T10" s="17"/>
      <c r="U10" s="48"/>
    </row>
    <row r="11" spans="1:21" x14ac:dyDescent="0.35">
      <c r="A11" s="47">
        <v>1</v>
      </c>
      <c r="B11" s="61" t="s">
        <v>31</v>
      </c>
      <c r="C11" s="17">
        <v>6</v>
      </c>
      <c r="D11" s="17">
        <v>0</v>
      </c>
      <c r="E11" s="17">
        <v>60</v>
      </c>
      <c r="F11" s="48" t="s">
        <v>165</v>
      </c>
      <c r="G11" s="43" t="s">
        <v>172</v>
      </c>
      <c r="H11" s="17">
        <v>5</v>
      </c>
      <c r="I11" s="17">
        <v>-70</v>
      </c>
      <c r="J11" s="17">
        <v>-20</v>
      </c>
      <c r="K11" s="48" t="s">
        <v>173</v>
      </c>
      <c r="L11" s="43"/>
      <c r="M11" s="17"/>
      <c r="N11" s="17"/>
      <c r="O11" s="17"/>
      <c r="P11" s="48"/>
      <c r="Q11" s="43"/>
      <c r="R11" s="17"/>
      <c r="S11" s="17"/>
      <c r="T11" s="17"/>
      <c r="U11" s="48"/>
    </row>
    <row r="12" spans="1:21" x14ac:dyDescent="0.35">
      <c r="A12" s="47">
        <v>1</v>
      </c>
      <c r="B12" s="61" t="s">
        <v>31</v>
      </c>
      <c r="C12" s="17">
        <v>6</v>
      </c>
      <c r="D12" s="17">
        <v>0</v>
      </c>
      <c r="E12" s="17">
        <v>60</v>
      </c>
      <c r="F12" s="48" t="s">
        <v>165</v>
      </c>
      <c r="G12" s="43" t="s">
        <v>174</v>
      </c>
      <c r="H12" s="17">
        <v>5</v>
      </c>
      <c r="I12" s="17">
        <v>-200</v>
      </c>
      <c r="J12" s="17">
        <v>0</v>
      </c>
      <c r="K12" s="48" t="s">
        <v>169</v>
      </c>
      <c r="L12" s="43" t="s">
        <v>175</v>
      </c>
      <c r="M12" s="17">
        <v>5</v>
      </c>
      <c r="N12" s="17">
        <v>-2</v>
      </c>
      <c r="O12" s="17">
        <v>0</v>
      </c>
      <c r="P12" s="48" t="s">
        <v>165</v>
      </c>
      <c r="Q12" s="43"/>
      <c r="R12" s="17"/>
      <c r="S12" s="17"/>
      <c r="T12" s="17"/>
      <c r="U12" s="48"/>
    </row>
    <row r="13" spans="1:21" x14ac:dyDescent="0.35">
      <c r="A13" s="47">
        <v>1</v>
      </c>
      <c r="B13" s="61" t="s">
        <v>31</v>
      </c>
      <c r="C13" s="17">
        <v>6</v>
      </c>
      <c r="D13" s="17">
        <v>0</v>
      </c>
      <c r="E13" s="17">
        <v>60</v>
      </c>
      <c r="F13" s="48" t="s">
        <v>165</v>
      </c>
      <c r="G13" s="43" t="s">
        <v>176</v>
      </c>
      <c r="H13" s="17">
        <v>4</v>
      </c>
      <c r="I13" s="17">
        <v>-20</v>
      </c>
      <c r="J13" s="17">
        <v>0</v>
      </c>
      <c r="K13" s="48" t="s">
        <v>167</v>
      </c>
      <c r="L13" s="43" t="s">
        <v>177</v>
      </c>
      <c r="M13" s="17">
        <v>4</v>
      </c>
      <c r="N13" s="17">
        <v>0</v>
      </c>
      <c r="O13" s="17">
        <v>40</v>
      </c>
      <c r="P13" s="48" t="s">
        <v>178</v>
      </c>
      <c r="Q13" s="43" t="s">
        <v>179</v>
      </c>
      <c r="R13" s="17">
        <v>4</v>
      </c>
      <c r="S13" s="17">
        <v>0</v>
      </c>
      <c r="T13" s="17">
        <v>12</v>
      </c>
      <c r="U13" s="48" t="s">
        <v>180</v>
      </c>
    </row>
    <row r="14" spans="1:21" x14ac:dyDescent="0.35">
      <c r="A14" s="47"/>
      <c r="B14" s="61"/>
      <c r="C14" s="17"/>
      <c r="D14" s="17"/>
      <c r="E14" s="17"/>
      <c r="F14" s="48"/>
      <c r="G14" s="43"/>
      <c r="H14" s="17"/>
      <c r="I14" s="17"/>
      <c r="J14" s="17"/>
      <c r="K14" s="48"/>
      <c r="L14" s="86"/>
      <c r="M14" s="17"/>
      <c r="N14" s="17"/>
      <c r="O14" s="17"/>
      <c r="P14" s="48"/>
      <c r="Q14" s="43"/>
      <c r="R14" s="17"/>
      <c r="S14" s="17"/>
      <c r="T14" s="17"/>
      <c r="U14" s="48"/>
    </row>
    <row r="15" spans="1:2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spans="1:21" x14ac:dyDescent="0.35">
      <c r="A16" s="170" t="s">
        <v>63</v>
      </c>
      <c r="B16" s="170"/>
      <c r="C16" s="170"/>
      <c r="D16" s="170"/>
      <c r="E16" s="170"/>
      <c r="F16" s="170"/>
      <c r="G16" s="170"/>
      <c r="H16" s="170"/>
      <c r="I16" s="170"/>
      <c r="J16" s="170"/>
      <c r="K16" s="23"/>
      <c r="L16" s="170" t="s">
        <v>64</v>
      </c>
      <c r="M16" s="170"/>
      <c r="N16" s="23"/>
      <c r="O16" s="23"/>
      <c r="P16" s="23"/>
      <c r="Q16" s="23"/>
      <c r="R16" s="23"/>
      <c r="S16" s="23"/>
      <c r="T16" s="23"/>
      <c r="U16" s="23"/>
    </row>
    <row r="17" spans="1:21" x14ac:dyDescent="0.35">
      <c r="A17" s="23"/>
      <c r="B17" s="148" t="s">
        <v>37</v>
      </c>
      <c r="C17" s="149"/>
      <c r="D17" s="149"/>
      <c r="E17" s="151"/>
      <c r="F17" s="23"/>
      <c r="G17" s="148" t="s">
        <v>67</v>
      </c>
      <c r="H17" s="149"/>
      <c r="I17" s="149"/>
      <c r="J17" s="151"/>
      <c r="K17" s="23"/>
      <c r="L17" s="43" t="s">
        <v>91</v>
      </c>
      <c r="M17" s="172" t="s">
        <v>65</v>
      </c>
      <c r="N17" s="173"/>
      <c r="O17" s="173"/>
      <c r="P17" s="173"/>
      <c r="Q17" s="173"/>
      <c r="R17" s="23"/>
      <c r="S17" s="23"/>
      <c r="T17" s="23"/>
      <c r="U17" s="23"/>
    </row>
    <row r="18" spans="1:21" x14ac:dyDescent="0.35">
      <c r="A18" s="23"/>
      <c r="B18" s="16" t="s">
        <v>38</v>
      </c>
      <c r="C18" s="16" t="s">
        <v>28</v>
      </c>
      <c r="D18" s="16" t="s">
        <v>29</v>
      </c>
      <c r="E18" s="16" t="s">
        <v>39</v>
      </c>
      <c r="F18" s="23"/>
      <c r="G18" s="16" t="s">
        <v>38</v>
      </c>
      <c r="H18" s="16" t="s">
        <v>28</v>
      </c>
      <c r="I18" s="16" t="s">
        <v>29</v>
      </c>
      <c r="J18" s="16" t="s">
        <v>66</v>
      </c>
      <c r="K18" s="23"/>
      <c r="L18" s="43"/>
      <c r="M18" s="172"/>
      <c r="N18" s="173"/>
      <c r="O18" s="173"/>
      <c r="P18" s="173"/>
      <c r="Q18" s="173"/>
      <c r="R18" s="23"/>
      <c r="S18" s="23"/>
      <c r="T18" s="23"/>
      <c r="U18" s="23"/>
    </row>
    <row r="19" spans="1:21" x14ac:dyDescent="0.35">
      <c r="A19" s="23"/>
      <c r="B19" s="43" t="s">
        <v>150</v>
      </c>
      <c r="C19" s="17">
        <v>1</v>
      </c>
      <c r="D19" s="17">
        <v>60</v>
      </c>
      <c r="E19" s="17">
        <v>1.2</v>
      </c>
      <c r="F19" s="23"/>
      <c r="G19" s="17"/>
      <c r="H19" s="17"/>
      <c r="I19" s="17"/>
      <c r="J19" s="17"/>
      <c r="K19" s="23"/>
      <c r="L19" s="43"/>
      <c r="M19" s="14"/>
      <c r="N19" s="23"/>
      <c r="O19" s="23"/>
      <c r="P19" s="23"/>
      <c r="Q19" s="23"/>
      <c r="R19" s="23"/>
      <c r="S19" s="23"/>
      <c r="T19" s="23"/>
      <c r="U19" s="23"/>
    </row>
    <row r="20" spans="1:21" x14ac:dyDescent="0.35">
      <c r="A20" s="23"/>
      <c r="B20" s="43"/>
      <c r="C20" s="17"/>
      <c r="D20" s="17"/>
      <c r="E20" s="17"/>
      <c r="F20" s="23"/>
      <c r="G20" s="17"/>
      <c r="H20" s="17"/>
      <c r="I20" s="17"/>
      <c r="J20" s="17"/>
      <c r="K20" s="23"/>
      <c r="L20" s="43"/>
      <c r="M20" s="14"/>
      <c r="N20" s="23"/>
      <c r="O20" s="23"/>
      <c r="P20" s="23"/>
      <c r="Q20" s="23"/>
      <c r="R20" s="23"/>
      <c r="S20" s="23"/>
      <c r="T20" s="23"/>
      <c r="U20" s="23"/>
    </row>
    <row r="21" spans="1:21" x14ac:dyDescent="0.35">
      <c r="A21" s="23"/>
      <c r="B21" s="43"/>
      <c r="C21" s="17"/>
      <c r="D21" s="17"/>
      <c r="E21" s="17"/>
      <c r="F21" s="23"/>
      <c r="G21" s="17"/>
      <c r="H21" s="17"/>
      <c r="I21" s="17"/>
      <c r="J21" s="17"/>
      <c r="K21" s="23"/>
      <c r="L21" s="43"/>
      <c r="M21" s="14"/>
      <c r="N21" s="23"/>
      <c r="O21" s="23"/>
      <c r="P21" s="23"/>
      <c r="Q21" s="23"/>
      <c r="R21" s="23"/>
      <c r="S21" s="23"/>
      <c r="T21" s="23"/>
      <c r="U21" s="23"/>
    </row>
    <row r="22" spans="1:21" x14ac:dyDescent="0.35">
      <c r="A22" s="23"/>
      <c r="B22" s="43"/>
      <c r="C22" s="17"/>
      <c r="D22" s="17"/>
      <c r="E22" s="17"/>
      <c r="F22" s="23"/>
      <c r="G22" s="17"/>
      <c r="H22" s="17"/>
      <c r="I22" s="17"/>
      <c r="J22" s="17"/>
      <c r="K22" s="23"/>
      <c r="L22" s="43"/>
      <c r="M22" s="14"/>
      <c r="N22" s="23"/>
      <c r="O22" s="23"/>
      <c r="P22" s="23"/>
      <c r="Q22" s="23"/>
      <c r="R22" s="23"/>
      <c r="S22" s="23"/>
      <c r="T22" s="23"/>
      <c r="U22" s="23"/>
    </row>
    <row r="23" spans="1:21" x14ac:dyDescent="0.35">
      <c r="A23" s="23"/>
      <c r="B23" s="43"/>
      <c r="C23" s="17"/>
      <c r="D23" s="17"/>
      <c r="E23" s="17"/>
      <c r="F23" s="23"/>
      <c r="G23" s="17"/>
      <c r="H23" s="17"/>
      <c r="I23" s="17"/>
      <c r="J23" s="17"/>
      <c r="K23" s="23"/>
      <c r="L23" s="43"/>
      <c r="M23" s="14"/>
      <c r="N23" s="23"/>
      <c r="O23" s="23"/>
      <c r="P23" s="23"/>
      <c r="Q23" s="23"/>
      <c r="R23" s="23"/>
      <c r="S23" s="23"/>
      <c r="T23" s="23"/>
      <c r="U23" s="23"/>
    </row>
    <row r="24" spans="1:21" x14ac:dyDescent="0.35">
      <c r="A24" s="23"/>
      <c r="B24" s="86"/>
      <c r="C24" s="17"/>
      <c r="D24" s="17"/>
      <c r="E24" s="17"/>
      <c r="F24" s="23"/>
      <c r="G24" s="17"/>
      <c r="H24" s="17"/>
      <c r="I24" s="17"/>
      <c r="J24" s="17"/>
      <c r="K24" s="23"/>
      <c r="L24" s="43"/>
      <c r="M24" s="14"/>
      <c r="N24" s="23"/>
      <c r="O24" s="23"/>
      <c r="P24" s="23"/>
      <c r="Q24" s="23"/>
      <c r="R24" s="23"/>
      <c r="S24" s="23"/>
      <c r="T24" s="23"/>
      <c r="U24" s="23"/>
    </row>
    <row r="25" spans="1:21" x14ac:dyDescent="0.35">
      <c r="A25" s="23"/>
      <c r="B25" s="86"/>
      <c r="C25" s="17"/>
      <c r="D25" s="17"/>
      <c r="E25" s="17"/>
      <c r="F25" s="23"/>
      <c r="G25" s="17"/>
      <c r="H25" s="17"/>
      <c r="I25" s="17"/>
      <c r="J25" s="17"/>
      <c r="K25" s="23"/>
      <c r="L25" s="43"/>
      <c r="M25" s="14"/>
      <c r="N25" s="23"/>
      <c r="O25" s="23"/>
      <c r="P25" s="23"/>
      <c r="Q25" s="23"/>
      <c r="R25" s="23"/>
      <c r="S25" s="23"/>
      <c r="T25" s="23"/>
      <c r="U25" s="23"/>
    </row>
    <row r="26" spans="1:21" x14ac:dyDescent="0.35">
      <c r="A26" s="23"/>
      <c r="B26" s="86"/>
      <c r="C26" s="17"/>
      <c r="D26" s="17"/>
      <c r="E26" s="17"/>
      <c r="F26" s="23"/>
      <c r="G26" s="17"/>
      <c r="H26" s="17"/>
      <c r="I26" s="17"/>
      <c r="J26" s="17"/>
      <c r="K26" s="23"/>
      <c r="L26" s="43"/>
      <c r="M26" s="14"/>
      <c r="N26" s="23"/>
      <c r="O26" s="23"/>
      <c r="P26" s="23"/>
      <c r="Q26" s="23"/>
      <c r="R26" s="23"/>
      <c r="S26" s="23"/>
      <c r="T26" s="23"/>
      <c r="U26" s="23"/>
    </row>
    <row r="27" spans="1:21" x14ac:dyDescent="0.35">
      <c r="A27" s="23"/>
      <c r="B27" s="86"/>
      <c r="C27" s="17"/>
      <c r="D27" s="17"/>
      <c r="E27" s="17"/>
      <c r="F27" s="23"/>
      <c r="G27" s="17"/>
      <c r="H27" s="17"/>
      <c r="I27" s="17"/>
      <c r="J27" s="17"/>
      <c r="K27" s="23"/>
      <c r="L27" s="43"/>
      <c r="M27" s="14"/>
      <c r="N27" s="23"/>
      <c r="O27" s="23"/>
      <c r="P27" s="23"/>
      <c r="Q27" s="23"/>
      <c r="R27" s="23"/>
      <c r="S27" s="23"/>
      <c r="T27" s="23"/>
      <c r="U27" s="23"/>
    </row>
    <row r="28" spans="1:21" x14ac:dyDescent="0.35">
      <c r="A28" s="23"/>
      <c r="B28" s="86"/>
      <c r="C28" s="17"/>
      <c r="D28" s="17"/>
      <c r="E28" s="17"/>
      <c r="F28" s="23"/>
      <c r="G28" s="17"/>
      <c r="H28" s="17"/>
      <c r="I28" s="17"/>
      <c r="J28" s="17"/>
      <c r="K28" s="23"/>
      <c r="L28" s="24"/>
      <c r="M28" s="14"/>
      <c r="N28" s="23"/>
      <c r="O28" s="23"/>
      <c r="P28" s="23"/>
      <c r="Q28" s="23"/>
      <c r="R28" s="23"/>
      <c r="S28" s="23"/>
      <c r="T28" s="23"/>
      <c r="U28" s="23"/>
    </row>
    <row r="29" spans="1:21" x14ac:dyDescent="0.35">
      <c r="A29" s="23"/>
      <c r="B29" s="86"/>
      <c r="C29" s="17"/>
      <c r="D29" s="17"/>
      <c r="E29" s="17"/>
      <c r="F29" s="23"/>
      <c r="G29" s="17"/>
      <c r="H29" s="17"/>
      <c r="I29" s="17"/>
      <c r="J29" s="17"/>
      <c r="K29" s="23"/>
      <c r="L29" s="24"/>
      <c r="M29" s="14"/>
      <c r="N29" s="23"/>
      <c r="O29" s="23"/>
      <c r="P29" s="23"/>
      <c r="Q29" s="23"/>
      <c r="R29" s="23"/>
      <c r="S29" s="23"/>
      <c r="T29" s="23"/>
      <c r="U29" s="23"/>
    </row>
    <row r="30" spans="1:21" x14ac:dyDescent="0.35">
      <c r="A30" s="23"/>
      <c r="B30" s="86"/>
      <c r="C30" s="17"/>
      <c r="D30" s="17"/>
      <c r="E30" s="17"/>
      <c r="F30" s="23"/>
      <c r="G30" s="17"/>
      <c r="H30" s="17"/>
      <c r="I30" s="17"/>
      <c r="J30" s="17"/>
      <c r="K30" s="23"/>
      <c r="L30" s="24"/>
      <c r="M30" s="14"/>
      <c r="N30" s="23"/>
      <c r="O30" s="23"/>
      <c r="P30" s="23"/>
      <c r="Q30" s="23"/>
      <c r="R30" s="23"/>
      <c r="S30" s="23"/>
      <c r="T30" s="23"/>
      <c r="U30" s="23"/>
    </row>
    <row r="31" spans="1:21" x14ac:dyDescent="0.35">
      <c r="A31" s="23"/>
      <c r="B31" s="17"/>
      <c r="C31" s="17"/>
      <c r="D31" s="17"/>
      <c r="E31" s="17"/>
      <c r="F31" s="23"/>
      <c r="G31" s="17"/>
      <c r="H31" s="17"/>
      <c r="I31" s="17"/>
      <c r="J31" s="17"/>
      <c r="K31" s="23"/>
      <c r="L31" s="24"/>
      <c r="M31" s="14"/>
      <c r="N31" s="23"/>
      <c r="O31" s="23"/>
      <c r="P31" s="23"/>
      <c r="Q31" s="23"/>
      <c r="R31" s="23"/>
      <c r="S31" s="23"/>
      <c r="T31" s="23"/>
      <c r="U31" s="23"/>
    </row>
    <row r="32" spans="1:21" x14ac:dyDescent="0.35">
      <c r="A32" s="23"/>
      <c r="B32" s="17"/>
      <c r="C32" s="17"/>
      <c r="D32" s="17"/>
      <c r="E32" s="17"/>
      <c r="F32" s="23"/>
      <c r="G32" s="17"/>
      <c r="H32" s="17"/>
      <c r="I32" s="17"/>
      <c r="J32" s="17"/>
      <c r="K32" s="23"/>
      <c r="L32" s="24"/>
      <c r="M32" s="14"/>
      <c r="N32" s="23"/>
      <c r="O32" s="23"/>
      <c r="P32" s="23"/>
      <c r="Q32" s="23"/>
      <c r="R32" s="23"/>
      <c r="S32" s="23"/>
      <c r="T32" s="23"/>
      <c r="U32" s="23"/>
    </row>
    <row r="33" spans="1:21" x14ac:dyDescent="0.35">
      <c r="A33" s="23"/>
      <c r="B33" s="17"/>
      <c r="C33" s="17"/>
      <c r="D33" s="17"/>
      <c r="E33" s="17"/>
      <c r="F33" s="23"/>
      <c r="G33" s="17"/>
      <c r="H33" s="17"/>
      <c r="I33" s="17"/>
      <c r="J33" s="17"/>
      <c r="K33" s="23"/>
      <c r="L33" s="24"/>
      <c r="M33" s="14"/>
      <c r="N33" s="23"/>
      <c r="O33" s="23"/>
      <c r="P33" s="23"/>
      <c r="Q33" s="23"/>
      <c r="R33" s="23"/>
      <c r="S33" s="23"/>
      <c r="T33" s="23"/>
      <c r="U33" s="23"/>
    </row>
    <row r="34" spans="1:21" x14ac:dyDescent="0.35">
      <c r="A34" s="23"/>
      <c r="B34" s="17"/>
      <c r="C34" s="17"/>
      <c r="D34" s="17"/>
      <c r="E34" s="17"/>
      <c r="F34" s="23"/>
      <c r="G34" s="17"/>
      <c r="H34" s="17"/>
      <c r="I34" s="17"/>
      <c r="J34" s="17"/>
      <c r="K34" s="23"/>
      <c r="L34" s="24"/>
      <c r="M34" s="14"/>
      <c r="N34" s="23"/>
      <c r="O34" s="23"/>
      <c r="P34" s="23"/>
      <c r="Q34" s="23"/>
      <c r="R34" s="23"/>
      <c r="S34" s="23"/>
      <c r="T34" s="23"/>
      <c r="U34" s="23"/>
    </row>
    <row r="35" spans="1:21" x14ac:dyDescent="0.35">
      <c r="A35" s="23"/>
      <c r="B35" s="17"/>
      <c r="C35" s="17"/>
      <c r="D35" s="17"/>
      <c r="E35" s="17"/>
      <c r="F35" s="23"/>
      <c r="G35" s="17"/>
      <c r="H35" s="17"/>
      <c r="I35" s="17"/>
      <c r="J35" s="17"/>
      <c r="K35" s="23"/>
      <c r="L35" s="24"/>
      <c r="M35" s="14"/>
      <c r="N35" s="23"/>
      <c r="O35" s="23"/>
      <c r="P35" s="23"/>
      <c r="Q35" s="23"/>
      <c r="R35" s="23"/>
      <c r="S35" s="23"/>
      <c r="T35" s="23"/>
      <c r="U35" s="23"/>
    </row>
  </sheetData>
  <mergeCells count="10">
    <mergeCell ref="B17:E17"/>
    <mergeCell ref="G17:J17"/>
    <mergeCell ref="M17:Q18"/>
    <mergeCell ref="F1:K1"/>
    <mergeCell ref="B7:F7"/>
    <mergeCell ref="G7:K7"/>
    <mergeCell ref="L7:P7"/>
    <mergeCell ref="Q7:U7"/>
    <mergeCell ref="A16:J16"/>
    <mergeCell ref="L16:M16"/>
  </mergeCells>
  <conditionalFormatting sqref="C3">
    <cfRule type="cellIs" dxfId="0" priority="1" operator="notEqual">
      <formula>MAX($E$9:$E$14)</formula>
    </cfRule>
  </conditionalFormatting>
  <dataValidations count="1">
    <dataValidation type="list" allowBlank="1" showInputMessage="1" showErrorMessage="1" sqref="U9:U14 K9:K14 F9:F14 P9:P14" xr:uid="{E441AB42-72DE-4AE1-9C9B-FC9E3905AE73}">
      <formula1>"green,red,yellow,blue,orange,cyan,black,white,magenta,pink"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cs_g</vt:lpstr>
      <vt:lpstr>cs_E</vt:lpstr>
      <vt:lpstr>cs_FAT</vt:lpstr>
      <vt:lpstr>es</vt:lpstr>
      <vt:lpstr>noise</vt:lpstr>
      <vt:lpstr>BMP2SIMPLE_l.smu</vt:lpstr>
      <vt:lpstr>BMP_TONIC_l.smu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2025-02-03T22:37:15Z</dcterms:modified>
</cp:coreProperties>
</file>