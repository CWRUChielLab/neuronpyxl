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B01489C3-F539-4E16-B4B8-2688729C29D8}" xr6:coauthVersionLast="47" xr6:coauthVersionMax="47" xr10:uidLastSave="{00000000-0000-0000-0000-000000000000}"/>
  <bookViews>
    <workbookView xWindow="-110" yWindow="-110" windowWidth="19420" windowHeight="10300" tabRatio="716" activeTab="1" xr2:uid="{F0735362-4961-42D4-9F52-DCA2C5A03203}"/>
  </bookViews>
  <sheets>
    <sheet name="Neu" sheetId="3" r:id="rId1"/>
    <sheet name="excitability.smu" sheetId="8" r:id="rId2"/>
    <sheet name="IR.smu" sheetId="9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1" i="3" l="1"/>
  <c r="O31" i="3"/>
  <c r="O36" i="3"/>
  <c r="G3" i="5"/>
  <c r="M3" i="5"/>
  <c r="P3" i="5"/>
  <c r="P12" i="5"/>
  <c r="Z38" i="4"/>
  <c r="Z39" i="4"/>
  <c r="Z40" i="4"/>
  <c r="Z41" i="4"/>
  <c r="J7" i="5"/>
  <c r="Y3" i="4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O47" i="3"/>
  <c r="O46" i="3"/>
  <c r="O45" i="3"/>
  <c r="O44" i="3"/>
  <c r="O43" i="3"/>
  <c r="O42" i="3"/>
  <c r="O41" i="3"/>
  <c r="O40" i="3"/>
  <c r="O39" i="3"/>
  <c r="O38" i="3"/>
  <c r="O37" i="3"/>
  <c r="O35" i="3"/>
  <c r="O34" i="3"/>
  <c r="O33" i="3"/>
  <c r="O32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7" i="3" l="1"/>
  <c r="A8" i="3"/>
  <c r="A9" i="3"/>
  <c r="A10" i="3"/>
  <c r="A6" i="3" l="1"/>
  <c r="A5" i="3"/>
  <c r="A11" i="3" l="1"/>
  <c r="A12" i="3"/>
  <c r="A13" i="3"/>
  <c r="A14" i="3"/>
  <c r="A15" i="3"/>
  <c r="A4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L11" i="5"/>
  <c r="M10" i="5"/>
  <c r="L10" i="5"/>
  <c r="K10" i="5"/>
  <c r="M9" i="5"/>
  <c r="L9" i="5"/>
  <c r="K9" i="5"/>
  <c r="J9" i="5"/>
  <c r="M8" i="5"/>
  <c r="L8" i="5"/>
  <c r="K8" i="5"/>
  <c r="J8" i="5"/>
  <c r="I8" i="5"/>
  <c r="M7" i="5"/>
  <c r="L7" i="5"/>
  <c r="K7" i="5"/>
  <c r="I7" i="5"/>
  <c r="H7" i="5"/>
  <c r="M6" i="5"/>
  <c r="L6" i="5"/>
  <c r="K6" i="5"/>
  <c r="J6" i="5"/>
  <c r="I6" i="5"/>
  <c r="H6" i="5"/>
  <c r="G6" i="5"/>
  <c r="M5" i="5"/>
  <c r="L5" i="5"/>
  <c r="K5" i="5"/>
  <c r="J5" i="5"/>
  <c r="I5" i="5"/>
  <c r="H5" i="5"/>
  <c r="G5" i="5"/>
  <c r="F5" i="5"/>
  <c r="M4" i="5"/>
  <c r="L4" i="5"/>
  <c r="K4" i="5"/>
  <c r="J4" i="5"/>
  <c r="I4" i="5"/>
  <c r="H4" i="5"/>
  <c r="G4" i="5"/>
  <c r="F4" i="5"/>
  <c r="E4" i="5"/>
  <c r="L3" i="5"/>
  <c r="K3" i="5"/>
  <c r="J3" i="5"/>
  <c r="I3" i="5"/>
  <c r="H3" i="5"/>
  <c r="F3" i="5"/>
  <c r="E3" i="5"/>
  <c r="D3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<sst xmlns="http://schemas.openxmlformats.org/spreadsheetml/2006/main" count="698" uniqueCount="177">
  <si>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</si>
  <si>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</si>
  <si>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</si>
  <si>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</si>
  <si>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</si>
  <si>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</si>
  <si>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</si>
  <si>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</si>
  <si>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</si>
  <si>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</si>
  <si>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</si>
  <si>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</si>
  <si>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</si>
  <si>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</si>
  <si>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</si>
  <si>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</si>
  <si>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</si>
  <si>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</si>
  <si>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</si>
  <si>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</si>
  <si>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</si>
  <si>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</si>
  <si>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</si>
  <si>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</si>
  <si>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</si>
  <si>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</si>
  <si>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</si>
  <si>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</si>
  <si>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</si>
  <si>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</si>
  <si>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</si>
  <si>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</si>
  <si>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</si>
  <si>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</si>
  <si>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</si>
  <si>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</si>
  <si>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</si>
  <si>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</si>
  <si>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</si>
  <si>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</si>
  <si>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</si>
  <si>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</si>
  <si>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</si>
  <si>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</si>
  <si>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</si>
  <si>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</si>
  <si>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</si>
  <si>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</si>
  <si>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</si>
  <si>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</si>
  <si>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</si>
  <si>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</si>
  <si>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</si>
  <si>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</si>
  <si>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</si>
  <si>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</si>
  <si>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</si>
  <si>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</si>
  <si>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</si>
  <si>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</si>
  <si>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</si>
  <si>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</si>
  <si>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</si>
  <si>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</si>
  <si>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</si>
  <si>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</si>
  <si>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</si>
  <si>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</si>
  <si>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</si>
  <si>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red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</si>
  <si>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</si>
  <si>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</si>
  <si>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</si>
  <si>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</si>
  <si>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</si>
  <si>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</si>
  <si>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</si>
  <si>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</si>
  <si>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</si>
  <si>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</si>
  <si>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</si>
  <si>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</si>
  <si>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</si>
  <si>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</si>
  <si>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</si>
  <si>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</si>
  <si>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</si>
  <si>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</si>
  <si>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</si>
  <si>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</si>
  <si>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</si>
  <si>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</si>
  <si>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</si>
  <si>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K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</si>
  <si>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</si>
  <si>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</si>
  <si>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</si>
  <si>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</si>
  <si>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</si>
  <si>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</si>
  <si>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</si>
  <si>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</si>
  <si>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</si>
  <si>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</si>
  <si>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</si>
  <si>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</si>
  <si>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</si>
  <si>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</si>
  <si>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</si>
  <si>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</si>
  <si>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</si>
  <si>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</si>
  <si>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</si>
  <si>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</si>
  <si>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</si>
  <si>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</si>
  <si>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</si>
  <si>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</si>
  <si>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</si>
  <si>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</si>
  <si>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</si>
  <si>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</si>
  <si>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</si>
  <si>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</si>
  <si>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</si>
  <si>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</si>
  <si>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</si>
  <si>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</si>
  <si>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</si>
  <si>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</si>
  <si>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</si>
  <si>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</si>
  <si>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</si>
  <si>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</si>
  <si>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</si>
  <si>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</si>
  <si>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</si>
  <si>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</si>
  <si>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CaR</t>
  </si>
  <si>
    <t>KA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</si>
  <si>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</si>
  <si>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</si>
  <si>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</si>
  <si>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</si>
  <si>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</si>
  <si>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</si>
  <si>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</si>
  <si>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</si>
  <si>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</si>
  <si>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</si>
  <si>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</si>
  <si>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</si>
  <si>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</si>
  <si>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B4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</si>
  <si>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</si>
  <si>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</si>
  <si>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</si>
  <si>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</si>
  <si>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</si>
  <si>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</si>
  <si>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</si>
  <si>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Kcaf</t>
  </si>
  <si>
    <t>V.B4</t>
  </si>
  <si>
    <t>K_pp</t>
  </si>
  <si>
    <t>white</t>
  </si>
  <si>
    <t>if u2 is empty it is assumed equal to u1</t>
  </si>
  <si>
    <t>midrange</t>
  </si>
  <si>
    <t>Voltage dependence</t>
  </si>
  <si>
    <t>fast</t>
  </si>
  <si>
    <t>slow</t>
  </si>
  <si>
    <t>Ach</t>
  </si>
  <si>
    <t>Colorbar</t>
  </si>
  <si>
    <t>excitability</t>
  </si>
  <si>
    <t>Initial voltage</t>
  </si>
  <si>
    <t>mV</t>
  </si>
  <si>
    <t>Kcas</t>
  </si>
  <si>
    <t>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</si>
</sst>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9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4" borderId="39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14" borderId="29" xfId="0" applyFill="1" applyBorder="1" applyAlignment="1">
      <alignment horizontal="center"/>
    </xf>
    <xf numFmtId="0" fontId="0" fillId="14" borderId="30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31" xfId="0" applyFill="1" applyBorder="1" applyAlignment="1">
      <alignment horizontal="center"/>
    </xf>
    <xf numFmtId="0" fontId="0" fillId="15" borderId="29" xfId="0" applyFill="1" applyBorder="1" applyAlignment="1">
      <alignment horizont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31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13" borderId="29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30" xfId="0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4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5" xfId="0" applyFill="1" applyBorder="1" applyAlignment="1">
      <alignment horizontal="center" vertical="center"/>
    </xf>
    <xf numFmtId="0" fontId="0" fillId="3" borderId="7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9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KQ62"/>
  <sheetViews>
    <sheetView zoomScale="85" zoomScaleNormal="85" workbookViewId="0">
      <pane xSplit="1" topLeftCell="B1" activePane="topRight" state="frozen"/>
      <selection pane="topRight" activeCell="E41" sqref="E41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6" width="5.179687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303" x14ac:dyDescent="0.35">
      <c r="D1" s="56" t="s">
        <v>87</v>
      </c>
      <c r="E1" s="179" t="s">
        <v>88</v>
      </c>
      <c r="F1" s="180"/>
      <c r="G1" s="161" t="s">
        <v>90</v>
      </c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3"/>
      <c r="AH1" s="184" t="s">
        <v>93</v>
      </c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6"/>
      <c r="BI1" s="158" t="s">
        <v>139</v>
      </c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59"/>
      <c r="CB1" s="159"/>
      <c r="CC1" s="159"/>
      <c r="CD1" s="159"/>
      <c r="CE1" s="159"/>
      <c r="CF1" s="159"/>
      <c r="CG1" s="159"/>
      <c r="CH1" s="159"/>
      <c r="CI1" s="160"/>
      <c r="CJ1" s="187" t="s">
        <v>137</v>
      </c>
      <c r="CK1" s="188"/>
      <c r="CL1" s="188"/>
      <c r="CM1" s="188"/>
      <c r="CN1" s="188"/>
      <c r="CO1" s="188"/>
      <c r="CP1" s="188"/>
      <c r="CQ1" s="188"/>
      <c r="CR1" s="188"/>
      <c r="CS1" s="188"/>
      <c r="CT1" s="188"/>
      <c r="CU1" s="188"/>
      <c r="CV1" s="188"/>
      <c r="CW1" s="188"/>
      <c r="CX1" s="188"/>
      <c r="CY1" s="188"/>
      <c r="CZ1" s="188"/>
      <c r="DA1" s="188"/>
      <c r="DB1" s="188"/>
      <c r="DC1" s="188"/>
      <c r="DD1" s="188"/>
      <c r="DE1" s="188"/>
      <c r="DF1" s="188"/>
      <c r="DG1" s="188"/>
      <c r="DH1" s="188"/>
      <c r="DI1" s="188"/>
      <c r="DJ1" s="189"/>
      <c r="DK1" s="181" t="s">
        <v>138</v>
      </c>
      <c r="DL1" s="182"/>
      <c r="DM1" s="182"/>
      <c r="DN1" s="182"/>
      <c r="DO1" s="182"/>
      <c r="DP1" s="182"/>
      <c r="DQ1" s="182"/>
      <c r="DR1" s="182"/>
      <c r="DS1" s="182"/>
      <c r="DT1" s="182"/>
      <c r="DU1" s="182"/>
      <c r="DV1" s="182"/>
      <c r="DW1" s="182"/>
      <c r="DX1" s="182"/>
      <c r="DY1" s="182"/>
      <c r="DZ1" s="182"/>
      <c r="EA1" s="182"/>
      <c r="EB1" s="182"/>
      <c r="EC1" s="182"/>
      <c r="ED1" s="182"/>
      <c r="EE1" s="182"/>
      <c r="EF1" s="182"/>
      <c r="EG1" s="182"/>
      <c r="EH1" s="182"/>
      <c r="EI1" s="182"/>
      <c r="EJ1" s="182"/>
      <c r="EK1" s="183"/>
      <c r="EL1" s="173" t="s">
        <v>160</v>
      </c>
      <c r="EM1" s="174"/>
      <c r="EN1" s="174"/>
      <c r="EO1" s="174"/>
      <c r="EP1" s="174"/>
      <c r="EQ1" s="174"/>
      <c r="ER1" s="174"/>
      <c r="ES1" s="174"/>
      <c r="ET1" s="174"/>
      <c r="EU1" s="174"/>
      <c r="EV1" s="174"/>
      <c r="EW1" s="174"/>
      <c r="EX1" s="174"/>
      <c r="EY1" s="174"/>
      <c r="EZ1" s="174"/>
      <c r="FA1" s="174"/>
      <c r="FB1" s="174"/>
      <c r="FC1" s="174"/>
      <c r="FD1" s="174"/>
      <c r="FE1" s="174"/>
      <c r="FF1" s="174"/>
      <c r="FG1" s="174"/>
      <c r="FH1" s="174"/>
      <c r="FI1" s="174"/>
      <c r="FJ1" s="174"/>
      <c r="FK1" s="174"/>
      <c r="FL1" s="175"/>
      <c r="FM1" s="167" t="s">
        <v>175</v>
      </c>
      <c r="FN1" s="168"/>
      <c r="FO1" s="168"/>
      <c r="FP1" s="168"/>
      <c r="FQ1" s="168"/>
      <c r="FR1" s="168"/>
      <c r="FS1" s="168"/>
      <c r="FT1" s="168"/>
      <c r="FU1" s="168"/>
      <c r="FV1" s="168"/>
      <c r="FW1" s="168"/>
      <c r="FX1" s="168"/>
      <c r="FY1" s="168"/>
      <c r="FZ1" s="168"/>
      <c r="GA1" s="168"/>
      <c r="GB1" s="168"/>
      <c r="GC1" s="168"/>
      <c r="GD1" s="168"/>
      <c r="GE1" s="168"/>
      <c r="GF1" s="168"/>
      <c r="GG1" s="168"/>
      <c r="GH1" s="168"/>
      <c r="GI1" s="168"/>
      <c r="GJ1" s="168"/>
      <c r="GK1" s="168"/>
      <c r="GL1" s="168"/>
      <c r="GM1" s="169"/>
      <c r="GN1" s="150" t="s">
        <v>161</v>
      </c>
      <c r="GO1" s="151"/>
      <c r="GP1" s="151"/>
      <c r="GQ1" s="151"/>
      <c r="GR1" s="151"/>
      <c r="GS1" s="151"/>
      <c r="GT1" s="151"/>
      <c r="GU1" s="151"/>
      <c r="GV1" s="151"/>
      <c r="GW1" s="151"/>
      <c r="GX1" s="151"/>
      <c r="GY1" s="151"/>
      <c r="GZ1" s="151"/>
      <c r="HA1" s="151"/>
      <c r="HB1" s="151"/>
      <c r="HC1" s="151"/>
      <c r="HD1" s="151"/>
      <c r="HE1" s="151"/>
      <c r="HF1" s="151"/>
      <c r="HG1" s="151"/>
      <c r="HH1" s="151"/>
      <c r="HI1" s="151"/>
      <c r="HJ1" s="151"/>
      <c r="HK1" s="151"/>
      <c r="HL1" s="151"/>
      <c r="HM1" s="151"/>
      <c r="HN1" s="152"/>
      <c r="HO1" s="170" t="s">
        <v>140</v>
      </c>
      <c r="HP1" s="171"/>
      <c r="HQ1" s="171"/>
      <c r="HR1" s="171"/>
      <c r="HS1" s="171"/>
      <c r="HT1" s="171"/>
      <c r="HU1" s="171"/>
      <c r="HV1" s="171"/>
      <c r="HW1" s="171"/>
      <c r="HX1" s="171"/>
      <c r="HY1" s="171"/>
      <c r="HZ1" s="171"/>
      <c r="IA1" s="171"/>
      <c r="IB1" s="171"/>
      <c r="IC1" s="171"/>
      <c r="ID1" s="171"/>
      <c r="IE1" s="171"/>
      <c r="IF1" s="171"/>
      <c r="IG1" s="171"/>
      <c r="IH1" s="171"/>
      <c r="II1" s="171"/>
      <c r="IJ1" s="171"/>
      <c r="IK1" s="171"/>
      <c r="IL1" s="171"/>
      <c r="IM1" s="171"/>
      <c r="IN1" s="171"/>
      <c r="IO1" s="172"/>
      <c r="IP1" s="164" t="s">
        <v>146</v>
      </c>
      <c r="IQ1" s="165"/>
      <c r="IR1" s="165"/>
      <c r="IS1" s="165"/>
      <c r="IT1" s="165"/>
      <c r="IU1" s="165"/>
      <c r="IV1" s="165"/>
      <c r="IW1" s="165"/>
      <c r="IX1" s="165"/>
      <c r="IY1" s="165"/>
      <c r="IZ1" s="165"/>
      <c r="JA1" s="165"/>
      <c r="JB1" s="165"/>
      <c r="JC1" s="165"/>
      <c r="JD1" s="165"/>
      <c r="JE1" s="165"/>
      <c r="JF1" s="165"/>
      <c r="JG1" s="165"/>
      <c r="JH1" s="165"/>
      <c r="JI1" s="165"/>
      <c r="JJ1" s="165"/>
      <c r="JK1" s="165"/>
      <c r="JL1" s="165"/>
      <c r="JM1" s="165"/>
      <c r="JN1" s="165"/>
      <c r="JO1" s="165"/>
      <c r="JP1" s="166"/>
      <c r="JQ1" s="176" t="s">
        <v>163</v>
      </c>
      <c r="JR1" s="177"/>
      <c r="JS1" s="177"/>
      <c r="JT1" s="177"/>
      <c r="JU1" s="177"/>
      <c r="JV1" s="177"/>
      <c r="JW1" s="177"/>
      <c r="JX1" s="177"/>
      <c r="JY1" s="177"/>
      <c r="JZ1" s="177"/>
      <c r="KA1" s="177"/>
      <c r="KB1" s="177"/>
      <c r="KC1" s="177"/>
      <c r="KD1" s="177"/>
      <c r="KE1" s="177"/>
      <c r="KF1" s="177"/>
      <c r="KG1" s="177"/>
      <c r="KH1" s="177"/>
      <c r="KI1" s="177"/>
      <c r="KJ1" s="177"/>
      <c r="KK1" s="177"/>
      <c r="KL1" s="177"/>
      <c r="KM1" s="177"/>
      <c r="KN1" s="177"/>
      <c r="KO1" s="177"/>
      <c r="KP1" s="177"/>
      <c r="KQ1" s="178"/>
    </row>
    <row r="2" spans="1:303" ht="15" thickBot="1" x14ac:dyDescent="0.4">
      <c r="E2" s="153" t="s">
        <v>89</v>
      </c>
      <c r="F2" s="157"/>
      <c r="G2" s="153" t="s">
        <v>89</v>
      </c>
      <c r="H2" s="154"/>
      <c r="I2" s="155"/>
      <c r="J2" s="156" t="s">
        <v>50</v>
      </c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5"/>
      <c r="V2" s="156" t="s">
        <v>51</v>
      </c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7"/>
      <c r="AH2" s="153" t="s">
        <v>89</v>
      </c>
      <c r="AI2" s="154"/>
      <c r="AJ2" s="155"/>
      <c r="AK2" s="156" t="s">
        <v>50</v>
      </c>
      <c r="AL2" s="154"/>
      <c r="AM2" s="154"/>
      <c r="AN2" s="154"/>
      <c r="AO2" s="154"/>
      <c r="AP2" s="154"/>
      <c r="AQ2" s="154"/>
      <c r="AR2" s="154"/>
      <c r="AS2" s="154"/>
      <c r="AT2" s="154"/>
      <c r="AU2" s="154"/>
      <c r="AV2" s="155"/>
      <c r="AW2" s="156" t="s">
        <v>51</v>
      </c>
      <c r="AX2" s="154"/>
      <c r="AY2" s="154"/>
      <c r="AZ2" s="154"/>
      <c r="BA2" s="154"/>
      <c r="BB2" s="154"/>
      <c r="BC2" s="154"/>
      <c r="BD2" s="154"/>
      <c r="BE2" s="154"/>
      <c r="BF2" s="154"/>
      <c r="BG2" s="154"/>
      <c r="BH2" s="157"/>
      <c r="BI2" s="153" t="s">
        <v>89</v>
      </c>
      <c r="BJ2" s="154"/>
      <c r="BK2" s="155"/>
      <c r="BL2" s="156" t="s">
        <v>50</v>
      </c>
      <c r="BM2" s="154"/>
      <c r="BN2" s="154"/>
      <c r="BO2" s="154"/>
      <c r="BP2" s="154"/>
      <c r="BQ2" s="154"/>
      <c r="BR2" s="154"/>
      <c r="BS2" s="154"/>
      <c r="BT2" s="154"/>
      <c r="BU2" s="154"/>
      <c r="BV2" s="154"/>
      <c r="BW2" s="155"/>
      <c r="BX2" s="156" t="s">
        <v>51</v>
      </c>
      <c r="BY2" s="154"/>
      <c r="BZ2" s="154"/>
      <c r="CA2" s="154"/>
      <c r="CB2" s="154"/>
      <c r="CC2" s="154"/>
      <c r="CD2" s="154"/>
      <c r="CE2" s="154"/>
      <c r="CF2" s="154"/>
      <c r="CG2" s="154"/>
      <c r="CH2" s="154"/>
      <c r="CI2" s="157"/>
      <c r="CJ2" s="153" t="s">
        <v>89</v>
      </c>
      <c r="CK2" s="154"/>
      <c r="CL2" s="155"/>
      <c r="CM2" s="156" t="s">
        <v>50</v>
      </c>
      <c r="CN2" s="154"/>
      <c r="CO2" s="154"/>
      <c r="CP2" s="154"/>
      <c r="CQ2" s="154"/>
      <c r="CR2" s="154"/>
      <c r="CS2" s="154"/>
      <c r="CT2" s="154"/>
      <c r="CU2" s="154"/>
      <c r="CV2" s="154"/>
      <c r="CW2" s="154"/>
      <c r="CX2" s="155"/>
      <c r="CY2" s="156" t="s">
        <v>51</v>
      </c>
      <c r="CZ2" s="154"/>
      <c r="DA2" s="154"/>
      <c r="DB2" s="154"/>
      <c r="DC2" s="154"/>
      <c r="DD2" s="154"/>
      <c r="DE2" s="154"/>
      <c r="DF2" s="154"/>
      <c r="DG2" s="154"/>
      <c r="DH2" s="154"/>
      <c r="DI2" s="154"/>
      <c r="DJ2" s="157"/>
      <c r="DK2" s="153" t="s">
        <v>89</v>
      </c>
      <c r="DL2" s="154"/>
      <c r="DM2" s="155"/>
      <c r="DN2" s="156" t="s">
        <v>50</v>
      </c>
      <c r="DO2" s="154"/>
      <c r="DP2" s="154"/>
      <c r="DQ2" s="154"/>
      <c r="DR2" s="154"/>
      <c r="DS2" s="154"/>
      <c r="DT2" s="154"/>
      <c r="DU2" s="154"/>
      <c r="DV2" s="154"/>
      <c r="DW2" s="154"/>
      <c r="DX2" s="154"/>
      <c r="DY2" s="155"/>
      <c r="DZ2" s="156" t="s">
        <v>51</v>
      </c>
      <c r="EA2" s="154"/>
      <c r="EB2" s="154"/>
      <c r="EC2" s="154"/>
      <c r="ED2" s="154"/>
      <c r="EE2" s="154"/>
      <c r="EF2" s="154"/>
      <c r="EG2" s="154"/>
      <c r="EH2" s="154"/>
      <c r="EI2" s="154"/>
      <c r="EJ2" s="154"/>
      <c r="EK2" s="157"/>
      <c r="EL2" s="153" t="s">
        <v>89</v>
      </c>
      <c r="EM2" s="154"/>
      <c r="EN2" s="155"/>
      <c r="EO2" s="156" t="s">
        <v>50</v>
      </c>
      <c r="EP2" s="154"/>
      <c r="EQ2" s="154"/>
      <c r="ER2" s="154"/>
      <c r="ES2" s="154"/>
      <c r="ET2" s="154"/>
      <c r="EU2" s="154"/>
      <c r="EV2" s="154"/>
      <c r="EW2" s="154"/>
      <c r="EX2" s="154"/>
      <c r="EY2" s="154"/>
      <c r="EZ2" s="155"/>
      <c r="FA2" s="156" t="s">
        <v>51</v>
      </c>
      <c r="FB2" s="154"/>
      <c r="FC2" s="154"/>
      <c r="FD2" s="154"/>
      <c r="FE2" s="154"/>
      <c r="FF2" s="154"/>
      <c r="FG2" s="154"/>
      <c r="FH2" s="154"/>
      <c r="FI2" s="154"/>
      <c r="FJ2" s="154"/>
      <c r="FK2" s="154"/>
      <c r="FL2" s="157"/>
      <c r="FM2" s="153" t="s">
        <v>89</v>
      </c>
      <c r="FN2" s="154"/>
      <c r="FO2" s="155"/>
      <c r="FP2" s="156" t="s">
        <v>50</v>
      </c>
      <c r="FQ2" s="154"/>
      <c r="FR2" s="154"/>
      <c r="FS2" s="154"/>
      <c r="FT2" s="154"/>
      <c r="FU2" s="154"/>
      <c r="FV2" s="154"/>
      <c r="FW2" s="154"/>
      <c r="FX2" s="154"/>
      <c r="FY2" s="154"/>
      <c r="FZ2" s="154"/>
      <c r="GA2" s="155"/>
      <c r="GB2" s="156" t="s">
        <v>51</v>
      </c>
      <c r="GC2" s="154"/>
      <c r="GD2" s="154"/>
      <c r="GE2" s="154"/>
      <c r="GF2" s="154"/>
      <c r="GG2" s="154"/>
      <c r="GH2" s="154"/>
      <c r="GI2" s="154"/>
      <c r="GJ2" s="154"/>
      <c r="GK2" s="154"/>
      <c r="GL2" s="154"/>
      <c r="GM2" s="157"/>
      <c r="GN2" s="153" t="s">
        <v>89</v>
      </c>
      <c r="GO2" s="154"/>
      <c r="GP2" s="155"/>
      <c r="GQ2" s="156" t="s">
        <v>50</v>
      </c>
      <c r="GR2" s="154"/>
      <c r="GS2" s="154"/>
      <c r="GT2" s="154"/>
      <c r="GU2" s="154"/>
      <c r="GV2" s="154"/>
      <c r="GW2" s="154"/>
      <c r="GX2" s="154"/>
      <c r="GY2" s="154"/>
      <c r="GZ2" s="154"/>
      <c r="HA2" s="154"/>
      <c r="HB2" s="155"/>
      <c r="HC2" s="156" t="s">
        <v>51</v>
      </c>
      <c r="HD2" s="154"/>
      <c r="HE2" s="154"/>
      <c r="HF2" s="154"/>
      <c r="HG2" s="154"/>
      <c r="HH2" s="154"/>
      <c r="HI2" s="154"/>
      <c r="HJ2" s="154"/>
      <c r="HK2" s="154"/>
      <c r="HL2" s="154"/>
      <c r="HM2" s="154"/>
      <c r="HN2" s="157"/>
      <c r="HO2" s="153" t="s">
        <v>89</v>
      </c>
      <c r="HP2" s="154"/>
      <c r="HQ2" s="155"/>
      <c r="HR2" s="156" t="s">
        <v>50</v>
      </c>
      <c r="HS2" s="154"/>
      <c r="HT2" s="154"/>
      <c r="HU2" s="154"/>
      <c r="HV2" s="154"/>
      <c r="HW2" s="154"/>
      <c r="HX2" s="154"/>
      <c r="HY2" s="154"/>
      <c r="HZ2" s="154"/>
      <c r="IA2" s="154"/>
      <c r="IB2" s="154"/>
      <c r="IC2" s="155"/>
      <c r="ID2" s="156" t="s">
        <v>51</v>
      </c>
      <c r="IE2" s="154"/>
      <c r="IF2" s="154"/>
      <c r="IG2" s="154"/>
      <c r="IH2" s="154"/>
      <c r="II2" s="154"/>
      <c r="IJ2" s="154"/>
      <c r="IK2" s="154"/>
      <c r="IL2" s="154"/>
      <c r="IM2" s="154"/>
      <c r="IN2" s="154"/>
      <c r="IO2" s="157"/>
      <c r="IP2" s="153" t="s">
        <v>89</v>
      </c>
      <c r="IQ2" s="154"/>
      <c r="IR2" s="155"/>
      <c r="IS2" s="156" t="s">
        <v>50</v>
      </c>
      <c r="IT2" s="154"/>
      <c r="IU2" s="154"/>
      <c r="IV2" s="154"/>
      <c r="IW2" s="154"/>
      <c r="IX2" s="154"/>
      <c r="IY2" s="154"/>
      <c r="IZ2" s="154"/>
      <c r="JA2" s="154"/>
      <c r="JB2" s="154"/>
      <c r="JC2" s="154"/>
      <c r="JD2" s="155"/>
      <c r="JE2" s="156" t="s">
        <v>51</v>
      </c>
      <c r="JF2" s="154"/>
      <c r="JG2" s="154"/>
      <c r="JH2" s="154"/>
      <c r="JI2" s="154"/>
      <c r="JJ2" s="154"/>
      <c r="JK2" s="154"/>
      <c r="JL2" s="154"/>
      <c r="JM2" s="154"/>
      <c r="JN2" s="154"/>
      <c r="JO2" s="154"/>
      <c r="JP2" s="157"/>
      <c r="JQ2" s="153" t="s">
        <v>89</v>
      </c>
      <c r="JR2" s="154"/>
      <c r="JS2" s="155"/>
      <c r="JT2" s="156" t="s">
        <v>50</v>
      </c>
      <c r="JU2" s="154"/>
      <c r="JV2" s="154"/>
      <c r="JW2" s="154"/>
      <c r="JX2" s="154"/>
      <c r="JY2" s="154"/>
      <c r="JZ2" s="154"/>
      <c r="KA2" s="154"/>
      <c r="KB2" s="154"/>
      <c r="KC2" s="154"/>
      <c r="KD2" s="154"/>
      <c r="KE2" s="155"/>
      <c r="KF2" s="156" t="s">
        <v>51</v>
      </c>
      <c r="KG2" s="154"/>
      <c r="KH2" s="154"/>
      <c r="KI2" s="154"/>
      <c r="KJ2" s="154"/>
      <c r="KK2" s="154"/>
      <c r="KL2" s="154"/>
      <c r="KM2" s="154"/>
      <c r="KN2" s="154"/>
      <c r="KO2" s="154"/>
      <c r="KP2" s="154"/>
      <c r="KQ2" s="157"/>
    </row>
    <row r="3" spans="1:303" ht="15" thickBot="1" x14ac:dyDescent="0.4">
      <c r="B3" s="91" t="s">
        <v>0</v>
      </c>
      <c r="C3" s="92" t="s">
        <v>1</v>
      </c>
      <c r="D3" s="59" t="s">
        <v>134</v>
      </c>
      <c r="E3" s="97" t="s">
        <v>2</v>
      </c>
      <c r="F3" s="98" t="s">
        <v>3</v>
      </c>
      <c r="G3" s="99" t="s">
        <v>2</v>
      </c>
      <c r="H3" s="100" t="s">
        <v>10</v>
      </c>
      <c r="I3" s="100" t="s">
        <v>3</v>
      </c>
      <c r="J3" s="100" t="s">
        <v>95</v>
      </c>
      <c r="K3" s="100" t="s">
        <v>8</v>
      </c>
      <c r="L3" s="100" t="s">
        <v>9</v>
      </c>
      <c r="M3" s="100" t="s">
        <v>10</v>
      </c>
      <c r="N3" s="100" t="s">
        <v>91</v>
      </c>
      <c r="O3" s="100" t="s">
        <v>92</v>
      </c>
      <c r="P3" s="100" t="s">
        <v>97</v>
      </c>
      <c r="Q3" s="100" t="s">
        <v>98</v>
      </c>
      <c r="R3" s="100" t="s">
        <v>99</v>
      </c>
      <c r="S3" s="100" t="s">
        <v>100</v>
      </c>
      <c r="T3" s="100" t="s">
        <v>101</v>
      </c>
      <c r="U3" s="100" t="s">
        <v>102</v>
      </c>
      <c r="V3" s="100" t="s">
        <v>96</v>
      </c>
      <c r="W3" s="100" t="s">
        <v>8</v>
      </c>
      <c r="X3" s="100" t="s">
        <v>9</v>
      </c>
      <c r="Y3" s="100" t="s">
        <v>10</v>
      </c>
      <c r="Z3" s="100" t="s">
        <v>91</v>
      </c>
      <c r="AA3" s="100" t="s">
        <v>92</v>
      </c>
      <c r="AB3" s="100" t="s">
        <v>97</v>
      </c>
      <c r="AC3" s="100" t="s">
        <v>98</v>
      </c>
      <c r="AD3" s="100" t="s">
        <v>99</v>
      </c>
      <c r="AE3" s="100" t="s">
        <v>100</v>
      </c>
      <c r="AF3" s="100" t="s">
        <v>101</v>
      </c>
      <c r="AG3" s="101" t="s">
        <v>102</v>
      </c>
      <c r="AH3" s="99" t="s">
        <v>2</v>
      </c>
      <c r="AI3" s="100" t="s">
        <v>10</v>
      </c>
      <c r="AJ3" s="100" t="s">
        <v>3</v>
      </c>
      <c r="AK3" s="100" t="s">
        <v>95</v>
      </c>
      <c r="AL3" s="100" t="s">
        <v>8</v>
      </c>
      <c r="AM3" s="100" t="s">
        <v>9</v>
      </c>
      <c r="AN3" s="100" t="s">
        <v>10</v>
      </c>
      <c r="AO3" s="100" t="s">
        <v>91</v>
      </c>
      <c r="AP3" s="100" t="s">
        <v>92</v>
      </c>
      <c r="AQ3" s="100" t="s">
        <v>97</v>
      </c>
      <c r="AR3" s="100" t="s">
        <v>98</v>
      </c>
      <c r="AS3" s="100" t="s">
        <v>99</v>
      </c>
      <c r="AT3" s="100" t="s">
        <v>100</v>
      </c>
      <c r="AU3" s="100" t="s">
        <v>101</v>
      </c>
      <c r="AV3" s="100" t="s">
        <v>102</v>
      </c>
      <c r="AW3" s="100" t="s">
        <v>96</v>
      </c>
      <c r="AX3" s="100" t="s">
        <v>8</v>
      </c>
      <c r="AY3" s="100" t="s">
        <v>9</v>
      </c>
      <c r="AZ3" s="100" t="s">
        <v>10</v>
      </c>
      <c r="BA3" s="100" t="s">
        <v>91</v>
      </c>
      <c r="BB3" s="100" t="s">
        <v>92</v>
      </c>
      <c r="BC3" s="100" t="s">
        <v>97</v>
      </c>
      <c r="BD3" s="100" t="s">
        <v>98</v>
      </c>
      <c r="BE3" s="100" t="s">
        <v>99</v>
      </c>
      <c r="BF3" s="100" t="s">
        <v>100</v>
      </c>
      <c r="BG3" s="100" t="s">
        <v>101</v>
      </c>
      <c r="BH3" s="101" t="s">
        <v>102</v>
      </c>
      <c r="BI3" s="99" t="s">
        <v>2</v>
      </c>
      <c r="BJ3" s="100" t="s">
        <v>10</v>
      </c>
      <c r="BK3" s="100" t="s">
        <v>3</v>
      </c>
      <c r="BL3" s="100" t="s">
        <v>95</v>
      </c>
      <c r="BM3" s="100" t="s">
        <v>8</v>
      </c>
      <c r="BN3" s="100" t="s">
        <v>9</v>
      </c>
      <c r="BO3" s="100" t="s">
        <v>10</v>
      </c>
      <c r="BP3" s="100" t="s">
        <v>91</v>
      </c>
      <c r="BQ3" s="100" t="s">
        <v>92</v>
      </c>
      <c r="BR3" s="100" t="s">
        <v>97</v>
      </c>
      <c r="BS3" s="100" t="s">
        <v>98</v>
      </c>
      <c r="BT3" s="100" t="s">
        <v>99</v>
      </c>
      <c r="BU3" s="100" t="s">
        <v>100</v>
      </c>
      <c r="BV3" s="100" t="s">
        <v>101</v>
      </c>
      <c r="BW3" s="100" t="s">
        <v>102</v>
      </c>
      <c r="BX3" s="100" t="s">
        <v>96</v>
      </c>
      <c r="BY3" s="100" t="s">
        <v>8</v>
      </c>
      <c r="BZ3" s="100" t="s">
        <v>9</v>
      </c>
      <c r="CA3" s="100" t="s">
        <v>10</v>
      </c>
      <c r="CB3" s="100" t="s">
        <v>91</v>
      </c>
      <c r="CC3" s="100" t="s">
        <v>92</v>
      </c>
      <c r="CD3" s="100" t="s">
        <v>97</v>
      </c>
      <c r="CE3" s="100" t="s">
        <v>98</v>
      </c>
      <c r="CF3" s="100" t="s">
        <v>99</v>
      </c>
      <c r="CG3" s="100" t="s">
        <v>100</v>
      </c>
      <c r="CH3" s="100" t="s">
        <v>101</v>
      </c>
      <c r="CI3" s="101" t="s">
        <v>102</v>
      </c>
      <c r="CJ3" s="99" t="s">
        <v>2</v>
      </c>
      <c r="CK3" s="100" t="s">
        <v>10</v>
      </c>
      <c r="CL3" s="100" t="s">
        <v>3</v>
      </c>
      <c r="CM3" s="100" t="s">
        <v>95</v>
      </c>
      <c r="CN3" s="100" t="s">
        <v>8</v>
      </c>
      <c r="CO3" s="100" t="s">
        <v>9</v>
      </c>
      <c r="CP3" s="100" t="s">
        <v>10</v>
      </c>
      <c r="CQ3" s="100" t="s">
        <v>91</v>
      </c>
      <c r="CR3" s="100" t="s">
        <v>92</v>
      </c>
      <c r="CS3" s="100" t="s">
        <v>97</v>
      </c>
      <c r="CT3" s="100" t="s">
        <v>98</v>
      </c>
      <c r="CU3" s="100" t="s">
        <v>99</v>
      </c>
      <c r="CV3" s="100" t="s">
        <v>100</v>
      </c>
      <c r="CW3" s="100" t="s">
        <v>101</v>
      </c>
      <c r="CX3" s="100" t="s">
        <v>102</v>
      </c>
      <c r="CY3" s="100" t="s">
        <v>96</v>
      </c>
      <c r="CZ3" s="100" t="s">
        <v>8</v>
      </c>
      <c r="DA3" s="100" t="s">
        <v>9</v>
      </c>
      <c r="DB3" s="100" t="s">
        <v>10</v>
      </c>
      <c r="DC3" s="100" t="s">
        <v>91</v>
      </c>
      <c r="DD3" s="100" t="s">
        <v>92</v>
      </c>
      <c r="DE3" s="100" t="s">
        <v>97</v>
      </c>
      <c r="DF3" s="100" t="s">
        <v>98</v>
      </c>
      <c r="DG3" s="100" t="s">
        <v>99</v>
      </c>
      <c r="DH3" s="100" t="s">
        <v>100</v>
      </c>
      <c r="DI3" s="100" t="s">
        <v>101</v>
      </c>
      <c r="DJ3" s="101" t="s">
        <v>102</v>
      </c>
      <c r="DK3" s="99" t="s">
        <v>2</v>
      </c>
      <c r="DL3" s="100" t="s">
        <v>10</v>
      </c>
      <c r="DM3" s="100" t="s">
        <v>3</v>
      </c>
      <c r="DN3" s="100" t="s">
        <v>95</v>
      </c>
      <c r="DO3" s="100" t="s">
        <v>8</v>
      </c>
      <c r="DP3" s="100" t="s">
        <v>9</v>
      </c>
      <c r="DQ3" s="100" t="s">
        <v>10</v>
      </c>
      <c r="DR3" s="100" t="s">
        <v>91</v>
      </c>
      <c r="DS3" s="100" t="s">
        <v>92</v>
      </c>
      <c r="DT3" s="100" t="s">
        <v>97</v>
      </c>
      <c r="DU3" s="100" t="s">
        <v>98</v>
      </c>
      <c r="DV3" s="100" t="s">
        <v>99</v>
      </c>
      <c r="DW3" s="100" t="s">
        <v>100</v>
      </c>
      <c r="DX3" s="100" t="s">
        <v>101</v>
      </c>
      <c r="DY3" s="100" t="s">
        <v>102</v>
      </c>
      <c r="DZ3" s="100" t="s">
        <v>96</v>
      </c>
      <c r="EA3" s="100" t="s">
        <v>8</v>
      </c>
      <c r="EB3" s="100" t="s">
        <v>9</v>
      </c>
      <c r="EC3" s="100" t="s">
        <v>10</v>
      </c>
      <c r="ED3" s="100" t="s">
        <v>91</v>
      </c>
      <c r="EE3" s="100" t="s">
        <v>92</v>
      </c>
      <c r="EF3" s="100" t="s">
        <v>97</v>
      </c>
      <c r="EG3" s="100" t="s">
        <v>98</v>
      </c>
      <c r="EH3" s="100" t="s">
        <v>99</v>
      </c>
      <c r="EI3" s="100" t="s">
        <v>100</v>
      </c>
      <c r="EJ3" s="100" t="s">
        <v>101</v>
      </c>
      <c r="EK3" s="101" t="s">
        <v>102</v>
      </c>
      <c r="EL3" s="99" t="s">
        <v>2</v>
      </c>
      <c r="EM3" s="100" t="s">
        <v>10</v>
      </c>
      <c r="EN3" s="100" t="s">
        <v>3</v>
      </c>
      <c r="EO3" s="100" t="s">
        <v>95</v>
      </c>
      <c r="EP3" s="100" t="s">
        <v>8</v>
      </c>
      <c r="EQ3" s="100" t="s">
        <v>9</v>
      </c>
      <c r="ER3" s="100" t="s">
        <v>10</v>
      </c>
      <c r="ES3" s="100" t="s">
        <v>91</v>
      </c>
      <c r="ET3" s="100" t="s">
        <v>92</v>
      </c>
      <c r="EU3" s="100" t="s">
        <v>97</v>
      </c>
      <c r="EV3" s="100" t="s">
        <v>98</v>
      </c>
      <c r="EW3" s="100" t="s">
        <v>99</v>
      </c>
      <c r="EX3" s="100" t="s">
        <v>100</v>
      </c>
      <c r="EY3" s="100" t="s">
        <v>101</v>
      </c>
      <c r="EZ3" s="100" t="s">
        <v>102</v>
      </c>
      <c r="FA3" s="100" t="s">
        <v>96</v>
      </c>
      <c r="FB3" s="100" t="s">
        <v>8</v>
      </c>
      <c r="FC3" s="100" t="s">
        <v>9</v>
      </c>
      <c r="FD3" s="100" t="s">
        <v>10</v>
      </c>
      <c r="FE3" s="100" t="s">
        <v>91</v>
      </c>
      <c r="FF3" s="100" t="s">
        <v>92</v>
      </c>
      <c r="FG3" s="100" t="s">
        <v>97</v>
      </c>
      <c r="FH3" s="100" t="s">
        <v>98</v>
      </c>
      <c r="FI3" s="100" t="s">
        <v>99</v>
      </c>
      <c r="FJ3" s="100" t="s">
        <v>100</v>
      </c>
      <c r="FK3" s="100" t="s">
        <v>101</v>
      </c>
      <c r="FL3" s="101" t="s">
        <v>102</v>
      </c>
      <c r="FM3" s="99" t="s">
        <v>2</v>
      </c>
      <c r="FN3" s="100" t="s">
        <v>10</v>
      </c>
      <c r="FO3" s="100" t="s">
        <v>3</v>
      </c>
      <c r="FP3" s="100" t="s">
        <v>95</v>
      </c>
      <c r="FQ3" s="100" t="s">
        <v>8</v>
      </c>
      <c r="FR3" s="100" t="s">
        <v>9</v>
      </c>
      <c r="FS3" s="100" t="s">
        <v>10</v>
      </c>
      <c r="FT3" s="100" t="s">
        <v>91</v>
      </c>
      <c r="FU3" s="100" t="s">
        <v>92</v>
      </c>
      <c r="FV3" s="100" t="s">
        <v>97</v>
      </c>
      <c r="FW3" s="100" t="s">
        <v>98</v>
      </c>
      <c r="FX3" s="100" t="s">
        <v>99</v>
      </c>
      <c r="FY3" s="100" t="s">
        <v>100</v>
      </c>
      <c r="FZ3" s="100" t="s">
        <v>101</v>
      </c>
      <c r="GA3" s="100" t="s">
        <v>102</v>
      </c>
      <c r="GB3" s="100" t="s">
        <v>96</v>
      </c>
      <c r="GC3" s="100" t="s">
        <v>8</v>
      </c>
      <c r="GD3" s="100" t="s">
        <v>9</v>
      </c>
      <c r="GE3" s="100" t="s">
        <v>10</v>
      </c>
      <c r="GF3" s="100" t="s">
        <v>91</v>
      </c>
      <c r="GG3" s="100" t="s">
        <v>92</v>
      </c>
      <c r="GH3" s="100" t="s">
        <v>97</v>
      </c>
      <c r="GI3" s="100" t="s">
        <v>98</v>
      </c>
      <c r="GJ3" s="100" t="s">
        <v>99</v>
      </c>
      <c r="GK3" s="100" t="s">
        <v>100</v>
      </c>
      <c r="GL3" s="100" t="s">
        <v>101</v>
      </c>
      <c r="GM3" s="101" t="s">
        <v>102</v>
      </c>
      <c r="GN3" s="99" t="s">
        <v>2</v>
      </c>
      <c r="GO3" s="100" t="s">
        <v>10</v>
      </c>
      <c r="GP3" s="100" t="s">
        <v>3</v>
      </c>
      <c r="GQ3" s="100" t="s">
        <v>95</v>
      </c>
      <c r="GR3" s="100" t="s">
        <v>8</v>
      </c>
      <c r="GS3" s="100" t="s">
        <v>9</v>
      </c>
      <c r="GT3" s="100" t="s">
        <v>10</v>
      </c>
      <c r="GU3" s="100" t="s">
        <v>91</v>
      </c>
      <c r="GV3" s="100" t="s">
        <v>92</v>
      </c>
      <c r="GW3" s="100" t="s">
        <v>97</v>
      </c>
      <c r="GX3" s="100" t="s">
        <v>98</v>
      </c>
      <c r="GY3" s="100" t="s">
        <v>99</v>
      </c>
      <c r="GZ3" s="100" t="s">
        <v>100</v>
      </c>
      <c r="HA3" s="100" t="s">
        <v>101</v>
      </c>
      <c r="HB3" s="100" t="s">
        <v>102</v>
      </c>
      <c r="HC3" s="100" t="s">
        <v>96</v>
      </c>
      <c r="HD3" s="100" t="s">
        <v>8</v>
      </c>
      <c r="HE3" s="100" t="s">
        <v>9</v>
      </c>
      <c r="HF3" s="100" t="s">
        <v>10</v>
      </c>
      <c r="HG3" s="100" t="s">
        <v>91</v>
      </c>
      <c r="HH3" s="100" t="s">
        <v>92</v>
      </c>
      <c r="HI3" s="100" t="s">
        <v>97</v>
      </c>
      <c r="HJ3" s="100" t="s">
        <v>98</v>
      </c>
      <c r="HK3" s="100" t="s">
        <v>99</v>
      </c>
      <c r="HL3" s="100" t="s">
        <v>100</v>
      </c>
      <c r="HM3" s="100" t="s">
        <v>101</v>
      </c>
      <c r="HN3" s="101" t="s">
        <v>102</v>
      </c>
      <c r="HO3" s="99" t="s">
        <v>2</v>
      </c>
      <c r="HP3" s="100" t="s">
        <v>10</v>
      </c>
      <c r="HQ3" s="100" t="s">
        <v>3</v>
      </c>
      <c r="HR3" s="100" t="s">
        <v>95</v>
      </c>
      <c r="HS3" s="100" t="s">
        <v>8</v>
      </c>
      <c r="HT3" s="100" t="s">
        <v>9</v>
      </c>
      <c r="HU3" s="100" t="s">
        <v>10</v>
      </c>
      <c r="HV3" s="100" t="s">
        <v>91</v>
      </c>
      <c r="HW3" s="100" t="s">
        <v>92</v>
      </c>
      <c r="HX3" s="100" t="s">
        <v>97</v>
      </c>
      <c r="HY3" s="100" t="s">
        <v>98</v>
      </c>
      <c r="HZ3" s="100" t="s">
        <v>99</v>
      </c>
      <c r="IA3" s="100" t="s">
        <v>100</v>
      </c>
      <c r="IB3" s="100" t="s">
        <v>101</v>
      </c>
      <c r="IC3" s="100" t="s">
        <v>102</v>
      </c>
      <c r="ID3" s="100" t="s">
        <v>96</v>
      </c>
      <c r="IE3" s="100" t="s">
        <v>8</v>
      </c>
      <c r="IF3" s="100" t="s">
        <v>9</v>
      </c>
      <c r="IG3" s="100" t="s">
        <v>10</v>
      </c>
      <c r="IH3" s="100" t="s">
        <v>91</v>
      </c>
      <c r="II3" s="100" t="s">
        <v>92</v>
      </c>
      <c r="IJ3" s="100" t="s">
        <v>97</v>
      </c>
      <c r="IK3" s="100" t="s">
        <v>98</v>
      </c>
      <c r="IL3" s="100" t="s">
        <v>99</v>
      </c>
      <c r="IM3" s="100" t="s">
        <v>100</v>
      </c>
      <c r="IN3" s="100" t="s">
        <v>101</v>
      </c>
      <c r="IO3" s="101" t="s">
        <v>102</v>
      </c>
      <c r="IP3" s="99" t="s">
        <v>2</v>
      </c>
      <c r="IQ3" s="100" t="s">
        <v>10</v>
      </c>
      <c r="IR3" s="100" t="s">
        <v>3</v>
      </c>
      <c r="IS3" s="100" t="s">
        <v>95</v>
      </c>
      <c r="IT3" s="100" t="s">
        <v>8</v>
      </c>
      <c r="IU3" s="100" t="s">
        <v>9</v>
      </c>
      <c r="IV3" s="100" t="s">
        <v>10</v>
      </c>
      <c r="IW3" s="100" t="s">
        <v>91</v>
      </c>
      <c r="IX3" s="100" t="s">
        <v>92</v>
      </c>
      <c r="IY3" s="100" t="s">
        <v>97</v>
      </c>
      <c r="IZ3" s="100" t="s">
        <v>98</v>
      </c>
      <c r="JA3" s="100" t="s">
        <v>99</v>
      </c>
      <c r="JB3" s="100" t="s">
        <v>100</v>
      </c>
      <c r="JC3" s="100" t="s">
        <v>101</v>
      </c>
      <c r="JD3" s="100" t="s">
        <v>102</v>
      </c>
      <c r="JE3" s="100" t="s">
        <v>96</v>
      </c>
      <c r="JF3" s="100" t="s">
        <v>8</v>
      </c>
      <c r="JG3" s="100" t="s">
        <v>9</v>
      </c>
      <c r="JH3" s="100" t="s">
        <v>10</v>
      </c>
      <c r="JI3" s="100" t="s">
        <v>91</v>
      </c>
      <c r="JJ3" s="100" t="s">
        <v>92</v>
      </c>
      <c r="JK3" s="100" t="s">
        <v>97</v>
      </c>
      <c r="JL3" s="100" t="s">
        <v>98</v>
      </c>
      <c r="JM3" s="100" t="s">
        <v>99</v>
      </c>
      <c r="JN3" s="100" t="s">
        <v>100</v>
      </c>
      <c r="JO3" s="100" t="s">
        <v>101</v>
      </c>
      <c r="JP3" s="101" t="s">
        <v>102</v>
      </c>
      <c r="JQ3" s="99" t="s">
        <v>2</v>
      </c>
      <c r="JR3" s="100" t="s">
        <v>10</v>
      </c>
      <c r="JS3" s="100" t="s">
        <v>3</v>
      </c>
      <c r="JT3" s="100" t="s">
        <v>95</v>
      </c>
      <c r="JU3" s="100" t="s">
        <v>8</v>
      </c>
      <c r="JV3" s="100" t="s">
        <v>9</v>
      </c>
      <c r="JW3" s="100" t="s">
        <v>10</v>
      </c>
      <c r="JX3" s="100" t="s">
        <v>91</v>
      </c>
      <c r="JY3" s="100" t="s">
        <v>92</v>
      </c>
      <c r="JZ3" s="100" t="s">
        <v>97</v>
      </c>
      <c r="KA3" s="100" t="s">
        <v>98</v>
      </c>
      <c r="KB3" s="100" t="s">
        <v>99</v>
      </c>
      <c r="KC3" s="100" t="s">
        <v>100</v>
      </c>
      <c r="KD3" s="100" t="s">
        <v>101</v>
      </c>
      <c r="KE3" s="100" t="s">
        <v>102</v>
      </c>
      <c r="KF3" s="100" t="s">
        <v>96</v>
      </c>
      <c r="KG3" s="100" t="s">
        <v>8</v>
      </c>
      <c r="KH3" s="100" t="s">
        <v>9</v>
      </c>
      <c r="KI3" s="100" t="s">
        <v>10</v>
      </c>
      <c r="KJ3" s="100" t="s">
        <v>91</v>
      </c>
      <c r="KK3" s="100" t="s">
        <v>92</v>
      </c>
      <c r="KL3" s="100" t="s">
        <v>97</v>
      </c>
      <c r="KM3" s="100" t="s">
        <v>98</v>
      </c>
      <c r="KN3" s="100" t="s">
        <v>99</v>
      </c>
      <c r="KO3" s="100" t="s">
        <v>100</v>
      </c>
      <c r="KP3" s="100" t="s">
        <v>101</v>
      </c>
      <c r="KQ3" s="101" t="s">
        <v>102</v>
      </c>
    </row>
    <row r="4" spans="1:303" x14ac:dyDescent="0.35">
      <c r="A4" s="90" t="str">
        <f>Neu!B4</f>
        <v>B4</v>
      </c>
      <c r="B4" s="93" t="s">
        <v>153</v>
      </c>
      <c r="C4" s="25"/>
      <c r="D4" s="20">
        <v>7.0000000000000001E-3</v>
      </c>
      <c r="E4" s="96">
        <v>0.1</v>
      </c>
      <c r="F4" s="19">
        <v>-55</v>
      </c>
      <c r="G4" s="148">
        <v>60</v>
      </c>
      <c r="H4" s="147">
        <v>3</v>
      </c>
      <c r="I4" s="147">
        <v>30</v>
      </c>
      <c r="J4" s="147">
        <v>0</v>
      </c>
      <c r="K4" s="147">
        <v>-28.5</v>
      </c>
      <c r="L4" s="147">
        <v>8.6</v>
      </c>
      <c r="M4" s="147">
        <v>1</v>
      </c>
      <c r="N4" s="147">
        <v>5.9999999999999995E-4</v>
      </c>
      <c r="O4" s="147">
        <v>1E-4</v>
      </c>
      <c r="P4" s="147">
        <v>-40.5</v>
      </c>
      <c r="Q4" s="147">
        <v>6</v>
      </c>
      <c r="R4" s="147">
        <v>1</v>
      </c>
      <c r="S4" s="147"/>
      <c r="T4" s="147"/>
      <c r="U4" s="147"/>
      <c r="V4" s="147">
        <v>0</v>
      </c>
      <c r="W4" s="147">
        <v>-38</v>
      </c>
      <c r="X4" s="147">
        <v>5</v>
      </c>
      <c r="Y4" s="147">
        <v>1</v>
      </c>
      <c r="Z4" s="147">
        <v>5.0000000000000001E-3</v>
      </c>
      <c r="AA4" s="147">
        <v>2.0000000000000001E-4</v>
      </c>
      <c r="AB4" s="147">
        <v>-37</v>
      </c>
      <c r="AC4" s="147">
        <v>11.6</v>
      </c>
      <c r="AD4" s="147">
        <v>1</v>
      </c>
      <c r="AE4" s="147"/>
      <c r="AF4" s="147"/>
      <c r="AG4" s="149"/>
      <c r="AH4" s="148">
        <v>100</v>
      </c>
      <c r="AI4" s="147">
        <v>4</v>
      </c>
      <c r="AJ4" s="147">
        <v>-80</v>
      </c>
      <c r="AK4" s="147">
        <v>0</v>
      </c>
      <c r="AL4" s="147">
        <v>-30</v>
      </c>
      <c r="AM4" s="147">
        <v>9.8000000000000007</v>
      </c>
      <c r="AN4" s="147">
        <v>1</v>
      </c>
      <c r="AO4" s="147">
        <v>2.5000000000000001E-2</v>
      </c>
      <c r="AP4" s="147">
        <v>2.0000000000000001E-4</v>
      </c>
      <c r="AQ4" s="147">
        <v>0</v>
      </c>
      <c r="AR4" s="147">
        <v>9</v>
      </c>
      <c r="AS4" s="147">
        <v>1</v>
      </c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9"/>
      <c r="BI4" s="96">
        <v>5</v>
      </c>
      <c r="BJ4" s="18">
        <v>3</v>
      </c>
      <c r="BK4" s="18">
        <v>-70</v>
      </c>
      <c r="BL4" s="18">
        <v>0</v>
      </c>
      <c r="BM4" s="18">
        <v>-55</v>
      </c>
      <c r="BN4" s="18">
        <v>15</v>
      </c>
      <c r="BO4" s="18">
        <v>1</v>
      </c>
      <c r="BP4" s="18">
        <v>1.7000000000000001E-2</v>
      </c>
      <c r="BQ4" s="18">
        <v>1E-3</v>
      </c>
      <c r="BR4" s="18">
        <v>-30</v>
      </c>
      <c r="BS4" s="18">
        <v>20</v>
      </c>
      <c r="BT4" s="18">
        <v>1</v>
      </c>
      <c r="BU4" s="18">
        <v>-120</v>
      </c>
      <c r="BV4" s="18">
        <v>24</v>
      </c>
      <c r="BW4" s="18">
        <v>1</v>
      </c>
      <c r="BX4" s="18">
        <v>0</v>
      </c>
      <c r="BY4" s="18">
        <v>-65</v>
      </c>
      <c r="BZ4" s="18">
        <v>5</v>
      </c>
      <c r="CA4" s="18">
        <v>1</v>
      </c>
      <c r="CB4" s="18">
        <v>0.224</v>
      </c>
      <c r="CC4" s="18">
        <v>1E-4</v>
      </c>
      <c r="CD4" s="18">
        <v>-54.4</v>
      </c>
      <c r="CE4" s="18">
        <v>30.8</v>
      </c>
      <c r="CF4" s="18">
        <v>1</v>
      </c>
      <c r="CG4" s="18"/>
      <c r="CH4" s="18"/>
      <c r="CI4" s="19"/>
      <c r="CJ4" s="96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9"/>
      <c r="DK4" s="96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9"/>
      <c r="EL4" s="96">
        <v>0.16</v>
      </c>
      <c r="EM4" s="18">
        <v>2</v>
      </c>
      <c r="EN4" s="18">
        <v>60</v>
      </c>
      <c r="EO4" s="18">
        <v>0</v>
      </c>
      <c r="EP4" s="18">
        <v>0.15</v>
      </c>
      <c r="EQ4" s="18">
        <v>5</v>
      </c>
      <c r="ER4" s="18">
        <v>1</v>
      </c>
      <c r="ES4" s="18">
        <v>0.01</v>
      </c>
      <c r="ET4" s="18">
        <v>5.0000000000000002E-5</v>
      </c>
      <c r="EU4" s="18">
        <v>3</v>
      </c>
      <c r="EV4" s="18">
        <v>18.399999999999999</v>
      </c>
      <c r="EW4" s="18">
        <v>1</v>
      </c>
      <c r="EX4" s="18">
        <v>-4</v>
      </c>
      <c r="EY4" s="18">
        <v>-4.5999999999999996</v>
      </c>
      <c r="EZ4" s="18">
        <v>1</v>
      </c>
      <c r="FA4" s="18">
        <v>0</v>
      </c>
      <c r="FB4" s="18">
        <v>-15</v>
      </c>
      <c r="FC4" s="18">
        <v>11</v>
      </c>
      <c r="FD4" s="18">
        <v>1</v>
      </c>
      <c r="FE4" s="18">
        <v>0.62</v>
      </c>
      <c r="FF4" s="18">
        <v>3.7200000000000002E-3</v>
      </c>
      <c r="FG4" s="18">
        <v>-18</v>
      </c>
      <c r="FH4" s="18">
        <v>18</v>
      </c>
      <c r="FI4" s="18">
        <v>1</v>
      </c>
      <c r="FJ4" s="18">
        <v>-20</v>
      </c>
      <c r="FK4" s="18">
        <v>-15</v>
      </c>
      <c r="FL4" s="19">
        <v>1</v>
      </c>
      <c r="FM4" s="96">
        <v>0.8</v>
      </c>
      <c r="FN4" s="18"/>
      <c r="FO4" s="18">
        <v>-66.2</v>
      </c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9"/>
      <c r="GN4" s="96">
        <v>0.02</v>
      </c>
      <c r="GO4" s="18">
        <v>1</v>
      </c>
      <c r="GP4" s="18">
        <v>-65</v>
      </c>
      <c r="GQ4" s="18">
        <v>0</v>
      </c>
      <c r="GR4" s="18">
        <v>23.5</v>
      </c>
      <c r="GS4" s="18">
        <v>10.5</v>
      </c>
      <c r="GT4" s="18">
        <v>1</v>
      </c>
      <c r="GU4" s="18">
        <v>1E-3</v>
      </c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9"/>
      <c r="HO4" s="148"/>
      <c r="HP4" s="147"/>
      <c r="HQ4" s="147"/>
      <c r="HR4" s="147"/>
      <c r="HS4" s="147"/>
      <c r="HT4" s="147"/>
      <c r="HU4" s="147"/>
      <c r="HV4" s="147"/>
      <c r="HW4" s="147"/>
      <c r="HX4" s="147"/>
      <c r="HY4" s="147"/>
      <c r="HZ4" s="147"/>
      <c r="IA4" s="147"/>
      <c r="IB4" s="147"/>
      <c r="IC4" s="147"/>
      <c r="ID4" s="147"/>
      <c r="IE4" s="147"/>
      <c r="IF4" s="147"/>
      <c r="IG4" s="147"/>
      <c r="IH4" s="147"/>
      <c r="II4" s="147"/>
      <c r="IJ4" s="147"/>
      <c r="IK4" s="147"/>
      <c r="IL4" s="147"/>
      <c r="IM4" s="147"/>
      <c r="IN4" s="147"/>
      <c r="IO4" s="149"/>
      <c r="IP4" s="96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9"/>
      <c r="JQ4" s="96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9"/>
    </row>
    <row r="5" spans="1:303" x14ac:dyDescent="0.35">
      <c r="A5" s="90">
        <f>Neu!B5</f>
        <v>0</v>
      </c>
      <c r="B5" s="93"/>
      <c r="C5" s="25"/>
      <c r="D5" s="20"/>
      <c r="E5" s="44"/>
      <c r="F5" s="20"/>
      <c r="G5" s="44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20"/>
      <c r="AH5" s="44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20"/>
      <c r="BI5" s="44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20"/>
      <c r="CJ5" s="44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20"/>
      <c r="DK5" s="44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20"/>
      <c r="EL5" s="44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20"/>
      <c r="FM5" s="44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20"/>
      <c r="GN5" s="44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20"/>
      <c r="HO5" s="44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20"/>
      <c r="IP5" s="44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20"/>
      <c r="JQ5" s="44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20"/>
    </row>
    <row r="6" spans="1:303" x14ac:dyDescent="0.35">
      <c r="A6" s="90">
        <f>Neu!B6</f>
        <v>0</v>
      </c>
      <c r="B6" s="93"/>
      <c r="C6" s="25"/>
      <c r="D6" s="20"/>
      <c r="E6" s="44"/>
      <c r="F6" s="20"/>
      <c r="G6" s="44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20"/>
      <c r="AH6" s="44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20"/>
      <c r="BI6" s="44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20"/>
      <c r="CJ6" s="44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20"/>
      <c r="DK6" s="44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20"/>
      <c r="EL6" s="44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20"/>
      <c r="FM6" s="44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20"/>
      <c r="GN6" s="44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20"/>
      <c r="HO6" s="44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20"/>
      <c r="IP6" s="44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20"/>
      <c r="JQ6" s="44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20"/>
    </row>
    <row r="7" spans="1:303" x14ac:dyDescent="0.35">
      <c r="A7" s="90">
        <f>Neu!B7</f>
        <v>0</v>
      </c>
      <c r="B7" s="93"/>
      <c r="C7" s="25"/>
      <c r="D7" s="20"/>
      <c r="E7" s="44"/>
      <c r="F7" s="20"/>
      <c r="G7" s="44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20"/>
      <c r="AH7" s="44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20"/>
      <c r="BI7" s="44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20"/>
      <c r="CJ7" s="44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20"/>
      <c r="DK7" s="44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20"/>
      <c r="EL7" s="44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20"/>
      <c r="FM7" s="44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20"/>
      <c r="GN7" s="44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20"/>
      <c r="HO7" s="44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20"/>
      <c r="IP7" s="44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20"/>
      <c r="JQ7" s="44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20"/>
    </row>
    <row r="8" spans="1:303" x14ac:dyDescent="0.35">
      <c r="A8" s="90">
        <f>Neu!B8</f>
        <v>0</v>
      </c>
      <c r="B8" s="93"/>
      <c r="C8" s="25"/>
      <c r="D8" s="20"/>
      <c r="E8" s="44"/>
      <c r="F8" s="20"/>
      <c r="G8" s="44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20"/>
      <c r="AH8" s="44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20"/>
      <c r="BI8" s="44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20"/>
      <c r="CJ8" s="44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20"/>
      <c r="DK8" s="44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20"/>
      <c r="EL8" s="44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20"/>
      <c r="FM8" s="44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20"/>
      <c r="GN8" s="44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20"/>
      <c r="HO8" s="44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20"/>
      <c r="IP8" s="44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20"/>
      <c r="JQ8" s="44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20"/>
    </row>
    <row r="9" spans="1:303" x14ac:dyDescent="0.35">
      <c r="A9" s="90">
        <f>Neu!B9</f>
        <v>0</v>
      </c>
      <c r="B9" s="93"/>
      <c r="C9" s="25"/>
      <c r="D9" s="20"/>
      <c r="E9" s="44"/>
      <c r="F9" s="20"/>
      <c r="G9" s="44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20"/>
      <c r="AH9" s="44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20"/>
      <c r="BI9" s="44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20"/>
      <c r="CJ9" s="44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20"/>
      <c r="DK9" s="44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20"/>
      <c r="EL9" s="44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20"/>
      <c r="FM9" s="44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20"/>
      <c r="GN9" s="44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20"/>
      <c r="HO9" s="44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20"/>
      <c r="IP9" s="44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20"/>
      <c r="JQ9" s="44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20"/>
    </row>
    <row r="10" spans="1:303" x14ac:dyDescent="0.35">
      <c r="A10" s="90">
        <f>Neu!B10</f>
        <v>0</v>
      </c>
      <c r="B10" s="93"/>
      <c r="C10" s="25"/>
      <c r="D10" s="20"/>
      <c r="E10" s="44"/>
      <c r="F10" s="20"/>
      <c r="G10" s="44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20"/>
      <c r="AH10" s="44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20"/>
      <c r="BI10" s="44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20"/>
      <c r="CJ10" s="44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20"/>
      <c r="DK10" s="44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20"/>
      <c r="EL10" s="44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20"/>
      <c r="FM10" s="44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20"/>
      <c r="GN10" s="44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20"/>
      <c r="HO10" s="44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20"/>
      <c r="IP10" s="44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20"/>
      <c r="JQ10" s="44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20"/>
    </row>
    <row r="11" spans="1:303" x14ac:dyDescent="0.35">
      <c r="A11" s="90">
        <f>Neu!B11</f>
        <v>0</v>
      </c>
      <c r="B11" s="93"/>
      <c r="C11" s="25"/>
      <c r="D11" s="20"/>
      <c r="E11" s="44"/>
      <c r="F11" s="20"/>
      <c r="G11" s="44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20"/>
      <c r="AH11" s="44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20"/>
      <c r="BI11" s="44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20"/>
      <c r="CJ11" s="44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20"/>
      <c r="DK11" s="44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20"/>
      <c r="EL11" s="44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20"/>
      <c r="FM11" s="44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20"/>
      <c r="GN11" s="44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20"/>
      <c r="HO11" s="44"/>
      <c r="HP11" s="17"/>
      <c r="HQ11" s="17"/>
      <c r="HR11" s="17"/>
      <c r="HS11" s="17"/>
      <c r="HT11" s="17"/>
      <c r="HU11" s="17"/>
      <c r="HV11" s="17"/>
      <c r="HW11" s="17"/>
      <c r="HX11" s="17"/>
      <c r="HY11" s="17"/>
      <c r="HZ11" s="17"/>
      <c r="IA11" s="17"/>
      <c r="IB11" s="17"/>
      <c r="IC11" s="17"/>
      <c r="ID11" s="17"/>
      <c r="IE11" s="17"/>
      <c r="IF11" s="17"/>
      <c r="IG11" s="17"/>
      <c r="IH11" s="17"/>
      <c r="II11" s="17"/>
      <c r="IJ11" s="17"/>
      <c r="IK11" s="17"/>
      <c r="IL11" s="17"/>
      <c r="IM11" s="17"/>
      <c r="IN11" s="17"/>
      <c r="IO11" s="20"/>
      <c r="IP11" s="44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20"/>
      <c r="JQ11" s="44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20"/>
    </row>
    <row r="12" spans="1:303" x14ac:dyDescent="0.35">
      <c r="A12" s="90">
        <f>Neu!B12</f>
        <v>0</v>
      </c>
      <c r="B12" s="93"/>
      <c r="C12" s="25"/>
      <c r="D12" s="20"/>
      <c r="E12" s="44"/>
      <c r="F12" s="20"/>
      <c r="G12" s="44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20"/>
      <c r="AH12" s="44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20"/>
      <c r="BI12" s="44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20"/>
      <c r="CJ12" s="44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20"/>
      <c r="DK12" s="44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20"/>
      <c r="EL12" s="44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20"/>
      <c r="FM12" s="44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20"/>
      <c r="GN12" s="44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20"/>
      <c r="HO12" s="44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20"/>
      <c r="IP12" s="44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20"/>
      <c r="JQ12" s="44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20"/>
    </row>
    <row r="13" spans="1:303" x14ac:dyDescent="0.35">
      <c r="A13" s="90">
        <f>Neu!B13</f>
        <v>0</v>
      </c>
      <c r="B13" s="93"/>
      <c r="C13" s="25"/>
      <c r="D13" s="20"/>
      <c r="E13" s="44"/>
      <c r="F13" s="20"/>
      <c r="G13" s="44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20"/>
      <c r="AH13" s="44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20"/>
      <c r="BI13" s="44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20"/>
      <c r="CJ13" s="44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20"/>
      <c r="DK13" s="44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20"/>
      <c r="EL13" s="44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20"/>
      <c r="FM13" s="44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20"/>
      <c r="GN13" s="44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20"/>
      <c r="HO13" s="44"/>
      <c r="HP13" s="17"/>
      <c r="HQ13" s="17"/>
      <c r="HR13" s="17"/>
      <c r="HS13" s="17"/>
      <c r="HT13" s="17"/>
      <c r="HU13" s="17"/>
      <c r="HV13" s="17"/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20"/>
      <c r="IP13" s="44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20"/>
      <c r="JQ13" s="44"/>
      <c r="JR13" s="17"/>
      <c r="JS13" s="17"/>
      <c r="JT13" s="17"/>
      <c r="JU13" s="17"/>
      <c r="JV13" s="17"/>
      <c r="JW13" s="17"/>
      <c r="JX13" s="17"/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20"/>
    </row>
    <row r="14" spans="1:303" x14ac:dyDescent="0.35">
      <c r="A14" s="90">
        <f>Neu!B14</f>
        <v>0</v>
      </c>
      <c r="B14" s="93"/>
      <c r="C14" s="25"/>
      <c r="D14" s="20"/>
      <c r="E14" s="44"/>
      <c r="F14" s="20"/>
      <c r="G14" s="44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20"/>
      <c r="AH14" s="44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20"/>
      <c r="BI14" s="44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20"/>
      <c r="CJ14" s="44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20"/>
      <c r="DK14" s="44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20"/>
      <c r="EL14" s="44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20"/>
      <c r="FM14" s="44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20"/>
      <c r="GN14" s="44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20"/>
      <c r="HO14" s="44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20"/>
      <c r="IP14" s="44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20"/>
      <c r="JQ14" s="44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20"/>
    </row>
    <row r="15" spans="1:303" x14ac:dyDescent="0.35">
      <c r="A15" s="90">
        <f>Neu!B15</f>
        <v>0</v>
      </c>
      <c r="B15" s="93"/>
      <c r="C15" s="25"/>
      <c r="D15" s="20"/>
      <c r="E15" s="44"/>
      <c r="F15" s="20"/>
      <c r="G15" s="44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20"/>
      <c r="AH15" s="44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20"/>
      <c r="BI15" s="44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20"/>
      <c r="CJ15" s="44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20"/>
      <c r="DK15" s="44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20"/>
      <c r="EL15" s="44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20"/>
      <c r="FM15" s="44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20"/>
      <c r="GN15" s="44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20"/>
      <c r="HO15" s="44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20"/>
      <c r="IP15" s="44"/>
      <c r="IQ15" s="17"/>
      <c r="IR15" s="17"/>
      <c r="IS15" s="17"/>
      <c r="IT15" s="17"/>
      <c r="IU15" s="17"/>
      <c r="IV15" s="17"/>
      <c r="IW15" s="17"/>
      <c r="IX15" s="17"/>
      <c r="IY15" s="17"/>
      <c r="IZ15" s="17"/>
      <c r="JA15" s="17"/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20"/>
      <c r="JQ15" s="44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20"/>
    </row>
    <row r="16" spans="1:303" x14ac:dyDescent="0.35">
      <c r="A16" s="90">
        <f>Neu!B16</f>
        <v>0</v>
      </c>
      <c r="B16" s="93"/>
      <c r="C16" s="25"/>
      <c r="D16" s="20"/>
      <c r="E16" s="44"/>
      <c r="F16" s="20"/>
      <c r="G16" s="44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20"/>
      <c r="AH16" s="44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20"/>
      <c r="BI16" s="44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20"/>
      <c r="CJ16" s="44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20"/>
      <c r="DK16" s="44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20"/>
      <c r="EL16" s="44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20"/>
      <c r="FM16" s="44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20"/>
      <c r="GN16" s="44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7"/>
      <c r="HB16" s="17"/>
      <c r="HC16" s="17"/>
      <c r="HD16" s="17"/>
      <c r="HE16" s="17"/>
      <c r="HF16" s="17"/>
      <c r="HG16" s="17"/>
      <c r="HH16" s="17"/>
      <c r="HI16" s="17"/>
      <c r="HJ16" s="17"/>
      <c r="HK16" s="17"/>
      <c r="HL16" s="17"/>
      <c r="HM16" s="17"/>
      <c r="HN16" s="20"/>
      <c r="HO16" s="44"/>
      <c r="HP16" s="17"/>
      <c r="HQ16" s="17"/>
      <c r="HR16" s="17"/>
      <c r="HS16" s="17"/>
      <c r="HT16" s="17"/>
      <c r="HU16" s="17"/>
      <c r="HV16" s="17"/>
      <c r="HW16" s="17"/>
      <c r="HX16" s="17"/>
      <c r="HY16" s="17"/>
      <c r="HZ16" s="17"/>
      <c r="IA16" s="17"/>
      <c r="IB16" s="17"/>
      <c r="IC16" s="17"/>
      <c r="ID16" s="17"/>
      <c r="IE16" s="17"/>
      <c r="IF16" s="17"/>
      <c r="IG16" s="17"/>
      <c r="IH16" s="17"/>
      <c r="II16" s="17"/>
      <c r="IJ16" s="17"/>
      <c r="IK16" s="17"/>
      <c r="IL16" s="17"/>
      <c r="IM16" s="17"/>
      <c r="IN16" s="17"/>
      <c r="IO16" s="20"/>
      <c r="IP16" s="44"/>
      <c r="IQ16" s="17"/>
      <c r="IR16" s="17"/>
      <c r="IS16" s="17"/>
      <c r="IT16" s="17"/>
      <c r="IU16" s="17"/>
      <c r="IV16" s="17"/>
      <c r="IW16" s="17"/>
      <c r="IX16" s="17"/>
      <c r="IY16" s="17"/>
      <c r="IZ16" s="17"/>
      <c r="JA16" s="17"/>
      <c r="JB16" s="17"/>
      <c r="JC16" s="17"/>
      <c r="JD16" s="17"/>
      <c r="JE16" s="17"/>
      <c r="JF16" s="17"/>
      <c r="JG16" s="17"/>
      <c r="JH16" s="17"/>
      <c r="JI16" s="17"/>
      <c r="JJ16" s="17"/>
      <c r="JK16" s="17"/>
      <c r="JL16" s="17"/>
      <c r="JM16" s="17"/>
      <c r="JN16" s="17"/>
      <c r="JO16" s="17"/>
      <c r="JP16" s="20"/>
      <c r="JQ16" s="44"/>
      <c r="JR16" s="17"/>
      <c r="JS16" s="17"/>
      <c r="JT16" s="17"/>
      <c r="JU16" s="17"/>
      <c r="JV16" s="17"/>
      <c r="JW16" s="17"/>
      <c r="JX16" s="17"/>
      <c r="JY16" s="17"/>
      <c r="JZ16" s="17"/>
      <c r="KA16" s="17"/>
      <c r="KB16" s="17"/>
      <c r="KC16" s="17"/>
      <c r="KD16" s="17"/>
      <c r="KE16" s="17"/>
      <c r="KF16" s="17"/>
      <c r="KG16" s="17"/>
      <c r="KH16" s="17"/>
      <c r="KI16" s="17"/>
      <c r="KJ16" s="17"/>
      <c r="KK16" s="17"/>
      <c r="KL16" s="17"/>
      <c r="KM16" s="17"/>
      <c r="KN16" s="17"/>
      <c r="KO16" s="17"/>
      <c r="KP16" s="17"/>
      <c r="KQ16" s="20"/>
    </row>
    <row r="17" spans="1:303" x14ac:dyDescent="0.35">
      <c r="A17" s="90">
        <f>Neu!B17</f>
        <v>0</v>
      </c>
      <c r="B17" s="93"/>
      <c r="C17" s="25"/>
      <c r="D17" s="20"/>
      <c r="E17" s="44"/>
      <c r="F17" s="20"/>
      <c r="G17" s="44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20"/>
      <c r="AH17" s="44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20"/>
      <c r="BI17" s="44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20"/>
      <c r="CJ17" s="44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20"/>
      <c r="DK17" s="44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20"/>
      <c r="EL17" s="44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20"/>
      <c r="FM17" s="44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20"/>
      <c r="GN17" s="44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20"/>
      <c r="HO17" s="44"/>
      <c r="HP17" s="17"/>
      <c r="HQ17" s="17"/>
      <c r="HR17" s="17"/>
      <c r="HS17" s="17"/>
      <c r="HT17" s="17"/>
      <c r="HU17" s="17"/>
      <c r="HV17" s="17"/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20"/>
      <c r="IP17" s="44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20"/>
      <c r="JQ17" s="44"/>
      <c r="JR17" s="17"/>
      <c r="JS17" s="17"/>
      <c r="JT17" s="17"/>
      <c r="JU17" s="17"/>
      <c r="JV17" s="17"/>
      <c r="JW17" s="17"/>
      <c r="JX17" s="17"/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20"/>
    </row>
    <row r="18" spans="1:303" x14ac:dyDescent="0.35">
      <c r="A18" s="90">
        <f>Neu!B18</f>
        <v>0</v>
      </c>
      <c r="B18" s="93"/>
      <c r="C18" s="25"/>
      <c r="D18" s="20"/>
      <c r="E18" s="44"/>
      <c r="F18" s="20"/>
      <c r="G18" s="44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20"/>
      <c r="AH18" s="44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20"/>
      <c r="BI18" s="44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20"/>
      <c r="CJ18" s="44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20"/>
      <c r="DK18" s="44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20"/>
      <c r="EL18" s="44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20"/>
      <c r="FM18" s="44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20"/>
      <c r="GN18" s="44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20"/>
      <c r="HO18" s="44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20"/>
      <c r="IP18" s="44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20"/>
      <c r="JQ18" s="44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20"/>
    </row>
    <row r="19" spans="1:303" x14ac:dyDescent="0.35">
      <c r="A19" s="90">
        <f>Neu!B19</f>
        <v>0</v>
      </c>
      <c r="B19" s="93"/>
      <c r="C19" s="25"/>
      <c r="D19" s="20"/>
      <c r="E19" s="44"/>
      <c r="F19" s="20"/>
      <c r="G19" s="44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20"/>
      <c r="AH19" s="44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20"/>
      <c r="BI19" s="44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20"/>
      <c r="CJ19" s="44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20"/>
      <c r="DK19" s="44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20"/>
      <c r="EL19" s="44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20"/>
      <c r="FM19" s="44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20"/>
      <c r="GN19" s="44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20"/>
      <c r="HO19" s="44"/>
      <c r="HP19" s="17"/>
      <c r="HQ19" s="17"/>
      <c r="HR19" s="17"/>
      <c r="HS19" s="17"/>
      <c r="HT19" s="17"/>
      <c r="HU19" s="17"/>
      <c r="HV19" s="17"/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20"/>
      <c r="IP19" s="44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20"/>
      <c r="JQ19" s="44"/>
      <c r="JR19" s="17"/>
      <c r="JS19" s="17"/>
      <c r="JT19" s="17"/>
      <c r="JU19" s="17"/>
      <c r="JV19" s="17"/>
      <c r="JW19" s="17"/>
      <c r="JX19" s="17"/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20"/>
    </row>
    <row r="20" spans="1:303" x14ac:dyDescent="0.35">
      <c r="A20" s="90">
        <f>Neu!B20</f>
        <v>0</v>
      </c>
      <c r="B20" s="93"/>
      <c r="C20" s="25"/>
      <c r="D20" s="20"/>
      <c r="E20" s="44"/>
      <c r="F20" s="20"/>
      <c r="G20" s="44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20"/>
      <c r="AH20" s="44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20"/>
      <c r="BI20" s="44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20"/>
      <c r="CJ20" s="44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20"/>
      <c r="DK20" s="44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20"/>
      <c r="EL20" s="44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20"/>
      <c r="FM20" s="44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20"/>
      <c r="GN20" s="44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20"/>
      <c r="HO20" s="44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20"/>
      <c r="IP20" s="44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20"/>
      <c r="JQ20" s="44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20"/>
    </row>
    <row r="21" spans="1:303" x14ac:dyDescent="0.35">
      <c r="A21" s="90">
        <f>Neu!B21</f>
        <v>0</v>
      </c>
      <c r="B21" s="93"/>
      <c r="C21" s="25"/>
      <c r="D21" s="20"/>
      <c r="E21" s="44"/>
      <c r="F21" s="20"/>
      <c r="G21" s="44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20"/>
      <c r="AH21" s="44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20"/>
      <c r="BI21" s="44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20"/>
      <c r="CJ21" s="44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20"/>
      <c r="DK21" s="44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20"/>
      <c r="EL21" s="44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20"/>
      <c r="FM21" s="44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20"/>
      <c r="GN21" s="44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20"/>
      <c r="HO21" s="44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20"/>
      <c r="IP21" s="44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20"/>
      <c r="JQ21" s="44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20"/>
    </row>
    <row r="22" spans="1:303" x14ac:dyDescent="0.35">
      <c r="A22" s="90">
        <f>Neu!B22</f>
        <v>0</v>
      </c>
      <c r="B22" s="93"/>
      <c r="C22" s="25"/>
      <c r="D22" s="20"/>
      <c r="E22" s="44"/>
      <c r="F22" s="20"/>
      <c r="G22" s="4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20"/>
      <c r="AH22" s="44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20"/>
      <c r="BI22" s="44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20"/>
      <c r="CJ22" s="44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20"/>
      <c r="DK22" s="44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20"/>
      <c r="EL22" s="44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20"/>
      <c r="FM22" s="44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20"/>
      <c r="GN22" s="44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20"/>
      <c r="HO22" s="44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20"/>
      <c r="IP22" s="44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20"/>
      <c r="JQ22" s="44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20"/>
    </row>
    <row r="23" spans="1:303" x14ac:dyDescent="0.35">
      <c r="A23" s="90">
        <f>Neu!B23</f>
        <v>0</v>
      </c>
      <c r="B23" s="93"/>
      <c r="C23" s="25"/>
      <c r="D23" s="20"/>
      <c r="E23" s="44"/>
      <c r="F23" s="20"/>
      <c r="G23" s="44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20"/>
      <c r="AH23" s="44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20"/>
      <c r="BI23" s="44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20"/>
      <c r="CJ23" s="44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20"/>
      <c r="DK23" s="44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20"/>
      <c r="EL23" s="44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20"/>
      <c r="FM23" s="44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20"/>
      <c r="GN23" s="44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20"/>
      <c r="HO23" s="44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20"/>
      <c r="IP23" s="44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20"/>
      <c r="JQ23" s="44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20"/>
    </row>
    <row r="24" spans="1:303" ht="15" thickBot="1" x14ac:dyDescent="0.4">
      <c r="A24" s="90">
        <f>Neu!B24</f>
        <v>0</v>
      </c>
      <c r="B24" s="94"/>
      <c r="C24" s="95"/>
      <c r="D24" s="46"/>
      <c r="E24" s="45"/>
      <c r="F24" s="46"/>
      <c r="G24" s="45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46"/>
      <c r="AH24" s="45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46"/>
      <c r="BI24" s="45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46"/>
      <c r="CJ24" s="45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46"/>
      <c r="DK24" s="45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46"/>
      <c r="EL24" s="45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46"/>
      <c r="FM24" s="45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46"/>
      <c r="GN24" s="45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46"/>
      <c r="HO24" s="45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46"/>
      <c r="IP24" s="45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46"/>
      <c r="JQ24" s="45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46"/>
    </row>
    <row r="25" spans="1:303" x14ac:dyDescent="0.35">
      <c r="A25" s="69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I25" s="24"/>
      <c r="DC25" s="24"/>
      <c r="DD25" s="24"/>
      <c r="DE25" s="24"/>
      <c r="DF25" s="24"/>
      <c r="DG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FE25" s="24"/>
      <c r="FF25" s="24"/>
      <c r="FG25" s="24"/>
      <c r="FH25" s="24"/>
      <c r="FI25" s="24"/>
      <c r="FL25" s="24"/>
      <c r="GL25" s="24"/>
      <c r="HM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/>
      <c r="IA25" s="24"/>
      <c r="IB25" s="24"/>
      <c r="IC25" s="24"/>
      <c r="ID25" s="24"/>
      <c r="IE25" s="24"/>
      <c r="IF25" s="24"/>
      <c r="IG25" s="24"/>
      <c r="IH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X25" s="14">
        <v>4</v>
      </c>
    </row>
    <row r="26" spans="1:303" x14ac:dyDescent="0.35"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I26" s="24"/>
      <c r="DC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FE26" s="24"/>
      <c r="FL26" s="24"/>
      <c r="GL26" s="24"/>
      <c r="HM26" s="24"/>
      <c r="HV26" s="24"/>
      <c r="HW26" s="24"/>
      <c r="HX26" s="24"/>
      <c r="HY26" s="24"/>
      <c r="HZ26" s="24"/>
      <c r="IA26" s="24"/>
      <c r="IB26" s="24"/>
      <c r="IC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</row>
    <row r="27" spans="1:303" x14ac:dyDescent="0.35"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DC27" s="24"/>
      <c r="DD27" s="24"/>
      <c r="DE27" s="24"/>
      <c r="DF27" s="24"/>
      <c r="DG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FE27" s="24"/>
      <c r="FF27" s="24"/>
      <c r="FG27" s="24"/>
      <c r="FH27" s="24"/>
      <c r="FI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GL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HM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W27" s="24"/>
      <c r="IX27" s="24"/>
      <c r="IY27" s="24"/>
      <c r="IZ27" s="24"/>
      <c r="JA27" s="24"/>
      <c r="JB27" s="24"/>
      <c r="JC27" s="24"/>
      <c r="JD27" s="24"/>
    </row>
    <row r="28" spans="1:303" x14ac:dyDescent="0.35"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</row>
    <row r="29" spans="1:303" ht="15" thickBot="1" x14ac:dyDescent="0.4">
      <c r="D29" s="61" t="s">
        <v>108</v>
      </c>
      <c r="O29" s="61" t="s">
        <v>109</v>
      </c>
      <c r="Z29" s="61" t="s">
        <v>110</v>
      </c>
      <c r="BD29" s="61" t="s">
        <v>173</v>
      </c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HO29" s="24"/>
    </row>
    <row r="30" spans="1:303" ht="15" thickBot="1" x14ac:dyDescent="0.4">
      <c r="D30" s="76" t="s">
        <v>0</v>
      </c>
      <c r="E30" s="57" t="s">
        <v>103</v>
      </c>
      <c r="F30" s="58" t="s">
        <v>105</v>
      </c>
      <c r="G30" s="59" t="s">
        <v>106</v>
      </c>
      <c r="H30" s="57" t="s">
        <v>103</v>
      </c>
      <c r="I30" s="58" t="s">
        <v>105</v>
      </c>
      <c r="J30" s="59" t="s">
        <v>106</v>
      </c>
      <c r="K30" s="57" t="s">
        <v>103</v>
      </c>
      <c r="L30" s="58" t="s">
        <v>105</v>
      </c>
      <c r="M30" s="59" t="s">
        <v>106</v>
      </c>
      <c r="O30" s="60" t="s">
        <v>0</v>
      </c>
      <c r="P30" s="57" t="s">
        <v>107</v>
      </c>
      <c r="Q30" s="59" t="s">
        <v>103</v>
      </c>
      <c r="R30" s="57" t="s">
        <v>107</v>
      </c>
      <c r="S30" s="59" t="s">
        <v>103</v>
      </c>
      <c r="T30" s="57" t="s">
        <v>107</v>
      </c>
      <c r="U30" s="59" t="s">
        <v>103</v>
      </c>
      <c r="V30" s="57" t="s">
        <v>107</v>
      </c>
      <c r="W30" s="59" t="s">
        <v>103</v>
      </c>
      <c r="X30" s="24"/>
      <c r="Z30" s="15" t="s">
        <v>0</v>
      </c>
      <c r="AA30" s="57" t="s">
        <v>103</v>
      </c>
      <c r="AB30" s="58" t="s">
        <v>107</v>
      </c>
      <c r="AC30" s="58" t="s">
        <v>121</v>
      </c>
      <c r="AD30" s="58" t="s">
        <v>120</v>
      </c>
      <c r="AE30" s="58" t="s">
        <v>118</v>
      </c>
      <c r="AF30" s="58" t="s">
        <v>119</v>
      </c>
      <c r="AG30" s="59" t="s">
        <v>116</v>
      </c>
      <c r="AH30" s="57" t="s">
        <v>103</v>
      </c>
      <c r="AI30" s="58" t="s">
        <v>107</v>
      </c>
      <c r="AJ30" s="58" t="s">
        <v>121</v>
      </c>
      <c r="AK30" s="58" t="s">
        <v>120</v>
      </c>
      <c r="AL30" s="58" t="s">
        <v>118</v>
      </c>
      <c r="AM30" s="58" t="s">
        <v>119</v>
      </c>
      <c r="AN30" s="59" t="s">
        <v>116</v>
      </c>
      <c r="AO30" s="57" t="s">
        <v>103</v>
      </c>
      <c r="AP30" s="58" t="s">
        <v>107</v>
      </c>
      <c r="AQ30" s="58" t="s">
        <v>121</v>
      </c>
      <c r="AR30" s="58" t="s">
        <v>120</v>
      </c>
      <c r="AS30" s="58" t="s">
        <v>118</v>
      </c>
      <c r="AT30" s="58" t="s">
        <v>119</v>
      </c>
      <c r="AU30" s="59" t="s">
        <v>116</v>
      </c>
      <c r="AV30" s="57" t="s">
        <v>103</v>
      </c>
      <c r="AW30" s="58" t="s">
        <v>107</v>
      </c>
      <c r="AX30" s="58" t="s">
        <v>121</v>
      </c>
      <c r="AY30" s="58" t="s">
        <v>120</v>
      </c>
      <c r="AZ30" s="58" t="s">
        <v>118</v>
      </c>
      <c r="BA30" s="58" t="s">
        <v>119</v>
      </c>
      <c r="BB30" s="59" t="s">
        <v>116</v>
      </c>
      <c r="BD30" s="76" t="s">
        <v>0</v>
      </c>
      <c r="BE30" s="57" t="s">
        <v>174</v>
      </c>
      <c r="DN30" s="24"/>
      <c r="DO30" s="24"/>
      <c r="DP30" s="24"/>
      <c r="DQ30" s="24"/>
      <c r="DR30" s="24"/>
      <c r="DS30" s="24"/>
      <c r="DT30" s="24"/>
      <c r="DU30" s="24"/>
      <c r="DV30" s="24"/>
      <c r="HO30" s="24"/>
    </row>
    <row r="31" spans="1:303" x14ac:dyDescent="0.35">
      <c r="D31" s="2" t="str">
        <f>Neu!$B4</f>
        <v>B4</v>
      </c>
      <c r="E31" s="21" t="s">
        <v>104</v>
      </c>
      <c r="F31" s="17">
        <v>10</v>
      </c>
      <c r="G31" s="17">
        <v>9</v>
      </c>
      <c r="H31" s="44"/>
      <c r="I31" s="17"/>
      <c r="J31" s="20"/>
      <c r="K31" s="44"/>
      <c r="L31" s="17"/>
      <c r="M31" s="20"/>
      <c r="O31" s="2" t="str">
        <f>Neu!$B4</f>
        <v>B4</v>
      </c>
      <c r="P31" s="44" t="s">
        <v>160</v>
      </c>
      <c r="Q31" s="20" t="s">
        <v>104</v>
      </c>
      <c r="R31" s="44"/>
      <c r="S31" s="20"/>
      <c r="T31" s="44"/>
      <c r="U31" s="20"/>
      <c r="V31" s="44"/>
      <c r="W31" s="20"/>
      <c r="Z31" s="2" t="str">
        <f>Neu!$B4</f>
        <v>B4</v>
      </c>
      <c r="AA31" s="44" t="s">
        <v>104</v>
      </c>
      <c r="AB31" s="17" t="s">
        <v>160</v>
      </c>
      <c r="AC31" s="17">
        <v>3</v>
      </c>
      <c r="AD31" s="35">
        <v>2</v>
      </c>
      <c r="AE31" s="17">
        <v>60</v>
      </c>
      <c r="AF31" s="17"/>
      <c r="AG31" s="20">
        <v>17</v>
      </c>
      <c r="AH31" s="44" t="s">
        <v>104</v>
      </c>
      <c r="AI31" s="17" t="s">
        <v>161</v>
      </c>
      <c r="AJ31" s="17">
        <v>1</v>
      </c>
      <c r="AK31" s="35">
        <v>1</v>
      </c>
      <c r="AL31" s="17">
        <v>0.01</v>
      </c>
      <c r="AM31" s="17"/>
      <c r="AN31" s="20"/>
      <c r="AO31" s="44" t="s">
        <v>104</v>
      </c>
      <c r="AP31" s="17" t="s">
        <v>175</v>
      </c>
      <c r="AQ31" s="17">
        <v>1</v>
      </c>
      <c r="AR31" s="17">
        <v>1</v>
      </c>
      <c r="AS31" s="17">
        <v>3</v>
      </c>
      <c r="AT31" s="17"/>
      <c r="AU31" s="20"/>
      <c r="AV31" s="44"/>
      <c r="AW31" s="17"/>
      <c r="AX31" s="17"/>
      <c r="AY31" s="17"/>
      <c r="AZ31" s="17"/>
      <c r="BA31" s="17"/>
      <c r="BB31" s="20"/>
      <c r="BD31" s="2" t="str">
        <f>Neu!$B4</f>
        <v>B4</v>
      </c>
      <c r="BE31" s="44">
        <v>-60</v>
      </c>
      <c r="DN31" s="24"/>
      <c r="DO31" s="24"/>
      <c r="DP31" s="24"/>
      <c r="DQ31" s="24"/>
      <c r="DR31" s="24"/>
      <c r="DS31" s="24"/>
      <c r="DT31" s="24"/>
      <c r="DU31" s="24"/>
      <c r="DV31" s="24"/>
      <c r="HO31" s="24"/>
    </row>
    <row r="32" spans="1:303" x14ac:dyDescent="0.35">
      <c r="D32" s="3">
        <f>Neu!$B5</f>
        <v>0</v>
      </c>
      <c r="E32" s="21"/>
      <c r="F32" s="17"/>
      <c r="G32" s="17"/>
      <c r="H32" s="44"/>
      <c r="I32" s="17"/>
      <c r="J32" s="20"/>
      <c r="K32" s="44"/>
      <c r="L32" s="17"/>
      <c r="M32" s="20"/>
      <c r="O32" s="3">
        <f>Neu!$B5</f>
        <v>0</v>
      </c>
      <c r="P32" s="44"/>
      <c r="Q32" s="20"/>
      <c r="R32" s="44"/>
      <c r="S32" s="20"/>
      <c r="T32" s="44"/>
      <c r="U32" s="20"/>
      <c r="V32" s="44"/>
      <c r="W32" s="20"/>
      <c r="Z32" s="3">
        <f>Neu!$B5</f>
        <v>0</v>
      </c>
      <c r="AA32" s="44"/>
      <c r="AB32" s="17"/>
      <c r="AC32" s="17"/>
      <c r="AD32" s="35"/>
      <c r="AE32" s="17"/>
      <c r="AF32" s="17"/>
      <c r="AG32" s="20"/>
      <c r="AH32" s="44"/>
      <c r="AI32" s="17"/>
      <c r="AJ32" s="17"/>
      <c r="AK32" s="35"/>
      <c r="AL32" s="17"/>
      <c r="AM32" s="17"/>
      <c r="AN32" s="20"/>
      <c r="AO32" s="44"/>
      <c r="AP32" s="17"/>
      <c r="AQ32" s="17"/>
      <c r="AR32" s="17"/>
      <c r="AS32" s="17"/>
      <c r="AT32" s="17"/>
      <c r="AU32" s="20"/>
      <c r="AV32" s="44"/>
      <c r="AW32" s="17"/>
      <c r="AX32" s="17"/>
      <c r="AY32" s="17"/>
      <c r="AZ32" s="17"/>
      <c r="BA32" s="17"/>
      <c r="BB32" s="20"/>
      <c r="BD32" s="3">
        <f>Neu!$B5</f>
        <v>0</v>
      </c>
      <c r="BE32" s="44">
        <v>-60</v>
      </c>
      <c r="DN32" s="24"/>
      <c r="DO32" s="24"/>
      <c r="DP32" s="24"/>
      <c r="DQ32" s="24"/>
      <c r="DR32" s="24"/>
      <c r="DS32" s="24"/>
      <c r="DT32" s="24"/>
      <c r="DU32" s="24"/>
      <c r="DV32" s="24"/>
    </row>
    <row r="33" spans="4:126" x14ac:dyDescent="0.35">
      <c r="D33" s="3">
        <f>Neu!$B6</f>
        <v>0</v>
      </c>
      <c r="E33" s="21"/>
      <c r="F33" s="17"/>
      <c r="G33" s="17"/>
      <c r="H33" s="44"/>
      <c r="I33" s="17"/>
      <c r="J33" s="20"/>
      <c r="K33" s="44"/>
      <c r="L33" s="17"/>
      <c r="M33" s="20"/>
      <c r="O33" s="3">
        <f>Neu!$B6</f>
        <v>0</v>
      </c>
      <c r="P33" s="44"/>
      <c r="Q33" s="20"/>
      <c r="R33" s="44"/>
      <c r="S33" s="20"/>
      <c r="T33" s="44"/>
      <c r="U33" s="20"/>
      <c r="V33" s="44"/>
      <c r="W33" s="20"/>
      <c r="Z33" s="3">
        <f>Neu!$B6</f>
        <v>0</v>
      </c>
      <c r="AA33" s="44"/>
      <c r="AB33" s="17"/>
      <c r="AC33" s="17"/>
      <c r="AD33" s="35"/>
      <c r="AE33" s="17"/>
      <c r="AF33" s="17"/>
      <c r="AG33" s="20"/>
      <c r="AH33" s="44"/>
      <c r="AI33" s="17"/>
      <c r="AJ33" s="17"/>
      <c r="AK33" s="35"/>
      <c r="AL33" s="17"/>
      <c r="AM33" s="17"/>
      <c r="AN33" s="20"/>
      <c r="AO33" s="44"/>
      <c r="AP33" s="17"/>
      <c r="AQ33" s="17"/>
      <c r="AR33" s="17"/>
      <c r="AS33" s="17"/>
      <c r="AT33" s="17"/>
      <c r="AU33" s="20"/>
      <c r="AV33" s="44"/>
      <c r="AW33" s="17"/>
      <c r="AX33" s="17"/>
      <c r="AY33" s="17"/>
      <c r="AZ33" s="17"/>
      <c r="BA33" s="17"/>
      <c r="BB33" s="20"/>
      <c r="BD33" s="3">
        <f>Neu!$B6</f>
        <v>0</v>
      </c>
      <c r="BE33" s="44">
        <v>-60</v>
      </c>
      <c r="DN33" s="24"/>
      <c r="DO33" s="24"/>
      <c r="DP33" s="24"/>
      <c r="DQ33" s="24"/>
      <c r="DR33" s="24"/>
      <c r="DS33" s="24"/>
      <c r="DT33" s="24"/>
      <c r="DU33" s="24"/>
      <c r="DV33" s="24"/>
    </row>
    <row r="34" spans="4:126" x14ac:dyDescent="0.35">
      <c r="D34" s="3">
        <f>Neu!$B7</f>
        <v>0</v>
      </c>
      <c r="E34" s="21"/>
      <c r="F34" s="17"/>
      <c r="G34" s="20"/>
      <c r="H34" s="44"/>
      <c r="I34" s="17"/>
      <c r="J34" s="20"/>
      <c r="K34" s="44"/>
      <c r="L34" s="17"/>
      <c r="M34" s="20"/>
      <c r="O34" s="3">
        <f>Neu!$B7</f>
        <v>0</v>
      </c>
      <c r="P34" s="44"/>
      <c r="Q34" s="20"/>
      <c r="R34" s="44"/>
      <c r="S34" s="20"/>
      <c r="T34" s="44"/>
      <c r="U34" s="20"/>
      <c r="V34" s="44"/>
      <c r="W34" s="20"/>
      <c r="Z34" s="3">
        <f>Neu!$B7</f>
        <v>0</v>
      </c>
      <c r="AA34" s="44"/>
      <c r="AB34" s="17"/>
      <c r="AC34" s="17"/>
      <c r="AD34" s="35"/>
      <c r="AE34" s="17"/>
      <c r="AF34" s="17"/>
      <c r="AG34" s="20"/>
      <c r="AH34" s="44"/>
      <c r="AI34" s="17"/>
      <c r="AJ34" s="17"/>
      <c r="AK34" s="17"/>
      <c r="AL34" s="17"/>
      <c r="AM34" s="17"/>
      <c r="AN34" s="20"/>
      <c r="AO34" s="44"/>
      <c r="AP34" s="17"/>
      <c r="AQ34" s="17"/>
      <c r="AR34" s="17"/>
      <c r="AS34" s="17"/>
      <c r="AT34" s="17"/>
      <c r="AU34" s="20"/>
      <c r="AV34" s="44"/>
      <c r="AW34" s="17"/>
      <c r="AX34" s="17"/>
      <c r="AY34" s="17"/>
      <c r="AZ34" s="17"/>
      <c r="BA34" s="17"/>
      <c r="BB34" s="20"/>
      <c r="BD34" s="3">
        <f>Neu!$B7</f>
        <v>0</v>
      </c>
      <c r="BE34" s="44">
        <v>-60</v>
      </c>
    </row>
    <row r="35" spans="4:126" x14ac:dyDescent="0.35">
      <c r="D35" s="3">
        <f>Neu!$B8</f>
        <v>0</v>
      </c>
      <c r="E35" s="21"/>
      <c r="F35" s="17"/>
      <c r="G35" s="20"/>
      <c r="H35" s="44"/>
      <c r="I35" s="17"/>
      <c r="J35" s="20"/>
      <c r="K35" s="44"/>
      <c r="L35" s="17"/>
      <c r="M35" s="20"/>
      <c r="O35" s="3">
        <f>Neu!$B8</f>
        <v>0</v>
      </c>
      <c r="P35" s="44"/>
      <c r="Q35" s="20"/>
      <c r="R35" s="44"/>
      <c r="S35" s="20"/>
      <c r="T35" s="44"/>
      <c r="U35" s="20"/>
      <c r="V35" s="44"/>
      <c r="W35" s="20"/>
      <c r="Z35" s="3">
        <f>Neu!$B8</f>
        <v>0</v>
      </c>
      <c r="AA35" s="44"/>
      <c r="AB35" s="17"/>
      <c r="AC35" s="17"/>
      <c r="AD35" s="35"/>
      <c r="AE35" s="17"/>
      <c r="AF35" s="17"/>
      <c r="AG35" s="20"/>
      <c r="AH35" s="44"/>
      <c r="AI35" s="17"/>
      <c r="AJ35" s="17"/>
      <c r="AK35" s="35"/>
      <c r="AL35" s="17"/>
      <c r="AM35" s="17"/>
      <c r="AN35" s="20"/>
      <c r="AO35" s="44"/>
      <c r="AP35" s="17"/>
      <c r="AQ35" s="17"/>
      <c r="AR35" s="17"/>
      <c r="AS35" s="17"/>
      <c r="AT35" s="17"/>
      <c r="AU35" s="20"/>
      <c r="AV35" s="44"/>
      <c r="AW35" s="17"/>
      <c r="AX35" s="17"/>
      <c r="AY35" s="17"/>
      <c r="AZ35" s="17"/>
      <c r="BA35" s="17"/>
      <c r="BB35" s="20"/>
      <c r="BD35" s="3">
        <f>Neu!$B8</f>
        <v>0</v>
      </c>
      <c r="BE35" s="44">
        <v>-60</v>
      </c>
    </row>
    <row r="36" spans="4:126" x14ac:dyDescent="0.35">
      <c r="D36" s="3">
        <f>Neu!$B9</f>
        <v>0</v>
      </c>
      <c r="E36" s="21"/>
      <c r="F36" s="17"/>
      <c r="G36" s="20"/>
      <c r="H36" s="44"/>
      <c r="I36" s="17"/>
      <c r="J36" s="20"/>
      <c r="K36" s="44"/>
      <c r="L36" s="17"/>
      <c r="M36" s="20"/>
      <c r="O36" s="3">
        <f>Neu!$B9</f>
        <v>0</v>
      </c>
      <c r="P36" s="44"/>
      <c r="Q36" s="20"/>
      <c r="R36" s="44"/>
      <c r="S36" s="20"/>
      <c r="T36" s="44"/>
      <c r="U36" s="20"/>
      <c r="V36" s="44"/>
      <c r="W36" s="20"/>
      <c r="Z36" s="3">
        <f>Neu!$B9</f>
        <v>0</v>
      </c>
      <c r="AA36" s="44"/>
      <c r="AB36" s="17"/>
      <c r="AC36" s="17"/>
      <c r="AD36" s="35"/>
      <c r="AE36" s="17"/>
      <c r="AF36" s="17"/>
      <c r="AG36" s="20"/>
      <c r="AH36" s="44"/>
      <c r="AI36" s="17"/>
      <c r="AJ36" s="17"/>
      <c r="AK36" s="17"/>
      <c r="AL36" s="17"/>
      <c r="AM36" s="17"/>
      <c r="AN36" s="20"/>
      <c r="AO36" s="44"/>
      <c r="AP36" s="17"/>
      <c r="AQ36" s="17"/>
      <c r="AR36" s="17"/>
      <c r="AS36" s="17"/>
      <c r="AT36" s="17"/>
      <c r="AU36" s="20"/>
      <c r="AV36" s="44"/>
      <c r="AW36" s="17"/>
      <c r="AX36" s="17"/>
      <c r="AY36" s="17"/>
      <c r="AZ36" s="17"/>
      <c r="BA36" s="17"/>
      <c r="BB36" s="20"/>
      <c r="BD36" s="3">
        <f>Neu!$B9</f>
        <v>0</v>
      </c>
      <c r="BE36" s="44">
        <v>-60</v>
      </c>
    </row>
    <row r="37" spans="4:126" x14ac:dyDescent="0.35">
      <c r="D37" s="3">
        <f>Neu!$B10</f>
        <v>0</v>
      </c>
      <c r="E37" s="21"/>
      <c r="F37" s="17"/>
      <c r="G37" s="20"/>
      <c r="H37" s="44"/>
      <c r="I37" s="17"/>
      <c r="J37" s="20"/>
      <c r="K37" s="44"/>
      <c r="L37" s="17"/>
      <c r="M37" s="20"/>
      <c r="O37" s="3">
        <f>Neu!$B10</f>
        <v>0</v>
      </c>
      <c r="P37" s="44"/>
      <c r="Q37" s="20"/>
      <c r="R37" s="44"/>
      <c r="S37" s="20"/>
      <c r="T37" s="44"/>
      <c r="U37" s="20"/>
      <c r="V37" s="44"/>
      <c r="W37" s="20"/>
      <c r="Z37" s="3">
        <f>Neu!$B10</f>
        <v>0</v>
      </c>
      <c r="AA37" s="44"/>
      <c r="AB37" s="17"/>
      <c r="AC37" s="17"/>
      <c r="AD37" s="35"/>
      <c r="AE37" s="17"/>
      <c r="AF37" s="17"/>
      <c r="AG37" s="20"/>
      <c r="AH37" s="44"/>
      <c r="AI37" s="17"/>
      <c r="AJ37" s="17"/>
      <c r="AK37" s="17"/>
      <c r="AL37" s="17"/>
      <c r="AM37" s="17"/>
      <c r="AN37" s="20"/>
      <c r="AO37" s="44"/>
      <c r="AP37" s="17"/>
      <c r="AQ37" s="17"/>
      <c r="AR37" s="17"/>
      <c r="AS37" s="17"/>
      <c r="AT37" s="17"/>
      <c r="AU37" s="20"/>
      <c r="AV37" s="44"/>
      <c r="AW37" s="17"/>
      <c r="AX37" s="17"/>
      <c r="AY37" s="17"/>
      <c r="AZ37" s="17"/>
      <c r="BA37" s="17"/>
      <c r="BB37" s="20"/>
      <c r="BD37" s="3">
        <f>Neu!$B10</f>
        <v>0</v>
      </c>
      <c r="BE37" s="44">
        <v>-60</v>
      </c>
    </row>
    <row r="38" spans="4:126" x14ac:dyDescent="0.35">
      <c r="D38" s="3">
        <f>Neu!$B11</f>
        <v>0</v>
      </c>
      <c r="E38" s="21"/>
      <c r="F38" s="17"/>
      <c r="G38" s="20"/>
      <c r="H38" s="44"/>
      <c r="I38" s="17"/>
      <c r="J38" s="20"/>
      <c r="K38" s="44"/>
      <c r="L38" s="17"/>
      <c r="M38" s="20"/>
      <c r="O38" s="3">
        <f>Neu!$B11</f>
        <v>0</v>
      </c>
      <c r="P38" s="44"/>
      <c r="Q38" s="20"/>
      <c r="R38" s="44"/>
      <c r="S38" s="20"/>
      <c r="T38" s="44"/>
      <c r="U38" s="20"/>
      <c r="V38" s="44"/>
      <c r="W38" s="20"/>
      <c r="Z38" s="3">
        <f>Neu!$B11</f>
        <v>0</v>
      </c>
      <c r="AA38" s="44"/>
      <c r="AB38" s="17"/>
      <c r="AC38" s="17"/>
      <c r="AD38" s="35"/>
      <c r="AE38" s="17"/>
      <c r="AF38" s="17"/>
      <c r="AG38" s="20"/>
      <c r="AH38" s="44"/>
      <c r="AI38" s="17"/>
      <c r="AJ38" s="17"/>
      <c r="AK38" s="17"/>
      <c r="AL38" s="17"/>
      <c r="AM38" s="17"/>
      <c r="AN38" s="20"/>
      <c r="AO38" s="44"/>
      <c r="AP38" s="17"/>
      <c r="AQ38" s="17"/>
      <c r="AR38" s="17"/>
      <c r="AS38" s="17"/>
      <c r="AT38" s="17"/>
      <c r="AU38" s="20"/>
      <c r="AV38" s="44"/>
      <c r="AW38" s="17"/>
      <c r="AX38" s="17"/>
      <c r="AY38" s="17"/>
      <c r="AZ38" s="17"/>
      <c r="BA38" s="17"/>
      <c r="BB38" s="20"/>
      <c r="BD38" s="3">
        <f>Neu!$B11</f>
        <v>0</v>
      </c>
      <c r="BE38" s="44">
        <v>-60</v>
      </c>
    </row>
    <row r="39" spans="4:126" x14ac:dyDescent="0.35">
      <c r="D39" s="3">
        <f>Neu!$B12</f>
        <v>0</v>
      </c>
      <c r="E39" s="21"/>
      <c r="F39" s="17"/>
      <c r="G39" s="20"/>
      <c r="H39" s="44"/>
      <c r="I39" s="17"/>
      <c r="J39" s="20"/>
      <c r="K39" s="44"/>
      <c r="L39" s="17"/>
      <c r="M39" s="20"/>
      <c r="O39" s="3">
        <f>Neu!$B12</f>
        <v>0</v>
      </c>
      <c r="P39" s="44"/>
      <c r="Q39" s="20"/>
      <c r="R39" s="44"/>
      <c r="S39" s="20"/>
      <c r="T39" s="44"/>
      <c r="U39" s="20"/>
      <c r="V39" s="44"/>
      <c r="W39" s="20"/>
      <c r="Z39" s="3">
        <f>Neu!$B12</f>
        <v>0</v>
      </c>
      <c r="AA39" s="44"/>
      <c r="AB39" s="17"/>
      <c r="AC39" s="17"/>
      <c r="AD39" s="35"/>
      <c r="AE39" s="17"/>
      <c r="AF39" s="17"/>
      <c r="AG39" s="20"/>
      <c r="AH39" s="44"/>
      <c r="AI39" s="17"/>
      <c r="AJ39" s="17"/>
      <c r="AK39" s="17"/>
      <c r="AL39" s="17"/>
      <c r="AM39" s="17"/>
      <c r="AN39" s="20"/>
      <c r="AO39" s="44"/>
      <c r="AP39" s="17"/>
      <c r="AQ39" s="17"/>
      <c r="AR39" s="17"/>
      <c r="AS39" s="17"/>
      <c r="AT39" s="17"/>
      <c r="AU39" s="20"/>
      <c r="AV39" s="44"/>
      <c r="AW39" s="17"/>
      <c r="AX39" s="17"/>
      <c r="AY39" s="17"/>
      <c r="AZ39" s="17"/>
      <c r="BA39" s="17"/>
      <c r="BB39" s="20"/>
      <c r="BD39" s="3">
        <f>Neu!$B12</f>
        <v>0</v>
      </c>
      <c r="BE39" s="44">
        <v>-60</v>
      </c>
    </row>
    <row r="40" spans="4:126" x14ac:dyDescent="0.35">
      <c r="D40" s="3">
        <f>Neu!$B13</f>
        <v>0</v>
      </c>
      <c r="E40" s="21"/>
      <c r="F40" s="17"/>
      <c r="G40" s="20"/>
      <c r="H40" s="44"/>
      <c r="I40" s="17"/>
      <c r="J40" s="20"/>
      <c r="K40" s="44"/>
      <c r="L40" s="17"/>
      <c r="M40" s="20"/>
      <c r="O40" s="3">
        <f>Neu!$B13</f>
        <v>0</v>
      </c>
      <c r="P40" s="44"/>
      <c r="Q40" s="20"/>
      <c r="R40" s="44"/>
      <c r="S40" s="20"/>
      <c r="T40" s="44"/>
      <c r="U40" s="20"/>
      <c r="V40" s="44"/>
      <c r="W40" s="20"/>
      <c r="Z40" s="3">
        <f>Neu!$B13</f>
        <v>0</v>
      </c>
      <c r="AA40" s="44"/>
      <c r="AB40" s="17"/>
      <c r="AC40" s="17"/>
      <c r="AD40" s="35"/>
      <c r="AE40" s="17"/>
      <c r="AF40" s="17"/>
      <c r="AG40" s="20"/>
      <c r="AH40" s="44"/>
      <c r="AI40" s="17"/>
      <c r="AJ40" s="17"/>
      <c r="AK40" s="17"/>
      <c r="AL40" s="17"/>
      <c r="AM40" s="17"/>
      <c r="AN40" s="20"/>
      <c r="AO40" s="44"/>
      <c r="AP40" s="17"/>
      <c r="AQ40" s="17"/>
      <c r="AR40" s="17"/>
      <c r="AS40" s="17"/>
      <c r="AT40" s="17"/>
      <c r="AU40" s="20"/>
      <c r="AV40" s="44"/>
      <c r="AW40" s="17"/>
      <c r="AX40" s="17"/>
      <c r="AY40" s="17"/>
      <c r="AZ40" s="17"/>
      <c r="BA40" s="17"/>
      <c r="BB40" s="20"/>
      <c r="BD40" s="3">
        <f>Neu!$B13</f>
        <v>0</v>
      </c>
      <c r="BE40" s="44">
        <v>-60</v>
      </c>
    </row>
    <row r="41" spans="4:126" x14ac:dyDescent="0.35">
      <c r="D41" s="3">
        <f>Neu!$B14</f>
        <v>0</v>
      </c>
      <c r="E41" s="21"/>
      <c r="F41" s="17"/>
      <c r="G41" s="20"/>
      <c r="H41" s="44"/>
      <c r="I41" s="17"/>
      <c r="J41" s="20"/>
      <c r="K41" s="44"/>
      <c r="L41" s="17"/>
      <c r="M41" s="20"/>
      <c r="O41" s="3">
        <f>Neu!$B14</f>
        <v>0</v>
      </c>
      <c r="P41" s="44"/>
      <c r="Q41" s="20"/>
      <c r="R41" s="44"/>
      <c r="S41" s="20"/>
      <c r="T41" s="44"/>
      <c r="U41" s="20"/>
      <c r="V41" s="44"/>
      <c r="W41" s="20"/>
      <c r="Z41" s="3">
        <f>Neu!$B14</f>
        <v>0</v>
      </c>
      <c r="AA41" s="44"/>
      <c r="AB41" s="17"/>
      <c r="AC41" s="17"/>
      <c r="AD41" s="35"/>
      <c r="AE41" s="17"/>
      <c r="AF41" s="17"/>
      <c r="AG41" s="20"/>
      <c r="AH41" s="44"/>
      <c r="AI41" s="17"/>
      <c r="AJ41" s="17"/>
      <c r="AK41" s="17"/>
      <c r="AL41" s="17"/>
      <c r="AM41" s="17"/>
      <c r="AN41" s="20"/>
      <c r="AO41" s="44"/>
      <c r="AP41" s="17"/>
      <c r="AQ41" s="17"/>
      <c r="AR41" s="17"/>
      <c r="AS41" s="17"/>
      <c r="AT41" s="17"/>
      <c r="AU41" s="20"/>
      <c r="AV41" s="44"/>
      <c r="AW41" s="17"/>
      <c r="AX41" s="17"/>
      <c r="AY41" s="17"/>
      <c r="AZ41" s="17"/>
      <c r="BA41" s="17"/>
      <c r="BB41" s="20"/>
      <c r="BD41" s="3">
        <f>Neu!$B14</f>
        <v>0</v>
      </c>
      <c r="BE41" s="44">
        <v>-60</v>
      </c>
    </row>
    <row r="42" spans="4:126" x14ac:dyDescent="0.35">
      <c r="D42" s="3">
        <f>Neu!$B15</f>
        <v>0</v>
      </c>
      <c r="E42" s="21"/>
      <c r="F42" s="17"/>
      <c r="G42" s="20"/>
      <c r="H42" s="44"/>
      <c r="I42" s="17"/>
      <c r="J42" s="20"/>
      <c r="K42" s="44"/>
      <c r="L42" s="17"/>
      <c r="M42" s="20"/>
      <c r="O42" s="3">
        <f>Neu!$B15</f>
        <v>0</v>
      </c>
      <c r="P42" s="44"/>
      <c r="Q42" s="20"/>
      <c r="R42" s="44"/>
      <c r="S42" s="20"/>
      <c r="T42" s="44"/>
      <c r="U42" s="20"/>
      <c r="V42" s="44"/>
      <c r="W42" s="20"/>
      <c r="Z42" s="3">
        <f>Neu!$B15</f>
        <v>0</v>
      </c>
      <c r="AA42" s="44"/>
      <c r="AB42" s="17"/>
      <c r="AC42" s="17"/>
      <c r="AD42" s="35"/>
      <c r="AE42" s="17"/>
      <c r="AF42" s="17"/>
      <c r="AG42" s="20"/>
      <c r="AH42" s="44"/>
      <c r="AI42" s="17"/>
      <c r="AJ42" s="17"/>
      <c r="AK42" s="17"/>
      <c r="AL42" s="17"/>
      <c r="AM42" s="17"/>
      <c r="AN42" s="20"/>
      <c r="AO42" s="44"/>
      <c r="AP42" s="17"/>
      <c r="AQ42" s="17"/>
      <c r="AR42" s="17"/>
      <c r="AS42" s="17"/>
      <c r="AT42" s="17"/>
      <c r="AU42" s="20"/>
      <c r="AV42" s="44"/>
      <c r="AW42" s="17"/>
      <c r="AX42" s="17"/>
      <c r="AY42" s="17"/>
      <c r="AZ42" s="17"/>
      <c r="BA42" s="17"/>
      <c r="BB42" s="20"/>
      <c r="BD42" s="3">
        <f>Neu!$B15</f>
        <v>0</v>
      </c>
      <c r="BE42" s="44">
        <v>-60</v>
      </c>
    </row>
    <row r="43" spans="4:126" x14ac:dyDescent="0.35">
      <c r="D43" s="3">
        <f>Neu!$B16</f>
        <v>0</v>
      </c>
      <c r="E43" s="21"/>
      <c r="F43" s="17"/>
      <c r="G43" s="20"/>
      <c r="H43" s="44"/>
      <c r="I43" s="17"/>
      <c r="J43" s="20"/>
      <c r="K43" s="44"/>
      <c r="L43" s="17"/>
      <c r="M43" s="20"/>
      <c r="O43" s="3">
        <f>Neu!$B16</f>
        <v>0</v>
      </c>
      <c r="P43" s="44"/>
      <c r="Q43" s="20"/>
      <c r="R43" s="44"/>
      <c r="S43" s="20"/>
      <c r="T43" s="44"/>
      <c r="U43" s="20"/>
      <c r="V43" s="44"/>
      <c r="W43" s="20"/>
      <c r="Z43" s="3">
        <f>Neu!$B16</f>
        <v>0</v>
      </c>
      <c r="AA43" s="44"/>
      <c r="AB43" s="17"/>
      <c r="AC43" s="17"/>
      <c r="AD43" s="35"/>
      <c r="AE43" s="17"/>
      <c r="AF43" s="17"/>
      <c r="AG43" s="20"/>
      <c r="AH43" s="44"/>
      <c r="AI43" s="17"/>
      <c r="AJ43" s="17"/>
      <c r="AK43" s="17"/>
      <c r="AL43" s="17"/>
      <c r="AM43" s="17"/>
      <c r="AN43" s="20"/>
      <c r="AO43" s="44"/>
      <c r="AP43" s="17"/>
      <c r="AQ43" s="17"/>
      <c r="AR43" s="17"/>
      <c r="AS43" s="17"/>
      <c r="AT43" s="17"/>
      <c r="AU43" s="20"/>
      <c r="AV43" s="44"/>
      <c r="AW43" s="17"/>
      <c r="AX43" s="17"/>
      <c r="AY43" s="17"/>
      <c r="AZ43" s="17"/>
      <c r="BA43" s="17"/>
      <c r="BB43" s="20"/>
      <c r="BD43" s="3">
        <f>Neu!$B16</f>
        <v>0</v>
      </c>
      <c r="BE43" s="44">
        <v>-60</v>
      </c>
    </row>
    <row r="44" spans="4:126" x14ac:dyDescent="0.35">
      <c r="D44" s="3">
        <f>Neu!$B17</f>
        <v>0</v>
      </c>
      <c r="E44" s="21"/>
      <c r="F44" s="17"/>
      <c r="G44" s="20"/>
      <c r="H44" s="44"/>
      <c r="I44" s="17"/>
      <c r="J44" s="20"/>
      <c r="K44" s="44"/>
      <c r="L44" s="17"/>
      <c r="M44" s="20"/>
      <c r="O44" s="3">
        <f>Neu!$B17</f>
        <v>0</v>
      </c>
      <c r="P44" s="44"/>
      <c r="Q44" s="20"/>
      <c r="R44" s="44"/>
      <c r="S44" s="20"/>
      <c r="T44" s="44"/>
      <c r="U44" s="20"/>
      <c r="V44" s="44"/>
      <c r="W44" s="20"/>
      <c r="Z44" s="3">
        <f>Neu!$B17</f>
        <v>0</v>
      </c>
      <c r="AA44" s="44"/>
      <c r="AB44" s="17"/>
      <c r="AC44" s="17"/>
      <c r="AD44" s="35"/>
      <c r="AE44" s="17"/>
      <c r="AF44" s="17"/>
      <c r="AG44" s="20"/>
      <c r="AH44" s="44"/>
      <c r="AI44" s="17"/>
      <c r="AJ44" s="17"/>
      <c r="AK44" s="17"/>
      <c r="AL44" s="17"/>
      <c r="AM44" s="17"/>
      <c r="AN44" s="20"/>
      <c r="AO44" s="44"/>
      <c r="AP44" s="17"/>
      <c r="AQ44" s="17"/>
      <c r="AR44" s="17"/>
      <c r="AS44" s="17"/>
      <c r="AT44" s="17"/>
      <c r="AU44" s="20"/>
      <c r="AV44" s="44"/>
      <c r="AW44" s="17"/>
      <c r="AX44" s="17"/>
      <c r="AY44" s="17"/>
      <c r="AZ44" s="17"/>
      <c r="BA44" s="17"/>
      <c r="BB44" s="20"/>
      <c r="BD44" s="3">
        <f>Neu!$B17</f>
        <v>0</v>
      </c>
      <c r="BE44" s="44">
        <v>-60</v>
      </c>
    </row>
    <row r="45" spans="4:126" x14ac:dyDescent="0.35">
      <c r="D45" s="3">
        <f>Neu!$B18</f>
        <v>0</v>
      </c>
      <c r="E45" s="21"/>
      <c r="F45" s="17"/>
      <c r="G45" s="20"/>
      <c r="H45" s="44"/>
      <c r="I45" s="17"/>
      <c r="J45" s="20"/>
      <c r="K45" s="44"/>
      <c r="L45" s="17"/>
      <c r="M45" s="20"/>
      <c r="O45" s="3">
        <f>Neu!$B18</f>
        <v>0</v>
      </c>
      <c r="P45" s="44"/>
      <c r="Q45" s="20"/>
      <c r="R45" s="44"/>
      <c r="S45" s="20"/>
      <c r="T45" s="44"/>
      <c r="U45" s="20"/>
      <c r="V45" s="44"/>
      <c r="W45" s="20"/>
      <c r="Z45" s="3">
        <f>Neu!$B18</f>
        <v>0</v>
      </c>
      <c r="AA45" s="44"/>
      <c r="AB45" s="17"/>
      <c r="AC45" s="17"/>
      <c r="AD45" s="35"/>
      <c r="AE45" s="17"/>
      <c r="AF45" s="17"/>
      <c r="AG45" s="20"/>
      <c r="AH45" s="44"/>
      <c r="AI45" s="17"/>
      <c r="AJ45" s="17"/>
      <c r="AK45" s="17"/>
      <c r="AL45" s="17"/>
      <c r="AM45" s="17"/>
      <c r="AN45" s="20"/>
      <c r="AO45" s="44"/>
      <c r="AP45" s="17"/>
      <c r="AQ45" s="17"/>
      <c r="AR45" s="17"/>
      <c r="AS45" s="17"/>
      <c r="AT45" s="17"/>
      <c r="AU45" s="20"/>
      <c r="AV45" s="44"/>
      <c r="AW45" s="17"/>
      <c r="AX45" s="17"/>
      <c r="AY45" s="17"/>
      <c r="AZ45" s="17"/>
      <c r="BA45" s="17"/>
      <c r="BB45" s="20"/>
      <c r="BD45" s="3">
        <f>Neu!$B18</f>
        <v>0</v>
      </c>
      <c r="BE45" s="44">
        <v>-60</v>
      </c>
    </row>
    <row r="46" spans="4:126" x14ac:dyDescent="0.35">
      <c r="D46" s="3">
        <f>Neu!$B19</f>
        <v>0</v>
      </c>
      <c r="E46" s="21"/>
      <c r="F46" s="17"/>
      <c r="G46" s="20"/>
      <c r="H46" s="44"/>
      <c r="I46" s="17"/>
      <c r="J46" s="20"/>
      <c r="K46" s="44"/>
      <c r="L46" s="17"/>
      <c r="M46" s="20"/>
      <c r="O46" s="3">
        <f>Neu!$B19</f>
        <v>0</v>
      </c>
      <c r="P46" s="44"/>
      <c r="Q46" s="20"/>
      <c r="R46" s="44"/>
      <c r="S46" s="20"/>
      <c r="T46" s="44"/>
      <c r="U46" s="20"/>
      <c r="V46" s="44"/>
      <c r="W46" s="20"/>
      <c r="Z46" s="3">
        <f>Neu!$B19</f>
        <v>0</v>
      </c>
      <c r="AA46" s="44"/>
      <c r="AB46" s="17"/>
      <c r="AC46" s="17"/>
      <c r="AD46" s="35"/>
      <c r="AE46" s="17"/>
      <c r="AF46" s="17"/>
      <c r="AG46" s="20"/>
      <c r="AH46" s="44"/>
      <c r="AI46" s="17"/>
      <c r="AJ46" s="17"/>
      <c r="AK46" s="17"/>
      <c r="AL46" s="17"/>
      <c r="AM46" s="17"/>
      <c r="AN46" s="20"/>
      <c r="AO46" s="44"/>
      <c r="AP46" s="17"/>
      <c r="AQ46" s="17"/>
      <c r="AR46" s="17"/>
      <c r="AS46" s="17"/>
      <c r="AT46" s="17"/>
      <c r="AU46" s="20"/>
      <c r="AV46" s="44"/>
      <c r="AW46" s="17"/>
      <c r="AX46" s="17"/>
      <c r="AY46" s="17"/>
      <c r="AZ46" s="17"/>
      <c r="BA46" s="17"/>
      <c r="BB46" s="20"/>
      <c r="BD46" s="3">
        <f>Neu!$B19</f>
        <v>0</v>
      </c>
      <c r="BE46" s="44">
        <v>-60</v>
      </c>
    </row>
    <row r="47" spans="4:126" x14ac:dyDescent="0.35">
      <c r="D47" s="3">
        <f>Neu!$B20</f>
        <v>0</v>
      </c>
      <c r="E47" s="21"/>
      <c r="F47" s="17"/>
      <c r="G47" s="20"/>
      <c r="H47" s="44"/>
      <c r="I47" s="17"/>
      <c r="J47" s="20"/>
      <c r="K47" s="44"/>
      <c r="L47" s="17"/>
      <c r="M47" s="20"/>
      <c r="O47" s="3">
        <f>Neu!$B20</f>
        <v>0</v>
      </c>
      <c r="P47" s="44"/>
      <c r="Q47" s="20"/>
      <c r="R47" s="44"/>
      <c r="S47" s="20"/>
      <c r="T47" s="44"/>
      <c r="U47" s="20"/>
      <c r="V47" s="44"/>
      <c r="W47" s="20"/>
      <c r="Z47" s="3">
        <f>Neu!$B20</f>
        <v>0</v>
      </c>
      <c r="AA47" s="44"/>
      <c r="AB47" s="17"/>
      <c r="AC47" s="17"/>
      <c r="AD47" s="35"/>
      <c r="AE47" s="17"/>
      <c r="AF47" s="17"/>
      <c r="AG47" s="20"/>
      <c r="AH47" s="44"/>
      <c r="AI47" s="17"/>
      <c r="AJ47" s="17"/>
      <c r="AK47" s="17"/>
      <c r="AL47" s="17"/>
      <c r="AM47" s="17"/>
      <c r="AN47" s="20"/>
      <c r="AO47" s="44"/>
      <c r="AP47" s="17"/>
      <c r="AQ47" s="17"/>
      <c r="AR47" s="17"/>
      <c r="AS47" s="17"/>
      <c r="AT47" s="17"/>
      <c r="AU47" s="20"/>
      <c r="AV47" s="44"/>
      <c r="AW47" s="17"/>
      <c r="AX47" s="17"/>
      <c r="AY47" s="17"/>
      <c r="AZ47" s="17"/>
      <c r="BA47" s="17"/>
      <c r="BB47" s="20"/>
      <c r="BD47" s="3">
        <f>Neu!$B20</f>
        <v>0</v>
      </c>
      <c r="BE47" s="44">
        <v>-60</v>
      </c>
    </row>
    <row r="48" spans="4:126" x14ac:dyDescent="0.35">
      <c r="D48" s="3">
        <f>Neu!$B21</f>
        <v>0</v>
      </c>
      <c r="E48" s="21"/>
      <c r="F48" s="17"/>
      <c r="G48" s="20"/>
      <c r="H48" s="44"/>
      <c r="I48" s="17"/>
      <c r="J48" s="20"/>
      <c r="K48" s="44"/>
      <c r="L48" s="17"/>
      <c r="M48" s="20"/>
      <c r="O48" s="3">
        <f>Neu!$B21</f>
        <v>0</v>
      </c>
      <c r="P48" s="44"/>
      <c r="Q48" s="20"/>
      <c r="R48" s="44"/>
      <c r="S48" s="20"/>
      <c r="T48" s="44"/>
      <c r="U48" s="20"/>
      <c r="V48" s="44"/>
      <c r="W48" s="20"/>
      <c r="Z48" s="3">
        <f>Neu!$B21</f>
        <v>0</v>
      </c>
      <c r="AA48" s="44"/>
      <c r="AB48" s="17"/>
      <c r="AC48" s="17"/>
      <c r="AD48" s="35"/>
      <c r="AE48" s="17"/>
      <c r="AF48" s="17"/>
      <c r="AG48" s="20"/>
      <c r="AH48" s="44"/>
      <c r="AI48" s="17"/>
      <c r="AJ48" s="17"/>
      <c r="AK48" s="17"/>
      <c r="AL48" s="17"/>
      <c r="AM48" s="17"/>
      <c r="AN48" s="20"/>
      <c r="AO48" s="44"/>
      <c r="AP48" s="17"/>
      <c r="AQ48" s="17"/>
      <c r="AR48" s="17"/>
      <c r="AS48" s="17"/>
      <c r="AT48" s="17"/>
      <c r="AU48" s="20"/>
      <c r="AV48" s="44"/>
      <c r="AW48" s="17"/>
      <c r="AX48" s="17"/>
      <c r="AY48" s="17"/>
      <c r="AZ48" s="17"/>
      <c r="BA48" s="17"/>
      <c r="BB48" s="20"/>
      <c r="BD48" s="3">
        <f>Neu!$B21</f>
        <v>0</v>
      </c>
      <c r="BE48" s="21"/>
    </row>
    <row r="49" spans="3:57" x14ac:dyDescent="0.35">
      <c r="D49" s="3">
        <f>Neu!$B22</f>
        <v>0</v>
      </c>
      <c r="E49" s="21"/>
      <c r="F49" s="17"/>
      <c r="G49" s="20"/>
      <c r="H49" s="44"/>
      <c r="I49" s="17"/>
      <c r="J49" s="20"/>
      <c r="K49" s="44"/>
      <c r="L49" s="17"/>
      <c r="M49" s="20"/>
      <c r="O49" s="3">
        <f>Neu!$B22</f>
        <v>0</v>
      </c>
      <c r="P49" s="44"/>
      <c r="Q49" s="20"/>
      <c r="R49" s="44"/>
      <c r="S49" s="20"/>
      <c r="T49" s="44"/>
      <c r="U49" s="20"/>
      <c r="V49" s="44"/>
      <c r="W49" s="20"/>
      <c r="Z49" s="3">
        <f>Neu!$B22</f>
        <v>0</v>
      </c>
      <c r="AA49" s="44"/>
      <c r="AB49" s="17"/>
      <c r="AC49" s="17"/>
      <c r="AD49" s="35"/>
      <c r="AE49" s="17"/>
      <c r="AF49" s="17"/>
      <c r="AG49" s="20"/>
      <c r="AH49" s="44"/>
      <c r="AI49" s="17"/>
      <c r="AJ49" s="17"/>
      <c r="AK49" s="17"/>
      <c r="AL49" s="17"/>
      <c r="AM49" s="17"/>
      <c r="AN49" s="20"/>
      <c r="AO49" s="44"/>
      <c r="AP49" s="17"/>
      <c r="AQ49" s="17"/>
      <c r="AR49" s="17"/>
      <c r="AS49" s="17"/>
      <c r="AT49" s="17"/>
      <c r="AU49" s="20"/>
      <c r="AV49" s="44"/>
      <c r="AW49" s="17"/>
      <c r="AX49" s="17"/>
      <c r="AY49" s="17"/>
      <c r="AZ49" s="17"/>
      <c r="BA49" s="17"/>
      <c r="BB49" s="20"/>
      <c r="BD49" s="3">
        <f>Neu!$B22</f>
        <v>0</v>
      </c>
      <c r="BE49" s="21"/>
    </row>
    <row r="50" spans="3:57" x14ac:dyDescent="0.35">
      <c r="D50" s="3">
        <f>Neu!$B23</f>
        <v>0</v>
      </c>
      <c r="E50" s="21"/>
      <c r="F50" s="17"/>
      <c r="G50" s="20"/>
      <c r="H50" s="44"/>
      <c r="I50" s="17"/>
      <c r="J50" s="20"/>
      <c r="K50" s="44"/>
      <c r="L50" s="17"/>
      <c r="M50" s="20"/>
      <c r="O50" s="3">
        <f>Neu!$B23</f>
        <v>0</v>
      </c>
      <c r="P50" s="44"/>
      <c r="Q50" s="20"/>
      <c r="R50" s="44"/>
      <c r="S50" s="20"/>
      <c r="T50" s="44"/>
      <c r="U50" s="20"/>
      <c r="V50" s="44"/>
      <c r="W50" s="20"/>
      <c r="Z50" s="3">
        <f>Neu!$B23</f>
        <v>0</v>
      </c>
      <c r="AA50" s="44"/>
      <c r="AB50" s="17"/>
      <c r="AC50" s="17"/>
      <c r="AD50" s="35"/>
      <c r="AE50" s="17"/>
      <c r="AF50" s="17"/>
      <c r="AG50" s="20"/>
      <c r="AH50" s="44"/>
      <c r="AI50" s="17"/>
      <c r="AJ50" s="17"/>
      <c r="AK50" s="17"/>
      <c r="AL50" s="17"/>
      <c r="AM50" s="17"/>
      <c r="AN50" s="20"/>
      <c r="AO50" s="44"/>
      <c r="AP50" s="17"/>
      <c r="AQ50" s="17"/>
      <c r="AR50" s="17"/>
      <c r="AS50" s="17"/>
      <c r="AT50" s="17"/>
      <c r="AU50" s="20"/>
      <c r="AV50" s="44"/>
      <c r="AW50" s="17"/>
      <c r="AX50" s="17"/>
      <c r="AY50" s="17"/>
      <c r="AZ50" s="17"/>
      <c r="BA50" s="17"/>
      <c r="BB50" s="20"/>
      <c r="BD50" s="3">
        <f>Neu!$B23</f>
        <v>0</v>
      </c>
      <c r="BE50" s="21"/>
    </row>
    <row r="51" spans="3:57" ht="15" thickBot="1" x14ac:dyDescent="0.4">
      <c r="D51" s="5">
        <f>Neu!$B24</f>
        <v>0</v>
      </c>
      <c r="E51" s="22"/>
      <c r="F51" s="23"/>
      <c r="G51" s="46"/>
      <c r="H51" s="45"/>
      <c r="I51" s="23"/>
      <c r="J51" s="46"/>
      <c r="K51" s="45"/>
      <c r="L51" s="23"/>
      <c r="M51" s="46"/>
      <c r="O51" s="5">
        <f>Neu!$B24</f>
        <v>0</v>
      </c>
      <c r="P51" s="45"/>
      <c r="Q51" s="46"/>
      <c r="R51" s="45"/>
      <c r="S51" s="46"/>
      <c r="T51" s="45"/>
      <c r="U51" s="46"/>
      <c r="V51" s="45"/>
      <c r="W51" s="46"/>
      <c r="Z51" s="5">
        <f>Neu!$B24</f>
        <v>0</v>
      </c>
      <c r="AA51" s="45"/>
      <c r="AB51" s="23"/>
      <c r="AC51" s="23"/>
      <c r="AD51" s="64"/>
      <c r="AE51" s="23"/>
      <c r="AF51" s="23"/>
      <c r="AG51" s="46"/>
      <c r="AH51" s="45"/>
      <c r="AI51" s="23"/>
      <c r="AJ51" s="23"/>
      <c r="AK51" s="23"/>
      <c r="AL51" s="23"/>
      <c r="AM51" s="23"/>
      <c r="AN51" s="46"/>
      <c r="AO51" s="45"/>
      <c r="AP51" s="23"/>
      <c r="AQ51" s="23"/>
      <c r="AR51" s="23"/>
      <c r="AS51" s="23"/>
      <c r="AT51" s="23"/>
      <c r="AU51" s="46"/>
      <c r="AV51" s="45"/>
      <c r="AW51" s="23"/>
      <c r="AX51" s="23"/>
      <c r="AY51" s="23"/>
      <c r="AZ51" s="23"/>
      <c r="BA51" s="23"/>
      <c r="BB51" s="46"/>
      <c r="BD51" s="5">
        <f>Neu!$B24</f>
        <v>0</v>
      </c>
      <c r="BE51" s="22"/>
    </row>
    <row r="52" spans="3:57" x14ac:dyDescent="0.35">
      <c r="AC52" s="24"/>
      <c r="AD52" s="75"/>
      <c r="AE52" s="24"/>
      <c r="AF52" s="24"/>
      <c r="AG52" s="24"/>
      <c r="AV52" s="44" t="s">
        <v>104</v>
      </c>
      <c r="AW52" s="17" t="s">
        <v>137</v>
      </c>
      <c r="AX52" s="17">
        <v>3</v>
      </c>
      <c r="AY52" s="17">
        <v>2</v>
      </c>
      <c r="AZ52" s="17">
        <v>75</v>
      </c>
      <c r="BA52" s="17"/>
      <c r="BB52" s="20">
        <v>17</v>
      </c>
    </row>
    <row r="54" spans="3:57" x14ac:dyDescent="0.35">
      <c r="F54" s="14" t="s">
        <v>145</v>
      </c>
      <c r="AC54" s="56" t="s">
        <v>122</v>
      </c>
      <c r="AD54" s="14" t="s">
        <v>111</v>
      </c>
      <c r="AG54" s="14" t="s">
        <v>113</v>
      </c>
      <c r="AM54" s="62" t="s">
        <v>125</v>
      </c>
      <c r="AN54" s="14" t="s">
        <v>129</v>
      </c>
    </row>
    <row r="55" spans="3:57" x14ac:dyDescent="0.35">
      <c r="AC55" s="56" t="s">
        <v>123</v>
      </c>
      <c r="AD55" s="14" t="s">
        <v>112</v>
      </c>
      <c r="AG55" s="14" t="s">
        <v>114</v>
      </c>
      <c r="AM55" s="62" t="s">
        <v>126</v>
      </c>
      <c r="AN55" s="14" t="s">
        <v>130</v>
      </c>
    </row>
    <row r="56" spans="3:57" x14ac:dyDescent="0.35">
      <c r="AC56" s="62" t="s">
        <v>124</v>
      </c>
      <c r="AD56" s="14" t="s">
        <v>117</v>
      </c>
      <c r="AG56" s="14" t="s">
        <v>115</v>
      </c>
      <c r="AM56" s="62" t="s">
        <v>124</v>
      </c>
      <c r="AN56" s="14" t="s">
        <v>131</v>
      </c>
    </row>
    <row r="57" spans="3:57" x14ac:dyDescent="0.35">
      <c r="C57" s="14" t="s">
        <v>95</v>
      </c>
      <c r="D57" s="14" t="s">
        <v>154</v>
      </c>
      <c r="AM57" s="62" t="s">
        <v>127</v>
      </c>
      <c r="AN57" s="14" t="s">
        <v>132</v>
      </c>
    </row>
    <row r="58" spans="3:57" x14ac:dyDescent="0.35">
      <c r="C58" s="14" t="s">
        <v>8</v>
      </c>
      <c r="D58" s="14" t="s">
        <v>155</v>
      </c>
      <c r="AM58" s="62" t="s">
        <v>128</v>
      </c>
      <c r="AN58" s="14" t="s">
        <v>133</v>
      </c>
    </row>
    <row r="59" spans="3:57" x14ac:dyDescent="0.35">
      <c r="C59" s="14" t="s">
        <v>9</v>
      </c>
      <c r="D59" s="14" t="s">
        <v>156</v>
      </c>
      <c r="AM59" s="63"/>
    </row>
    <row r="60" spans="3:57" x14ac:dyDescent="0.35">
      <c r="C60" s="14" t="s">
        <v>10</v>
      </c>
      <c r="D60" s="14" t="s">
        <v>157</v>
      </c>
    </row>
    <row r="61" spans="3:57" x14ac:dyDescent="0.35">
      <c r="C61" s="14" t="s">
        <v>91</v>
      </c>
      <c r="D61" s="14" t="s">
        <v>158</v>
      </c>
    </row>
    <row r="62" spans="3:57" x14ac:dyDescent="0.35">
      <c r="C62" s="14" t="s">
        <v>92</v>
      </c>
      <c r="D62" s="14" t="s">
        <v>159</v>
      </c>
    </row>
  </sheetData>
  <mergeCells count="46"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BI1:CI1"/>
    <mergeCell ref="FA2:FL2"/>
    <mergeCell ref="J2:U2"/>
    <mergeCell ref="V2:AG2"/>
    <mergeCell ref="G1:AG1"/>
    <mergeCell ref="BI2:BK2"/>
    <mergeCell ref="BL2:BW2"/>
    <mergeCell ref="GN1:HN1"/>
    <mergeCell ref="GN2:GP2"/>
    <mergeCell ref="GQ2:HB2"/>
    <mergeCell ref="HC2:HN2"/>
    <mergeCell ref="CJ2:CL2"/>
    <mergeCell ref="CM2:CX2"/>
    <mergeCell ref="CY2:DJ2"/>
  </mergeCells>
  <conditionalFormatting sqref="A4:A24">
    <cfRule type="cellIs" dxfId="48" priority="107" operator="equal">
      <formula>0</formula>
    </cfRule>
  </conditionalFormatting>
  <conditionalFormatting sqref="D31:D51">
    <cfRule type="cellIs" dxfId="47" priority="157" operator="equal">
      <formula>0</formula>
    </cfRule>
  </conditionalFormatting>
  <conditionalFormatting sqref="E4:KQ24">
    <cfRule type="notContainsBlanks" dxfId="46" priority="1">
      <formula>LEN(TRIM(E4))&gt;0</formula>
    </cfRule>
  </conditionalFormatting>
  <conditionalFormatting sqref="G25:AD26">
    <cfRule type="notContainsBlanks" dxfId="45" priority="10">
      <formula>LEN(TRIM(G25))&gt;0</formula>
    </cfRule>
  </conditionalFormatting>
  <conditionalFormatting sqref="O31:O51">
    <cfRule type="cellIs" dxfId="44" priority="27" operator="equal">
      <formula>0</formula>
    </cfRule>
  </conditionalFormatting>
  <conditionalFormatting sqref="Z31:Z51">
    <cfRule type="cellIs" dxfId="43" priority="26" operator="equal">
      <formula>0</formula>
    </cfRule>
  </conditionalFormatting>
  <conditionalFormatting sqref="AH25:BE27">
    <cfRule type="notContainsBlanks" dxfId="42" priority="8">
      <formula>LEN(TRIM(AH25))&gt;0</formula>
    </cfRule>
  </conditionalFormatting>
  <conditionalFormatting sqref="BD31:BD51">
    <cfRule type="cellIs" dxfId="41" priority="14" operator="equal">
      <formula>0</formula>
    </cfRule>
  </conditionalFormatting>
  <conditionalFormatting sqref="BI25:BI27">
    <cfRule type="notContainsBlanks" dxfId="40" priority="83">
      <formula>LEN(TRIM(BI25))&gt;0</formula>
    </cfRule>
  </conditionalFormatting>
  <conditionalFormatting sqref="DC26">
    <cfRule type="notContainsBlanks" dxfId="39" priority="148">
      <formula>LEN(TRIM(DC26))&gt;0</formula>
    </cfRule>
  </conditionalFormatting>
  <conditionalFormatting sqref="DC25:DG25">
    <cfRule type="notContainsBlanks" dxfId="38" priority="149">
      <formula>LEN(TRIM(DC25))&gt;0</formula>
    </cfRule>
  </conditionalFormatting>
  <conditionalFormatting sqref="DC27:DG27">
    <cfRule type="notContainsBlanks" dxfId="37" priority="147">
      <formula>LEN(TRIM(DC27))&gt;0</formula>
    </cfRule>
  </conditionalFormatting>
  <conditionalFormatting sqref="DJ25:DJ27">
    <cfRule type="notContainsBlanks" dxfId="36" priority="76">
      <formula>LEN(TRIM(DJ25))&gt;0</formula>
    </cfRule>
  </conditionalFormatting>
  <conditionalFormatting sqref="DK25:EH29">
    <cfRule type="notContainsBlanks" dxfId="35" priority="73">
      <formula>LEN(TRIM(DK25))&gt;0</formula>
    </cfRule>
  </conditionalFormatting>
  <conditionalFormatting sqref="FE26">
    <cfRule type="notContainsBlanks" dxfId="34" priority="44">
      <formula>LEN(TRIM(FE26))&gt;0</formula>
    </cfRule>
  </conditionalFormatting>
  <conditionalFormatting sqref="FE25:FI25">
    <cfRule type="notContainsBlanks" dxfId="33" priority="45">
      <formula>LEN(TRIM(FE25))&gt;0</formula>
    </cfRule>
  </conditionalFormatting>
  <conditionalFormatting sqref="FE27:FI27">
    <cfRule type="notContainsBlanks" dxfId="32" priority="43">
      <formula>LEN(TRIM(FE27))&gt;0</formula>
    </cfRule>
  </conditionalFormatting>
  <conditionalFormatting sqref="FL25:FL27">
    <cfRule type="notContainsBlanks" dxfId="31" priority="36">
      <formula>LEN(TRIM(FL25))&gt;0</formula>
    </cfRule>
  </conditionalFormatting>
  <conditionalFormatting sqref="GL25:GL27">
    <cfRule type="notContainsBlanks" dxfId="30" priority="67">
      <formula>LEN(TRIM(GL25))&gt;0</formula>
    </cfRule>
  </conditionalFormatting>
  <conditionalFormatting sqref="HM25:HM27">
    <cfRule type="notContainsBlanks" dxfId="29" priority="29">
      <formula>LEN(TRIM(HM25))&gt;0</formula>
    </cfRule>
  </conditionalFormatting>
  <conditionalFormatting sqref="HO29:HO31">
    <cfRule type="notContainsBlanks" dxfId="28" priority="121">
      <formula>LEN(TRIM(HO29))&gt;0</formula>
    </cfRule>
  </conditionalFormatting>
  <conditionalFormatting sqref="HO25:HU25 ID25:IH25">
    <cfRule type="notContainsBlanks" dxfId="27" priority="139">
      <formula>LEN(TRIM(HO25))&gt;0</formula>
    </cfRule>
  </conditionalFormatting>
  <conditionalFormatting sqref="HO27:HU27 ID27:IH27">
    <cfRule type="notContainsBlanks" dxfId="26" priority="131">
      <formula>LEN(TRIM(HO27))&gt;0</formula>
    </cfRule>
  </conditionalFormatting>
  <conditionalFormatting sqref="HV25:IC27">
    <cfRule type="notContainsBlanks" dxfId="25" priority="16">
      <formula>LEN(TRIM(HV25))&gt;0</formula>
    </cfRule>
  </conditionalFormatting>
  <conditionalFormatting sqref="IP25:IV26">
    <cfRule type="notContainsBlanks" dxfId="24" priority="87">
      <formula>LEN(TRIM(IP25))&gt;0</formula>
    </cfRule>
  </conditionalFormatting>
  <conditionalFormatting sqref="IW25:JD27">
    <cfRule type="notContainsBlanks" dxfId="23" priority="93">
      <formula>LEN(TRIM(IW25))&gt;0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tabSelected="1" topLeftCell="A9" zoomScale="90" zoomScaleNormal="90" workbookViewId="0">
      <selection activeCell="H20" sqref="H20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91" t="s">
        <v>70</v>
      </c>
      <c r="G1" s="191"/>
      <c r="H1" s="191"/>
      <c r="I1" s="191"/>
      <c r="J1" s="191"/>
      <c r="K1" s="191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172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5</v>
      </c>
      <c r="D3" s="36" t="s">
        <v>25</v>
      </c>
      <c r="E3" s="17">
        <v>1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79" t="s">
        <v>31</v>
      </c>
      <c r="C7" s="190"/>
      <c r="D7" s="190"/>
      <c r="E7" s="190"/>
      <c r="F7" s="195"/>
      <c r="G7" s="196" t="s">
        <v>35</v>
      </c>
      <c r="H7" s="190"/>
      <c r="I7" s="190"/>
      <c r="J7" s="190"/>
      <c r="K7" s="180"/>
      <c r="L7" s="179" t="s">
        <v>41</v>
      </c>
      <c r="M7" s="190"/>
      <c r="N7" s="190"/>
      <c r="O7" s="190"/>
      <c r="P7" s="180"/>
      <c r="Q7" s="179" t="s">
        <v>42</v>
      </c>
      <c r="R7" s="190"/>
      <c r="S7" s="190"/>
      <c r="T7" s="190"/>
      <c r="U7" s="180"/>
      <c r="V7" s="179" t="s">
        <v>43</v>
      </c>
      <c r="W7" s="190"/>
      <c r="X7" s="190"/>
      <c r="Y7" s="190"/>
      <c r="Z7" s="180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15</v>
      </c>
      <c r="D9" s="17">
        <v>0</v>
      </c>
      <c r="E9" s="17">
        <v>30</v>
      </c>
      <c r="F9" s="50" t="s">
        <v>164</v>
      </c>
      <c r="G9" s="44" t="s">
        <v>162</v>
      </c>
      <c r="H9" s="17">
        <v>10</v>
      </c>
      <c r="I9" s="17">
        <v>-80</v>
      </c>
      <c r="J9" s="17">
        <v>20</v>
      </c>
      <c r="K9" s="50" t="s">
        <v>69</v>
      </c>
      <c r="L9" s="44"/>
      <c r="M9" s="17"/>
      <c r="N9" s="17"/>
      <c r="O9" s="17"/>
      <c r="P9" s="50"/>
      <c r="Q9" s="44"/>
      <c r="R9" s="17"/>
      <c r="S9" s="17"/>
      <c r="T9" s="17"/>
      <c r="U9" s="50"/>
      <c r="V9" s="44"/>
      <c r="W9" s="17"/>
      <c r="X9" s="17"/>
      <c r="Y9" s="17"/>
      <c r="Z9" s="20"/>
    </row>
    <row r="10" spans="1:26" x14ac:dyDescent="0.35">
      <c r="A10" s="48"/>
      <c r="B10" s="67"/>
      <c r="C10" s="17"/>
      <c r="D10" s="17"/>
      <c r="E10" s="17"/>
      <c r="F10" s="50"/>
      <c r="G10" s="44"/>
      <c r="H10" s="17"/>
      <c r="I10" s="17"/>
      <c r="J10" s="17"/>
      <c r="K10" s="50"/>
      <c r="L10" s="44"/>
      <c r="M10" s="17"/>
      <c r="N10" s="17"/>
      <c r="O10" s="17"/>
      <c r="P10" s="50"/>
      <c r="Q10" s="44"/>
      <c r="R10" s="17"/>
      <c r="S10" s="17"/>
      <c r="T10" s="17"/>
      <c r="U10" s="50"/>
      <c r="V10" s="44"/>
      <c r="W10" s="17"/>
      <c r="X10" s="17"/>
      <c r="Y10" s="17"/>
      <c r="Z10" s="20"/>
    </row>
    <row r="11" spans="1:26" x14ac:dyDescent="0.35">
      <c r="A11" s="48"/>
      <c r="B11" s="67"/>
      <c r="C11" s="17"/>
      <c r="D11" s="17"/>
      <c r="E11" s="17"/>
      <c r="F11" s="50"/>
      <c r="G11" s="44"/>
      <c r="H11" s="17"/>
      <c r="I11" s="17"/>
      <c r="J11" s="17"/>
      <c r="K11" s="50"/>
      <c r="L11" s="44"/>
      <c r="M11" s="17"/>
      <c r="N11" s="17"/>
      <c r="O11" s="17"/>
      <c r="P11" s="50"/>
      <c r="Q11" s="44"/>
      <c r="R11" s="17"/>
      <c r="S11" s="17"/>
      <c r="T11" s="17"/>
      <c r="U11" s="50"/>
      <c r="V11" s="44"/>
      <c r="W11" s="17"/>
      <c r="X11" s="17"/>
      <c r="Y11" s="17"/>
      <c r="Z11" s="20"/>
    </row>
    <row r="12" spans="1:26" x14ac:dyDescent="0.35">
      <c r="A12" s="48"/>
      <c r="B12" s="67"/>
      <c r="C12" s="17"/>
      <c r="D12" s="17"/>
      <c r="E12" s="17"/>
      <c r="F12" s="50"/>
      <c r="G12" s="44"/>
      <c r="H12" s="17"/>
      <c r="I12" s="17"/>
      <c r="J12" s="17"/>
      <c r="K12" s="50"/>
      <c r="L12" s="44"/>
      <c r="M12" s="17"/>
      <c r="N12" s="17"/>
      <c r="O12" s="17"/>
      <c r="P12" s="50"/>
      <c r="Q12" s="44"/>
      <c r="R12" s="17"/>
      <c r="S12" s="17"/>
      <c r="T12" s="17"/>
      <c r="U12" s="50"/>
      <c r="V12" s="44"/>
      <c r="W12" s="17"/>
      <c r="X12" s="17"/>
      <c r="Y12" s="17"/>
      <c r="Z12" s="20"/>
    </row>
    <row r="13" spans="1:26" x14ac:dyDescent="0.35">
      <c r="A13" s="48"/>
      <c r="B13" s="67"/>
      <c r="C13" s="17"/>
      <c r="D13" s="17"/>
      <c r="E13" s="17"/>
      <c r="F13" s="50"/>
      <c r="G13" s="44"/>
      <c r="H13" s="17"/>
      <c r="I13" s="17"/>
      <c r="J13" s="17"/>
      <c r="K13" s="50"/>
      <c r="L13" s="44"/>
      <c r="M13" s="17"/>
      <c r="N13" s="17"/>
      <c r="O13" s="17"/>
      <c r="P13" s="50"/>
      <c r="Q13" s="44"/>
      <c r="R13" s="17"/>
      <c r="S13" s="17"/>
      <c r="T13" s="17"/>
      <c r="U13" s="50"/>
      <c r="V13" s="44"/>
      <c r="W13" s="17"/>
      <c r="X13" s="17"/>
      <c r="Y13" s="17"/>
      <c r="Z13" s="20"/>
    </row>
    <row r="14" spans="1:26" x14ac:dyDescent="0.35">
      <c r="A14" s="48"/>
      <c r="B14" s="67"/>
      <c r="C14" s="17"/>
      <c r="D14" s="17"/>
      <c r="E14" s="17"/>
      <c r="F14" s="50"/>
      <c r="G14" s="44"/>
      <c r="H14" s="17"/>
      <c r="I14" s="17"/>
      <c r="J14" s="17"/>
      <c r="K14" s="50"/>
      <c r="L14" s="44"/>
      <c r="M14" s="17"/>
      <c r="N14" s="17"/>
      <c r="O14" s="17"/>
      <c r="P14" s="50"/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/>
      <c r="B15" s="67"/>
      <c r="C15" s="17"/>
      <c r="D15" s="17"/>
      <c r="E15" s="17"/>
      <c r="F15" s="50"/>
      <c r="G15" s="44"/>
      <c r="H15" s="17"/>
      <c r="I15" s="17"/>
      <c r="J15" s="17"/>
      <c r="K15" s="50"/>
      <c r="L15" s="44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/>
      <c r="B16" s="67"/>
      <c r="C16" s="17"/>
      <c r="D16" s="17"/>
      <c r="E16" s="17"/>
      <c r="F16" s="50"/>
      <c r="G16" s="44"/>
      <c r="H16" s="17"/>
      <c r="I16" s="17"/>
      <c r="J16" s="17"/>
      <c r="K16" s="50"/>
      <c r="L16" s="44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/>
      <c r="B17" s="67"/>
      <c r="C17" s="17"/>
      <c r="D17" s="17"/>
      <c r="E17" s="17"/>
      <c r="F17" s="50"/>
      <c r="G17" s="53"/>
      <c r="H17" s="17"/>
      <c r="I17" s="17"/>
      <c r="J17" s="17"/>
      <c r="K17" s="50"/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/>
      <c r="B18" s="67"/>
      <c r="C18" s="17"/>
      <c r="D18" s="17"/>
      <c r="E18" s="17"/>
      <c r="F18" s="50"/>
      <c r="G18" s="53"/>
      <c r="H18" s="17"/>
      <c r="I18" s="17"/>
      <c r="J18" s="17"/>
      <c r="K18" s="50"/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/>
      <c r="B19" s="67"/>
      <c r="C19" s="17"/>
      <c r="D19" s="17"/>
      <c r="E19" s="17"/>
      <c r="F19" s="50"/>
      <c r="G19" s="53"/>
      <c r="H19" s="17"/>
      <c r="I19" s="17"/>
      <c r="J19" s="17"/>
      <c r="K19" s="50"/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/>
      <c r="B20" s="67"/>
      <c r="C20" s="17"/>
      <c r="D20" s="17"/>
      <c r="E20" s="17"/>
      <c r="F20" s="50"/>
      <c r="G20" s="53"/>
      <c r="H20" s="17"/>
      <c r="I20" s="17"/>
      <c r="J20" s="17"/>
      <c r="K20" s="50"/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/>
      <c r="B21" s="67"/>
      <c r="C21" s="17"/>
      <c r="D21" s="17"/>
      <c r="E21" s="17"/>
      <c r="F21" s="50"/>
      <c r="G21" s="53"/>
      <c r="H21" s="17"/>
      <c r="I21" s="17"/>
      <c r="J21" s="17"/>
      <c r="K21" s="50"/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53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ht="15" thickBot="1" x14ac:dyDescent="0.4">
      <c r="A23" s="49"/>
      <c r="B23" s="68"/>
      <c r="C23" s="23"/>
      <c r="D23" s="23"/>
      <c r="E23" s="23"/>
      <c r="F23" s="51"/>
      <c r="G23" s="54"/>
      <c r="H23" s="23"/>
      <c r="I23" s="23"/>
      <c r="J23" s="23"/>
      <c r="K23" s="51"/>
      <c r="L23" s="45"/>
      <c r="M23" s="23"/>
      <c r="N23" s="23"/>
      <c r="O23" s="23"/>
      <c r="P23" s="51"/>
      <c r="Q23" s="45"/>
      <c r="R23" s="23"/>
      <c r="S23" s="23"/>
      <c r="T23" s="23"/>
      <c r="U23" s="51"/>
      <c r="V23" s="45"/>
      <c r="W23" s="23"/>
      <c r="X23" s="23"/>
      <c r="Y23" s="23"/>
      <c r="Z23" s="46"/>
    </row>
    <row r="25" spans="1:26" x14ac:dyDescent="0.35">
      <c r="A25" s="191" t="s">
        <v>64</v>
      </c>
      <c r="B25" s="191"/>
      <c r="C25" s="191"/>
      <c r="D25" s="191"/>
      <c r="E25" s="191"/>
      <c r="F25" s="191"/>
      <c r="G25" s="191"/>
      <c r="H25" s="191"/>
      <c r="I25" s="191"/>
      <c r="J25" s="191"/>
      <c r="L25" s="191" t="s">
        <v>65</v>
      </c>
      <c r="M25" s="191"/>
    </row>
    <row r="26" spans="1:26" ht="15" customHeight="1" x14ac:dyDescent="0.35">
      <c r="B26" s="156" t="s">
        <v>37</v>
      </c>
      <c r="C26" s="154"/>
      <c r="D26" s="154"/>
      <c r="E26" s="155"/>
      <c r="G26" s="192" t="s">
        <v>68</v>
      </c>
      <c r="H26" s="192"/>
      <c r="I26" s="192"/>
      <c r="J26" s="192"/>
      <c r="L26" s="44" t="s">
        <v>94</v>
      </c>
      <c r="M26" s="193" t="s">
        <v>66</v>
      </c>
      <c r="N26" s="194"/>
      <c r="O26" s="194"/>
      <c r="P26" s="194"/>
      <c r="Q26" s="194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4"/>
      <c r="M27" s="193"/>
      <c r="N27" s="194"/>
      <c r="O27" s="194"/>
      <c r="P27" s="194"/>
      <c r="Q27" s="194"/>
    </row>
    <row r="28" spans="1:26" x14ac:dyDescent="0.35">
      <c r="B28" s="17" t="s">
        <v>153</v>
      </c>
      <c r="C28" s="17">
        <v>2</v>
      </c>
      <c r="D28" s="17">
        <v>3</v>
      </c>
      <c r="E28" s="17">
        <v>2</v>
      </c>
      <c r="G28" s="17"/>
      <c r="H28" s="17"/>
      <c r="I28" s="17"/>
      <c r="J28" s="17"/>
      <c r="L28" s="44"/>
      <c r="M28" s="14"/>
    </row>
    <row r="29" spans="1:26" x14ac:dyDescent="0.35">
      <c r="B29" s="17"/>
      <c r="C29" s="17"/>
      <c r="D29" s="17"/>
      <c r="E29" s="17"/>
      <c r="G29" s="17"/>
      <c r="H29" s="17"/>
      <c r="I29" s="17"/>
      <c r="J29" s="17"/>
      <c r="L29" s="44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4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4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4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4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4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4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4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25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5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5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5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5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5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5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5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22" priority="25" operator="notEqual">
      <formula>MAX($E$9:$E$23)</formula>
    </cfRule>
  </conditionalFormatting>
  <conditionalFormatting sqref="M16">
    <cfRule type="containsBlanks" dxfId="21" priority="9">
      <formula>LEN(TRIM(M16))=0</formula>
    </cfRule>
    <cfRule type="cellIs" dxfId="20" priority="10" operator="equal">
      <formula>0</formula>
    </cfRule>
    <cfRule type="containsBlanks" dxfId="19" priority="11">
      <formula>LEN(TRIM(M16))=0</formula>
    </cfRule>
    <cfRule type="cellIs" dxfId="18" priority="12" operator="equal">
      <formula>0</formula>
    </cfRule>
  </conditionalFormatting>
  <dataValidations count="1">
    <dataValidation type="list" allowBlank="1" showInputMessage="1" showErrorMessage="1" sqref="Z9:Z23 U9:U23 F9:F23 P9:P23 K9:K23" xr:uid="{C983D6A1-B7AC-4F71-ACF9-14A6E07220E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8B8-64E8-479D-81C6-3C5A2C06A134}">
  <dimension ref="A1:Z88"/>
  <sheetViews>
    <sheetView topLeftCell="A20" workbookViewId="0">
      <selection activeCell="B29" sqref="B29:E29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91" t="s">
        <v>70</v>
      </c>
      <c r="G1" s="191"/>
      <c r="H1" s="191"/>
      <c r="I1" s="191"/>
      <c r="J1" s="191"/>
      <c r="K1" s="191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176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5</v>
      </c>
      <c r="D3" s="36" t="s">
        <v>25</v>
      </c>
      <c r="E3" s="17">
        <v>1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79" t="s">
        <v>31</v>
      </c>
      <c r="C7" s="190"/>
      <c r="D7" s="190"/>
      <c r="E7" s="190"/>
      <c r="F7" s="195"/>
      <c r="G7" s="196" t="s">
        <v>35</v>
      </c>
      <c r="H7" s="190"/>
      <c r="I7" s="190"/>
      <c r="J7" s="190"/>
      <c r="K7" s="180"/>
      <c r="L7" s="179" t="s">
        <v>41</v>
      </c>
      <c r="M7" s="190"/>
      <c r="N7" s="190"/>
      <c r="O7" s="190"/>
      <c r="P7" s="180"/>
      <c r="Q7" s="179" t="s">
        <v>42</v>
      </c>
      <c r="R7" s="190"/>
      <c r="S7" s="190"/>
      <c r="T7" s="190"/>
      <c r="U7" s="180"/>
      <c r="V7" s="179" t="s">
        <v>43</v>
      </c>
      <c r="W7" s="190"/>
      <c r="X7" s="190"/>
      <c r="Y7" s="190"/>
      <c r="Z7" s="180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10</v>
      </c>
      <c r="D9" s="17">
        <v>0</v>
      </c>
      <c r="E9" s="17">
        <v>5</v>
      </c>
      <c r="F9" s="50" t="s">
        <v>69</v>
      </c>
      <c r="G9" s="44" t="s">
        <v>162</v>
      </c>
      <c r="H9" s="17">
        <v>10</v>
      </c>
      <c r="I9" s="17">
        <v>-80</v>
      </c>
      <c r="J9" s="17">
        <v>20</v>
      </c>
      <c r="K9" s="50" t="s">
        <v>69</v>
      </c>
      <c r="L9" s="44"/>
      <c r="M9" s="17"/>
      <c r="N9" s="17"/>
      <c r="O9" s="17"/>
      <c r="P9" s="50"/>
      <c r="Q9" s="44"/>
      <c r="R9" s="17"/>
      <c r="S9" s="17"/>
      <c r="T9" s="17"/>
      <c r="U9" s="50"/>
      <c r="V9" s="44"/>
      <c r="W9" s="17"/>
      <c r="X9" s="17"/>
      <c r="Y9" s="17"/>
      <c r="Z9" s="20"/>
    </row>
    <row r="10" spans="1:26" x14ac:dyDescent="0.35">
      <c r="A10" s="48"/>
      <c r="B10" s="67"/>
      <c r="C10" s="17"/>
      <c r="D10" s="17"/>
      <c r="E10" s="17"/>
      <c r="F10" s="50"/>
      <c r="G10" s="44"/>
      <c r="H10" s="17"/>
      <c r="I10" s="17"/>
      <c r="J10" s="17"/>
      <c r="K10" s="50"/>
      <c r="L10" s="44"/>
      <c r="M10" s="17"/>
      <c r="N10" s="17"/>
      <c r="O10" s="17"/>
      <c r="P10" s="50"/>
      <c r="Q10" s="44"/>
      <c r="R10" s="17"/>
      <c r="S10" s="17"/>
      <c r="T10" s="17"/>
      <c r="U10" s="50"/>
      <c r="V10" s="44"/>
      <c r="W10" s="17"/>
      <c r="X10" s="17"/>
      <c r="Y10" s="17"/>
      <c r="Z10" s="20"/>
    </row>
    <row r="11" spans="1:26" x14ac:dyDescent="0.35">
      <c r="A11" s="48"/>
      <c r="B11" s="67"/>
      <c r="C11" s="17"/>
      <c r="D11" s="17"/>
      <c r="E11" s="17"/>
      <c r="F11" s="50"/>
      <c r="G11" s="44"/>
      <c r="H11" s="17"/>
      <c r="I11" s="17"/>
      <c r="J11" s="17"/>
      <c r="K11" s="50"/>
      <c r="L11" s="93"/>
      <c r="M11" s="17"/>
      <c r="N11" s="17"/>
      <c r="O11" s="17"/>
      <c r="P11" s="50"/>
      <c r="Q11" s="44"/>
      <c r="R11" s="17"/>
      <c r="S11" s="17"/>
      <c r="T11" s="17"/>
      <c r="U11" s="50"/>
      <c r="V11" s="44"/>
      <c r="W11" s="17"/>
      <c r="X11" s="17"/>
      <c r="Y11" s="17"/>
      <c r="Z11" s="20"/>
    </row>
    <row r="12" spans="1:26" x14ac:dyDescent="0.35">
      <c r="A12" s="48"/>
      <c r="B12" s="67"/>
      <c r="C12" s="17"/>
      <c r="D12" s="17"/>
      <c r="E12" s="17"/>
      <c r="F12" s="50"/>
      <c r="G12" s="44"/>
      <c r="H12" s="17"/>
      <c r="I12" s="17"/>
      <c r="J12" s="17"/>
      <c r="K12" s="50"/>
      <c r="L12" s="93"/>
      <c r="M12" s="17"/>
      <c r="N12" s="17"/>
      <c r="O12" s="17"/>
      <c r="P12" s="50"/>
      <c r="Q12" s="44"/>
      <c r="R12" s="17"/>
      <c r="S12" s="17"/>
      <c r="T12" s="17"/>
      <c r="U12" s="50"/>
      <c r="V12" s="44"/>
      <c r="W12" s="17"/>
      <c r="X12" s="17"/>
      <c r="Y12" s="17"/>
      <c r="Z12" s="20"/>
    </row>
    <row r="13" spans="1:26" x14ac:dyDescent="0.35">
      <c r="A13" s="48"/>
      <c r="B13" s="67"/>
      <c r="C13" s="17"/>
      <c r="D13" s="17"/>
      <c r="E13" s="17"/>
      <c r="F13" s="50"/>
      <c r="G13" s="44"/>
      <c r="H13" s="17"/>
      <c r="I13" s="17"/>
      <c r="J13" s="17"/>
      <c r="K13" s="50"/>
      <c r="L13" s="44"/>
      <c r="M13" s="17"/>
      <c r="N13" s="17"/>
      <c r="O13" s="17"/>
      <c r="P13" s="50"/>
      <c r="Q13" s="44"/>
      <c r="R13" s="17"/>
      <c r="S13" s="17"/>
      <c r="T13" s="17"/>
      <c r="U13" s="50"/>
      <c r="V13" s="44"/>
      <c r="W13" s="17"/>
      <c r="X13" s="17"/>
      <c r="Y13" s="17"/>
      <c r="Z13" s="20"/>
    </row>
    <row r="14" spans="1:26" x14ac:dyDescent="0.35">
      <c r="A14" s="48"/>
      <c r="B14" s="67"/>
      <c r="C14" s="17"/>
      <c r="D14" s="17"/>
      <c r="E14" s="17"/>
      <c r="F14" s="50"/>
      <c r="G14" s="44"/>
      <c r="H14" s="17"/>
      <c r="I14" s="17"/>
      <c r="J14" s="17"/>
      <c r="K14" s="50"/>
      <c r="L14" s="93"/>
      <c r="M14" s="17"/>
      <c r="N14" s="17"/>
      <c r="O14" s="17"/>
      <c r="P14" s="50"/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/>
      <c r="B15" s="67"/>
      <c r="C15" s="17"/>
      <c r="D15" s="17"/>
      <c r="E15" s="17"/>
      <c r="F15" s="50"/>
      <c r="G15" s="44"/>
      <c r="H15" s="17"/>
      <c r="I15" s="17"/>
      <c r="J15" s="17"/>
      <c r="K15" s="50"/>
      <c r="L15" s="93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/>
      <c r="B16" s="67"/>
      <c r="C16" s="17"/>
      <c r="D16" s="17"/>
      <c r="E16" s="17"/>
      <c r="F16" s="50"/>
      <c r="G16" s="44"/>
      <c r="H16" s="17"/>
      <c r="I16" s="17"/>
      <c r="J16" s="17"/>
      <c r="K16" s="50"/>
      <c r="L16" s="93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/>
      <c r="B17" s="67"/>
      <c r="C17" s="17"/>
      <c r="D17" s="17"/>
      <c r="E17" s="17"/>
      <c r="F17" s="50"/>
      <c r="G17" s="44"/>
      <c r="H17" s="17"/>
      <c r="I17" s="17"/>
      <c r="J17" s="17"/>
      <c r="K17" s="50"/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/>
      <c r="B18" s="67"/>
      <c r="C18" s="17"/>
      <c r="D18" s="17"/>
      <c r="E18" s="17"/>
      <c r="F18" s="50"/>
      <c r="G18" s="44"/>
      <c r="H18" s="17"/>
      <c r="I18" s="17"/>
      <c r="J18" s="17"/>
      <c r="K18" s="50"/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/>
      <c r="B19" s="67"/>
      <c r="C19" s="17"/>
      <c r="D19" s="17"/>
      <c r="E19" s="17"/>
      <c r="F19" s="50"/>
      <c r="G19" s="44"/>
      <c r="H19" s="17"/>
      <c r="I19" s="17"/>
      <c r="J19" s="17"/>
      <c r="K19" s="50"/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/>
      <c r="B20" s="67"/>
      <c r="C20" s="17"/>
      <c r="D20" s="17"/>
      <c r="E20" s="17"/>
      <c r="F20" s="50"/>
      <c r="G20" s="44"/>
      <c r="H20" s="17"/>
      <c r="I20" s="17"/>
      <c r="J20" s="17"/>
      <c r="K20" s="50"/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/>
      <c r="B21" s="67"/>
      <c r="C21" s="17"/>
      <c r="D21" s="17"/>
      <c r="E21" s="17"/>
      <c r="F21" s="50"/>
      <c r="G21" s="44"/>
      <c r="H21" s="17"/>
      <c r="I21" s="17"/>
      <c r="J21" s="17"/>
      <c r="K21" s="50"/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44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x14ac:dyDescent="0.35">
      <c r="A23" s="48"/>
      <c r="B23" s="67"/>
      <c r="C23" s="17"/>
      <c r="D23" s="17"/>
      <c r="E23" s="17"/>
      <c r="F23" s="50"/>
      <c r="G23" s="44"/>
      <c r="H23" s="17"/>
      <c r="I23" s="17"/>
      <c r="J23" s="17"/>
      <c r="K23" s="50"/>
      <c r="L23" s="93"/>
      <c r="M23" s="17"/>
      <c r="N23" s="17"/>
      <c r="O23" s="17"/>
      <c r="P23" s="50"/>
      <c r="Q23" s="44"/>
      <c r="R23" s="17"/>
      <c r="S23" s="17"/>
      <c r="T23" s="17"/>
      <c r="U23" s="50"/>
      <c r="V23" s="44"/>
      <c r="W23" s="17"/>
      <c r="X23" s="17"/>
      <c r="Y23" s="17"/>
      <c r="Z23" s="20"/>
    </row>
    <row r="24" spans="1:26" x14ac:dyDescent="0.35">
      <c r="A24" s="48"/>
      <c r="B24" s="67"/>
      <c r="C24" s="17"/>
      <c r="D24" s="17"/>
      <c r="E24" s="17"/>
      <c r="F24" s="50"/>
      <c r="G24" s="44"/>
      <c r="H24" s="17"/>
      <c r="I24" s="17"/>
      <c r="J24" s="17"/>
      <c r="K24" s="50"/>
      <c r="L24" s="93"/>
      <c r="M24" s="17"/>
      <c r="N24" s="17"/>
      <c r="O24" s="17"/>
      <c r="P24" s="50"/>
      <c r="Q24" s="44"/>
      <c r="R24" s="17"/>
      <c r="S24" s="17"/>
      <c r="T24" s="17"/>
      <c r="U24" s="50"/>
      <c r="V24" s="44"/>
      <c r="W24" s="17"/>
      <c r="X24" s="17"/>
      <c r="Y24" s="17"/>
      <c r="Z24" s="20"/>
    </row>
    <row r="26" spans="1:26" x14ac:dyDescent="0.35">
      <c r="A26" s="191" t="s">
        <v>64</v>
      </c>
      <c r="B26" s="191"/>
      <c r="C26" s="191"/>
      <c r="D26" s="191"/>
      <c r="E26" s="191"/>
      <c r="F26" s="191"/>
      <c r="G26" s="191"/>
      <c r="H26" s="191"/>
      <c r="I26" s="191"/>
      <c r="J26" s="191"/>
      <c r="L26" s="191" t="s">
        <v>65</v>
      </c>
      <c r="M26" s="191"/>
    </row>
    <row r="27" spans="1:26" ht="15" customHeight="1" x14ac:dyDescent="0.35">
      <c r="B27" s="156" t="s">
        <v>37</v>
      </c>
      <c r="C27" s="154"/>
      <c r="D27" s="154"/>
      <c r="E27" s="155"/>
      <c r="G27" s="192" t="s">
        <v>68</v>
      </c>
      <c r="H27" s="192"/>
      <c r="I27" s="192"/>
      <c r="J27" s="192"/>
      <c r="L27" s="44" t="s">
        <v>94</v>
      </c>
      <c r="M27" s="193" t="s">
        <v>66</v>
      </c>
      <c r="N27" s="194"/>
      <c r="O27" s="194"/>
      <c r="P27" s="194"/>
      <c r="Q27" s="194"/>
    </row>
    <row r="28" spans="1:26" x14ac:dyDescent="0.35">
      <c r="B28" s="16" t="s">
        <v>38</v>
      </c>
      <c r="C28" s="16" t="s">
        <v>28</v>
      </c>
      <c r="D28" s="16" t="s">
        <v>29</v>
      </c>
      <c r="E28" s="16" t="s">
        <v>39</v>
      </c>
      <c r="G28" s="16" t="s">
        <v>38</v>
      </c>
      <c r="H28" s="16" t="s">
        <v>28</v>
      </c>
      <c r="I28" s="16" t="s">
        <v>29</v>
      </c>
      <c r="J28" s="16" t="s">
        <v>67</v>
      </c>
      <c r="L28" s="44"/>
      <c r="M28" s="193"/>
      <c r="N28" s="194"/>
      <c r="O28" s="194"/>
      <c r="P28" s="194"/>
      <c r="Q28" s="194"/>
    </row>
    <row r="29" spans="1:26" x14ac:dyDescent="0.35">
      <c r="B29" s="17" t="s">
        <v>153</v>
      </c>
      <c r="C29" s="17">
        <v>2</v>
      </c>
      <c r="D29" s="17">
        <v>3</v>
      </c>
      <c r="E29" s="17">
        <v>-1</v>
      </c>
      <c r="G29" s="17"/>
      <c r="H29" s="17"/>
      <c r="I29" s="17"/>
      <c r="J29" s="17"/>
      <c r="L29" s="44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4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4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4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4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4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4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4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4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5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5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5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5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5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5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5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  <c r="L45" s="25"/>
      <c r="M45" s="14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  <row r="88" spans="2:10" x14ac:dyDescent="0.35">
      <c r="B88" s="17"/>
      <c r="C88" s="17"/>
      <c r="D88" s="17"/>
      <c r="E88" s="17"/>
      <c r="G88" s="17"/>
      <c r="H88" s="17"/>
      <c r="I88" s="17"/>
      <c r="J88" s="17"/>
    </row>
  </sheetData>
  <mergeCells count="11">
    <mergeCell ref="A26:J26"/>
    <mergeCell ref="L26:M26"/>
    <mergeCell ref="B27:E27"/>
    <mergeCell ref="G27:J27"/>
    <mergeCell ref="M27:Q28"/>
    <mergeCell ref="V7:Z7"/>
    <mergeCell ref="F1:K1"/>
    <mergeCell ref="B7:F7"/>
    <mergeCell ref="G7:K7"/>
    <mergeCell ref="L7:P7"/>
    <mergeCell ref="Q7:U7"/>
  </mergeCells>
  <conditionalFormatting sqref="C3">
    <cfRule type="cellIs" dxfId="17" priority="208" operator="notEqual">
      <formula>MAX($E$9:$E$24)</formula>
    </cfRule>
  </conditionalFormatting>
  <conditionalFormatting sqref="M15">
    <cfRule type="containsBlanks" dxfId="16" priority="1">
      <formula>LEN(TRIM(M15))=0</formula>
    </cfRule>
    <cfRule type="cellIs" dxfId="15" priority="2" operator="equal">
      <formula>0</formula>
    </cfRule>
  </conditionalFormatting>
  <conditionalFormatting sqref="M15:M16">
    <cfRule type="containsBlanks" dxfId="14" priority="3">
      <formula>LEN(TRIM(M15))=0</formula>
    </cfRule>
    <cfRule type="cellIs" dxfId="13" priority="4" operator="equal">
      <formula>0</formula>
    </cfRule>
  </conditionalFormatting>
  <conditionalFormatting sqref="M16">
    <cfRule type="containsBlanks" dxfId="12" priority="7">
      <formula>LEN(TRIM(M16))=0</formula>
    </cfRule>
    <cfRule type="cellIs" dxfId="11" priority="8" operator="equal">
      <formula>0</formula>
    </cfRule>
  </conditionalFormatting>
  <dataValidations count="1">
    <dataValidation type="list" allowBlank="1" showInputMessage="1" showErrorMessage="1" sqref="Z9:Z24 U9:U24 K9:K24 F9:F24 P9:P24" xr:uid="{62176559-EFCE-4F15-8AC7-27DBA51A560B}">
      <formula1>"green,red,yellow,blue,orange,cyan,black,white,magenta,pink"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zoomScale="90" zoomScaleNormal="90" workbookViewId="0">
      <selection activeCell="Q23" sqref="Q23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01"/>
      <c r="B1" s="201"/>
      <c r="C1" s="201" t="s">
        <v>4</v>
      </c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</row>
    <row r="2" spans="1:30" ht="15" thickBot="1" x14ac:dyDescent="0.4">
      <c r="A2" s="201"/>
      <c r="B2" s="201"/>
      <c r="C2" s="135" t="str">
        <f>Neu!$B4</f>
        <v>B4</v>
      </c>
      <c r="D2" s="106">
        <f>Neu!$B5</f>
        <v>0</v>
      </c>
      <c r="E2" s="106">
        <f>Neu!$B6</f>
        <v>0</v>
      </c>
      <c r="F2" s="106">
        <f>Neu!$B7</f>
        <v>0</v>
      </c>
      <c r="G2" s="106">
        <f>Neu!$B8</f>
        <v>0</v>
      </c>
      <c r="H2" s="106">
        <f>Neu!$B9</f>
        <v>0</v>
      </c>
      <c r="I2" s="106">
        <f>Neu!$B10</f>
        <v>0</v>
      </c>
      <c r="J2" s="106">
        <f>Neu!$B11</f>
        <v>0</v>
      </c>
      <c r="K2" s="106">
        <f>Neu!$B12</f>
        <v>0</v>
      </c>
      <c r="L2" s="106">
        <f>Neu!$B13</f>
        <v>0</v>
      </c>
      <c r="M2" s="106">
        <f>Neu!$B14</f>
        <v>0</v>
      </c>
      <c r="N2" s="106">
        <f>Neu!$B15</f>
        <v>0</v>
      </c>
      <c r="O2" s="106">
        <f>Neu!$B16</f>
        <v>0</v>
      </c>
      <c r="P2" s="106">
        <f>Neu!$B17</f>
        <v>0</v>
      </c>
      <c r="Q2" s="106">
        <f>Neu!$B18</f>
        <v>0</v>
      </c>
      <c r="R2" s="106">
        <f>Neu!$B19</f>
        <v>0</v>
      </c>
      <c r="S2" s="106">
        <f>Neu!$B20</f>
        <v>0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202" t="s">
        <v>5</v>
      </c>
      <c r="B3" s="200" t="str">
        <f>Neu!B4</f>
        <v>B4</v>
      </c>
      <c r="C3" s="120"/>
      <c r="D3" s="121"/>
      <c r="E3" s="121"/>
      <c r="F3" s="121"/>
      <c r="G3" s="121"/>
      <c r="H3" s="122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2"/>
      <c r="T3" s="121"/>
      <c r="U3" s="121"/>
      <c r="V3" s="121"/>
      <c r="W3" s="123"/>
      <c r="X3" s="144" t="s">
        <v>168</v>
      </c>
      <c r="Y3" s="1" t="s">
        <v>171</v>
      </c>
      <c r="Z3" s="70"/>
      <c r="AA3" s="70"/>
      <c r="AB3" s="70"/>
      <c r="AC3" s="70"/>
      <c r="AD3" s="70"/>
    </row>
    <row r="4" spans="1:30" ht="14.25" customHeight="1" x14ac:dyDescent="0.35">
      <c r="A4" s="202"/>
      <c r="B4" s="198"/>
      <c r="C4" s="124"/>
      <c r="D4" s="118"/>
      <c r="E4" s="118"/>
      <c r="F4" s="118"/>
      <c r="G4" s="118"/>
      <c r="H4" s="109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09"/>
      <c r="T4" s="118"/>
      <c r="U4" s="118"/>
      <c r="V4" s="118"/>
      <c r="W4" s="125"/>
      <c r="X4" s="144" t="s">
        <v>169</v>
      </c>
      <c r="Y4" s="146">
        <f>MAX($C$3:$W$44)-(ROW(Y4)-4)*0.5</f>
        <v>0</v>
      </c>
      <c r="Z4" s="70"/>
      <c r="AA4" s="70"/>
      <c r="AB4" s="70"/>
      <c r="AC4" s="70"/>
      <c r="AD4" s="70"/>
    </row>
    <row r="5" spans="1:30" ht="14.25" customHeight="1" x14ac:dyDescent="0.35">
      <c r="A5" s="202"/>
      <c r="B5" s="197">
        <f>Neu!B5</f>
        <v>0</v>
      </c>
      <c r="C5" s="126"/>
      <c r="D5" s="115"/>
      <c r="E5" s="117"/>
      <c r="F5" s="117"/>
      <c r="G5" s="117"/>
      <c r="H5" s="110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0"/>
      <c r="T5" s="117"/>
      <c r="U5" s="117"/>
      <c r="V5" s="117"/>
      <c r="W5" s="127"/>
      <c r="X5" s="70"/>
      <c r="Y5" s="146">
        <f t="shared" ref="Y5:Y26" si="0">MAX($C$3:$W$44)-(ROW(Y5)-4)*0.5</f>
        <v>-0.5</v>
      </c>
      <c r="Z5" s="70"/>
      <c r="AA5" s="70"/>
      <c r="AB5" s="70"/>
      <c r="AC5" s="70"/>
      <c r="AD5" s="70"/>
    </row>
    <row r="6" spans="1:30" ht="14.25" customHeight="1" x14ac:dyDescent="0.35">
      <c r="A6" s="202"/>
      <c r="B6" s="198"/>
      <c r="C6" s="128"/>
      <c r="D6" s="119"/>
      <c r="E6" s="103"/>
      <c r="F6" s="103"/>
      <c r="G6" s="103"/>
      <c r="H6" s="10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4"/>
      <c r="T6" s="103"/>
      <c r="U6" s="103"/>
      <c r="V6" s="103"/>
      <c r="W6" s="105"/>
      <c r="X6" s="70"/>
      <c r="Y6" s="146">
        <f t="shared" si="0"/>
        <v>-1</v>
      </c>
      <c r="Z6" s="70"/>
      <c r="AA6" s="70"/>
      <c r="AB6" s="70"/>
      <c r="AC6" s="70"/>
      <c r="AD6" s="70"/>
    </row>
    <row r="7" spans="1:30" ht="14.25" customHeight="1" x14ac:dyDescent="0.35">
      <c r="A7" s="202"/>
      <c r="B7" s="197">
        <f>Neu!B6</f>
        <v>0</v>
      </c>
      <c r="C7" s="126"/>
      <c r="D7" s="117"/>
      <c r="E7" s="115"/>
      <c r="F7" s="117"/>
      <c r="G7" s="117"/>
      <c r="H7" s="110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0"/>
      <c r="T7" s="117"/>
      <c r="U7" s="117"/>
      <c r="V7" s="117"/>
      <c r="W7" s="127"/>
      <c r="X7" s="70"/>
      <c r="Y7" s="146">
        <f t="shared" si="0"/>
        <v>-1.5</v>
      </c>
      <c r="Z7" s="70"/>
      <c r="AA7" s="70"/>
      <c r="AB7" s="70"/>
      <c r="AC7" s="70"/>
      <c r="AD7" s="70"/>
    </row>
    <row r="8" spans="1:30" ht="14.25" customHeight="1" x14ac:dyDescent="0.35">
      <c r="A8" s="202"/>
      <c r="B8" s="198"/>
      <c r="C8" s="128"/>
      <c r="D8" s="103"/>
      <c r="E8" s="119"/>
      <c r="F8" s="103"/>
      <c r="G8" s="103"/>
      <c r="H8" s="104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4"/>
      <c r="T8" s="103"/>
      <c r="U8" s="103"/>
      <c r="V8" s="103"/>
      <c r="W8" s="105"/>
      <c r="X8" s="70"/>
      <c r="Y8" s="146">
        <f t="shared" si="0"/>
        <v>-2</v>
      </c>
      <c r="Z8" s="70"/>
      <c r="AA8" s="70"/>
      <c r="AB8" s="70"/>
      <c r="AC8" s="70"/>
      <c r="AD8" s="70"/>
    </row>
    <row r="9" spans="1:30" ht="14.25" customHeight="1" x14ac:dyDescent="0.35">
      <c r="A9" s="202"/>
      <c r="B9" s="197">
        <f>Neu!B7</f>
        <v>0</v>
      </c>
      <c r="C9" s="126"/>
      <c r="D9" s="117"/>
      <c r="E9" s="117"/>
      <c r="F9" s="115"/>
      <c r="G9" s="117"/>
      <c r="H9" s="110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0"/>
      <c r="T9" s="117"/>
      <c r="U9" s="117"/>
      <c r="V9" s="117"/>
      <c r="W9" s="127"/>
      <c r="X9" s="70"/>
      <c r="Y9" s="146">
        <f t="shared" si="0"/>
        <v>-2.5</v>
      </c>
      <c r="Z9" s="70"/>
      <c r="AA9" s="70"/>
      <c r="AB9" s="70"/>
      <c r="AC9" s="70"/>
      <c r="AD9" s="70"/>
    </row>
    <row r="10" spans="1:30" ht="14.25" customHeight="1" x14ac:dyDescent="0.35">
      <c r="A10" s="202"/>
      <c r="B10" s="198"/>
      <c r="C10" s="128"/>
      <c r="D10" s="103"/>
      <c r="E10" s="103"/>
      <c r="F10" s="119"/>
      <c r="G10" s="103"/>
      <c r="H10" s="104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4"/>
      <c r="T10" s="103"/>
      <c r="U10" s="103"/>
      <c r="V10" s="103"/>
      <c r="W10" s="105"/>
      <c r="X10" s="70"/>
      <c r="Y10" s="146">
        <f t="shared" si="0"/>
        <v>-3</v>
      </c>
      <c r="Z10" s="70"/>
      <c r="AA10" s="70"/>
      <c r="AB10" s="70"/>
      <c r="AC10" s="70"/>
      <c r="AD10" s="70"/>
    </row>
    <row r="11" spans="1:30" ht="14.25" customHeight="1" x14ac:dyDescent="0.35">
      <c r="A11" s="202"/>
      <c r="B11" s="197">
        <f>Neu!B8</f>
        <v>0</v>
      </c>
      <c r="C11" s="126"/>
      <c r="D11" s="117"/>
      <c r="E11" s="117"/>
      <c r="F11" s="117"/>
      <c r="G11" s="115"/>
      <c r="H11" s="110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0"/>
      <c r="T11" s="117"/>
      <c r="U11" s="117"/>
      <c r="V11" s="117"/>
      <c r="W11" s="127"/>
      <c r="X11" s="70"/>
      <c r="Y11" s="146">
        <f t="shared" si="0"/>
        <v>-3.5</v>
      </c>
      <c r="Z11" s="70"/>
      <c r="AA11" s="70"/>
      <c r="AB11" s="70"/>
      <c r="AC11" s="70"/>
      <c r="AD11" s="70"/>
    </row>
    <row r="12" spans="1:30" ht="14.25" customHeight="1" x14ac:dyDescent="0.35">
      <c r="A12" s="202"/>
      <c r="B12" s="198"/>
      <c r="C12" s="128"/>
      <c r="D12" s="103"/>
      <c r="E12" s="103"/>
      <c r="F12" s="103"/>
      <c r="G12" s="119"/>
      <c r="H12" s="104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4"/>
      <c r="T12" s="103"/>
      <c r="U12" s="103"/>
      <c r="V12" s="103"/>
      <c r="W12" s="105"/>
      <c r="X12" s="70"/>
      <c r="Y12" s="146">
        <f t="shared" si="0"/>
        <v>-4</v>
      </c>
      <c r="Z12" s="70"/>
      <c r="AA12" s="70"/>
      <c r="AB12" s="70"/>
      <c r="AC12" s="70"/>
      <c r="AD12" s="70"/>
    </row>
    <row r="13" spans="1:30" ht="14.25" customHeight="1" x14ac:dyDescent="0.35">
      <c r="A13" s="202"/>
      <c r="B13" s="197">
        <f>Neu!B9</f>
        <v>0</v>
      </c>
      <c r="C13" s="126"/>
      <c r="D13" s="117"/>
      <c r="E13" s="117"/>
      <c r="F13" s="117"/>
      <c r="G13" s="117"/>
      <c r="H13" s="108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0"/>
      <c r="T13" s="117"/>
      <c r="U13" s="117"/>
      <c r="V13" s="117"/>
      <c r="W13" s="127"/>
      <c r="X13" s="70"/>
      <c r="Y13" s="146">
        <f t="shared" si="0"/>
        <v>-4.5</v>
      </c>
      <c r="Z13" s="70"/>
      <c r="AA13" s="70"/>
      <c r="AB13" s="70"/>
      <c r="AC13" s="70"/>
      <c r="AD13" s="70"/>
    </row>
    <row r="14" spans="1:30" ht="14.25" customHeight="1" x14ac:dyDescent="0.35">
      <c r="A14" s="202"/>
      <c r="B14" s="198"/>
      <c r="C14" s="129"/>
      <c r="D14" s="118"/>
      <c r="E14" s="118"/>
      <c r="F14" s="118"/>
      <c r="G14" s="118"/>
      <c r="H14" s="111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09"/>
      <c r="T14" s="118"/>
      <c r="U14" s="118"/>
      <c r="V14" s="118"/>
      <c r="W14" s="125"/>
      <c r="X14" s="70"/>
      <c r="Y14" s="146">
        <f t="shared" si="0"/>
        <v>-5</v>
      </c>
      <c r="Z14" s="70"/>
      <c r="AA14" s="70"/>
      <c r="AB14" s="70"/>
      <c r="AC14" s="70"/>
      <c r="AD14" s="70"/>
    </row>
    <row r="15" spans="1:30" ht="14.25" customHeight="1" x14ac:dyDescent="0.35">
      <c r="A15" s="202"/>
      <c r="B15" s="197">
        <f>Neu!B10</f>
        <v>0</v>
      </c>
      <c r="C15" s="126"/>
      <c r="D15" s="117"/>
      <c r="E15" s="117"/>
      <c r="F15" s="117"/>
      <c r="G15" s="117"/>
      <c r="H15" s="110"/>
      <c r="I15" s="115"/>
      <c r="J15" s="117"/>
      <c r="K15" s="117"/>
      <c r="L15" s="117"/>
      <c r="M15" s="117"/>
      <c r="N15" s="117"/>
      <c r="O15" s="117"/>
      <c r="P15" s="117"/>
      <c r="Q15" s="117"/>
      <c r="R15" s="117"/>
      <c r="S15" s="110"/>
      <c r="T15" s="117"/>
      <c r="U15" s="117"/>
      <c r="V15" s="117"/>
      <c r="W15" s="127"/>
      <c r="X15" s="70"/>
      <c r="Y15" s="146">
        <f t="shared" si="0"/>
        <v>-5.5</v>
      </c>
      <c r="Z15" s="70"/>
      <c r="AA15" s="70"/>
      <c r="AB15" s="70"/>
      <c r="AC15" s="70"/>
      <c r="AD15" s="70"/>
    </row>
    <row r="16" spans="1:30" ht="14.25" customHeight="1" x14ac:dyDescent="0.35">
      <c r="A16" s="202"/>
      <c r="B16" s="198"/>
      <c r="C16" s="128"/>
      <c r="D16" s="103"/>
      <c r="E16" s="103"/>
      <c r="F16" s="103"/>
      <c r="G16" s="103"/>
      <c r="H16" s="104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4"/>
      <c r="T16" s="103"/>
      <c r="U16" s="103"/>
      <c r="V16" s="103"/>
      <c r="W16" s="105"/>
      <c r="X16" s="70"/>
      <c r="Y16" s="146">
        <f t="shared" si="0"/>
        <v>-6</v>
      </c>
      <c r="Z16" s="70"/>
      <c r="AA16" s="70"/>
      <c r="AB16" s="70"/>
      <c r="AC16" s="70"/>
      <c r="AD16" s="70"/>
    </row>
    <row r="17" spans="1:30" ht="14.25" customHeight="1" x14ac:dyDescent="0.35">
      <c r="A17" s="202"/>
      <c r="B17" s="197">
        <f>Neu!B11</f>
        <v>0</v>
      </c>
      <c r="C17" s="126"/>
      <c r="D17" s="117"/>
      <c r="E17" s="117"/>
      <c r="F17" s="117"/>
      <c r="G17" s="117"/>
      <c r="H17" s="110"/>
      <c r="I17" s="117"/>
      <c r="J17" s="115"/>
      <c r="K17" s="117"/>
      <c r="L17" s="117"/>
      <c r="M17" s="117"/>
      <c r="N17" s="117"/>
      <c r="O17" s="117"/>
      <c r="P17" s="117"/>
      <c r="Q17" s="117"/>
      <c r="R17" s="117"/>
      <c r="S17" s="110"/>
      <c r="T17" s="117"/>
      <c r="U17" s="117"/>
      <c r="V17" s="117"/>
      <c r="W17" s="127"/>
      <c r="X17" s="70"/>
      <c r="Y17" s="146">
        <f t="shared" si="0"/>
        <v>-6.5</v>
      </c>
      <c r="Z17" s="70"/>
      <c r="AA17" s="70"/>
      <c r="AB17" s="70"/>
      <c r="AC17" s="70"/>
      <c r="AD17" s="70"/>
    </row>
    <row r="18" spans="1:30" ht="14.25" customHeight="1" x14ac:dyDescent="0.35">
      <c r="A18" s="202"/>
      <c r="B18" s="198"/>
      <c r="C18" s="128"/>
      <c r="D18" s="103"/>
      <c r="E18" s="103"/>
      <c r="F18" s="103"/>
      <c r="G18" s="103"/>
      <c r="H18" s="104"/>
      <c r="I18" s="103"/>
      <c r="J18" s="119"/>
      <c r="K18" s="103"/>
      <c r="L18" s="103"/>
      <c r="M18" s="103"/>
      <c r="N18" s="103"/>
      <c r="O18" s="103"/>
      <c r="P18" s="103"/>
      <c r="Q18" s="103"/>
      <c r="R18" s="103"/>
      <c r="S18" s="104"/>
      <c r="T18" s="103"/>
      <c r="U18" s="103"/>
      <c r="V18" s="103"/>
      <c r="W18" s="105"/>
      <c r="X18" s="70"/>
      <c r="Y18" s="146">
        <f t="shared" si="0"/>
        <v>-7</v>
      </c>
      <c r="Z18" s="70"/>
      <c r="AA18" s="70"/>
      <c r="AB18" s="70"/>
      <c r="AC18" s="70"/>
      <c r="AD18" s="70"/>
    </row>
    <row r="19" spans="1:30" ht="14.25" customHeight="1" x14ac:dyDescent="0.35">
      <c r="A19" s="202"/>
      <c r="B19" s="197">
        <f>Neu!B12</f>
        <v>0</v>
      </c>
      <c r="C19" s="126"/>
      <c r="D19" s="117"/>
      <c r="E19" s="117"/>
      <c r="F19" s="117"/>
      <c r="G19" s="117"/>
      <c r="H19" s="110"/>
      <c r="I19" s="117"/>
      <c r="J19" s="117"/>
      <c r="K19" s="115"/>
      <c r="L19" s="117"/>
      <c r="M19" s="117"/>
      <c r="N19" s="117"/>
      <c r="O19" s="117"/>
      <c r="P19" s="117"/>
      <c r="Q19" s="117"/>
      <c r="R19" s="117"/>
      <c r="S19" s="110"/>
      <c r="T19" s="117"/>
      <c r="U19" s="117"/>
      <c r="V19" s="117"/>
      <c r="W19" s="127"/>
      <c r="X19" s="70"/>
      <c r="Y19" s="146">
        <f t="shared" si="0"/>
        <v>-7.5</v>
      </c>
      <c r="Z19" s="70"/>
      <c r="AA19" s="70"/>
      <c r="AB19" s="70"/>
      <c r="AC19" s="70"/>
      <c r="AD19" s="70"/>
    </row>
    <row r="20" spans="1:30" ht="14.25" customHeight="1" x14ac:dyDescent="0.35">
      <c r="A20" s="202"/>
      <c r="B20" s="198"/>
      <c r="C20" s="128"/>
      <c r="D20" s="103"/>
      <c r="E20" s="103"/>
      <c r="F20" s="103"/>
      <c r="G20" s="103"/>
      <c r="H20" s="104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4"/>
      <c r="T20" s="103"/>
      <c r="U20" s="103"/>
      <c r="V20" s="103"/>
      <c r="W20" s="105"/>
      <c r="X20" s="70"/>
      <c r="Y20" s="146">
        <f t="shared" si="0"/>
        <v>-8</v>
      </c>
      <c r="Z20" s="70"/>
      <c r="AA20" s="70"/>
      <c r="AB20" s="70"/>
      <c r="AC20" s="70"/>
      <c r="AD20" s="70"/>
    </row>
    <row r="21" spans="1:30" ht="14.25" customHeight="1" x14ac:dyDescent="0.35">
      <c r="A21" s="202"/>
      <c r="B21" s="197">
        <f>Neu!B13</f>
        <v>0</v>
      </c>
      <c r="C21" s="126"/>
      <c r="D21" s="117"/>
      <c r="E21" s="117"/>
      <c r="F21" s="117"/>
      <c r="G21" s="117"/>
      <c r="H21" s="110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0"/>
      <c r="T21" s="117"/>
      <c r="U21" s="117"/>
      <c r="V21" s="117"/>
      <c r="W21" s="127"/>
      <c r="X21" s="70"/>
      <c r="Y21" s="146">
        <f t="shared" si="0"/>
        <v>-8.5</v>
      </c>
      <c r="Z21" s="70"/>
      <c r="AA21" s="70"/>
      <c r="AB21" s="70"/>
      <c r="AC21" s="70"/>
      <c r="AD21" s="70"/>
    </row>
    <row r="22" spans="1:30" ht="14.25" customHeight="1" x14ac:dyDescent="0.35">
      <c r="A22" s="202"/>
      <c r="B22" s="198"/>
      <c r="C22" s="128"/>
      <c r="D22" s="103"/>
      <c r="E22" s="103"/>
      <c r="F22" s="103"/>
      <c r="G22" s="103"/>
      <c r="H22" s="104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4"/>
      <c r="T22" s="103"/>
      <c r="U22" s="103"/>
      <c r="V22" s="103"/>
      <c r="W22" s="105"/>
      <c r="X22" s="70"/>
      <c r="Y22" s="146">
        <f t="shared" si="0"/>
        <v>-9</v>
      </c>
      <c r="Z22" s="70"/>
      <c r="AA22" s="70"/>
      <c r="AB22" s="70"/>
      <c r="AC22" s="70"/>
      <c r="AD22" s="70"/>
    </row>
    <row r="23" spans="1:30" ht="14.25" customHeight="1" x14ac:dyDescent="0.35">
      <c r="A23" s="202"/>
      <c r="B23" s="197">
        <f>Neu!B14</f>
        <v>0</v>
      </c>
      <c r="C23" s="126"/>
      <c r="D23" s="117"/>
      <c r="E23" s="117"/>
      <c r="F23" s="117"/>
      <c r="G23" s="117"/>
      <c r="H23" s="110"/>
      <c r="I23" s="117"/>
      <c r="J23" s="117"/>
      <c r="K23" s="117"/>
      <c r="L23" s="117"/>
      <c r="M23" s="115"/>
      <c r="N23" s="117"/>
      <c r="O23" s="117"/>
      <c r="P23" s="117"/>
      <c r="Q23" s="117"/>
      <c r="R23" s="117"/>
      <c r="S23" s="110"/>
      <c r="T23" s="117"/>
      <c r="U23" s="117"/>
      <c r="V23" s="117"/>
      <c r="W23" s="127"/>
      <c r="X23" s="70"/>
      <c r="Y23" s="146">
        <f t="shared" si="0"/>
        <v>-9.5</v>
      </c>
      <c r="Z23" s="70"/>
      <c r="AA23" s="70"/>
      <c r="AB23" s="70"/>
      <c r="AC23" s="70"/>
      <c r="AD23" s="70"/>
    </row>
    <row r="24" spans="1:30" ht="14.25" customHeight="1" x14ac:dyDescent="0.35">
      <c r="A24" s="202"/>
      <c r="B24" s="198"/>
      <c r="C24" s="129"/>
      <c r="D24" s="118"/>
      <c r="E24" s="118"/>
      <c r="F24" s="118"/>
      <c r="G24" s="118"/>
      <c r="H24" s="109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09"/>
      <c r="T24" s="118"/>
      <c r="U24" s="118"/>
      <c r="V24" s="118"/>
      <c r="W24" s="125"/>
      <c r="X24" s="70"/>
      <c r="Y24" s="146">
        <f t="shared" si="0"/>
        <v>-10</v>
      </c>
      <c r="Z24" s="70"/>
      <c r="AA24" s="70"/>
      <c r="AB24" s="70"/>
      <c r="AC24" s="70"/>
      <c r="AD24" s="70"/>
    </row>
    <row r="25" spans="1:30" ht="14.25" customHeight="1" x14ac:dyDescent="0.35">
      <c r="A25" s="202"/>
      <c r="B25" s="197">
        <f>Neu!B15</f>
        <v>0</v>
      </c>
      <c r="C25" s="126"/>
      <c r="D25" s="117"/>
      <c r="E25" s="117"/>
      <c r="F25" s="117"/>
      <c r="G25" s="117"/>
      <c r="H25" s="110"/>
      <c r="I25" s="117"/>
      <c r="J25" s="117"/>
      <c r="K25" s="117"/>
      <c r="L25" s="117"/>
      <c r="M25" s="117"/>
      <c r="N25" s="115"/>
      <c r="O25" s="117"/>
      <c r="P25" s="117"/>
      <c r="Q25" s="117"/>
      <c r="R25" s="117"/>
      <c r="S25" s="110"/>
      <c r="T25" s="117"/>
      <c r="U25" s="117"/>
      <c r="V25" s="117"/>
      <c r="W25" s="127"/>
      <c r="X25" s="70"/>
      <c r="Y25" s="146">
        <f t="shared" si="0"/>
        <v>-10.5</v>
      </c>
      <c r="Z25" s="70"/>
      <c r="AA25" s="70"/>
      <c r="AB25" s="70"/>
      <c r="AC25" s="70"/>
      <c r="AD25" s="70"/>
    </row>
    <row r="26" spans="1:30" ht="14.25" customHeight="1" x14ac:dyDescent="0.35">
      <c r="A26" s="202"/>
      <c r="B26" s="198"/>
      <c r="C26" s="128"/>
      <c r="D26" s="103"/>
      <c r="E26" s="103"/>
      <c r="F26" s="103"/>
      <c r="G26" s="103"/>
      <c r="H26" s="104"/>
      <c r="I26" s="103"/>
      <c r="J26" s="103"/>
      <c r="K26" s="103"/>
      <c r="L26" s="103"/>
      <c r="M26" s="103"/>
      <c r="N26" s="119"/>
      <c r="O26" s="103"/>
      <c r="P26" s="103"/>
      <c r="Q26" s="103"/>
      <c r="R26" s="103"/>
      <c r="S26" s="104"/>
      <c r="T26" s="103"/>
      <c r="U26" s="103"/>
      <c r="V26" s="103"/>
      <c r="W26" s="105"/>
      <c r="X26" s="70"/>
      <c r="Y26" s="146">
        <f t="shared" si="0"/>
        <v>-11</v>
      </c>
      <c r="Z26" s="70"/>
      <c r="AA26" s="70"/>
      <c r="AB26" s="70"/>
      <c r="AC26" s="70"/>
      <c r="AD26" s="70"/>
    </row>
    <row r="27" spans="1:30" ht="14.25" customHeight="1" x14ac:dyDescent="0.35">
      <c r="A27" s="202"/>
      <c r="B27" s="197">
        <f>Neu!B16</f>
        <v>0</v>
      </c>
      <c r="C27" s="126"/>
      <c r="D27" s="117"/>
      <c r="E27" s="117"/>
      <c r="F27" s="117"/>
      <c r="G27" s="117"/>
      <c r="H27" s="110"/>
      <c r="I27" s="117"/>
      <c r="J27" s="117"/>
      <c r="K27" s="117"/>
      <c r="L27" s="117"/>
      <c r="M27" s="117"/>
      <c r="N27" s="117"/>
      <c r="O27" s="115"/>
      <c r="P27" s="117"/>
      <c r="Q27" s="117"/>
      <c r="R27" s="117"/>
      <c r="S27" s="110"/>
      <c r="T27" s="117"/>
      <c r="U27" s="117"/>
      <c r="V27" s="117"/>
      <c r="W27" s="127"/>
      <c r="X27" s="70"/>
      <c r="Y27" s="70"/>
      <c r="Z27" s="70"/>
      <c r="AA27" s="70"/>
      <c r="AB27" s="70"/>
      <c r="AC27" s="70"/>
      <c r="AD27" s="70"/>
    </row>
    <row r="28" spans="1:30" ht="14.25" customHeight="1" x14ac:dyDescent="0.35">
      <c r="A28" s="202"/>
      <c r="B28" s="198"/>
      <c r="C28" s="128"/>
      <c r="D28" s="103"/>
      <c r="E28" s="103"/>
      <c r="F28" s="103"/>
      <c r="G28" s="103"/>
      <c r="H28" s="104"/>
      <c r="I28" s="103"/>
      <c r="J28" s="103"/>
      <c r="K28" s="103"/>
      <c r="L28" s="103"/>
      <c r="M28" s="103"/>
      <c r="N28" s="103"/>
      <c r="O28" s="119"/>
      <c r="P28" s="103"/>
      <c r="Q28" s="103"/>
      <c r="R28" s="103"/>
      <c r="S28" s="104"/>
      <c r="T28" s="103"/>
      <c r="U28" s="103"/>
      <c r="V28" s="103"/>
      <c r="W28" s="105"/>
      <c r="X28" s="70"/>
      <c r="Y28" s="70"/>
      <c r="Z28" s="70"/>
      <c r="AA28" s="70"/>
      <c r="AB28" s="70"/>
      <c r="AC28" s="70"/>
      <c r="AD28" s="70"/>
    </row>
    <row r="29" spans="1:30" ht="14.25" customHeight="1" x14ac:dyDescent="0.35">
      <c r="A29" s="202"/>
      <c r="B29" s="197">
        <f>Neu!B17</f>
        <v>0</v>
      </c>
      <c r="C29" s="126"/>
      <c r="D29" s="117"/>
      <c r="E29" s="117"/>
      <c r="F29" s="117"/>
      <c r="G29" s="117"/>
      <c r="H29" s="110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0"/>
      <c r="T29" s="117"/>
      <c r="U29" s="117"/>
      <c r="V29" s="117"/>
      <c r="W29" s="127"/>
      <c r="X29" s="70"/>
      <c r="Y29" s="70"/>
      <c r="Z29" s="70"/>
      <c r="AA29" s="70"/>
      <c r="AB29" s="70"/>
      <c r="AC29" s="70"/>
      <c r="AD29" s="70"/>
    </row>
    <row r="30" spans="1:30" ht="14.25" customHeight="1" x14ac:dyDescent="0.35">
      <c r="A30" s="202"/>
      <c r="B30" s="198"/>
      <c r="C30" s="129"/>
      <c r="D30" s="118"/>
      <c r="E30" s="118"/>
      <c r="F30" s="118"/>
      <c r="G30" s="118"/>
      <c r="H30" s="109"/>
      <c r="I30" s="118"/>
      <c r="J30" s="118"/>
      <c r="K30" s="118"/>
      <c r="L30" s="118"/>
      <c r="M30" s="118"/>
      <c r="N30" s="118"/>
      <c r="O30" s="118"/>
      <c r="P30" s="116"/>
      <c r="Q30" s="118"/>
      <c r="R30" s="118"/>
      <c r="S30" s="109"/>
      <c r="T30" s="118"/>
      <c r="U30" s="118"/>
      <c r="V30" s="118"/>
      <c r="W30" s="125"/>
      <c r="X30" s="70"/>
      <c r="Y30" s="70"/>
      <c r="Z30" s="70"/>
      <c r="AA30" s="70"/>
      <c r="AB30" s="70"/>
      <c r="AC30" s="70"/>
      <c r="AD30" s="70"/>
    </row>
    <row r="31" spans="1:30" ht="14.25" customHeight="1" x14ac:dyDescent="0.35">
      <c r="A31" s="202"/>
      <c r="B31" s="197">
        <f>Neu!B18</f>
        <v>0</v>
      </c>
      <c r="C31" s="126"/>
      <c r="D31" s="117"/>
      <c r="E31" s="117"/>
      <c r="F31" s="117"/>
      <c r="G31" s="117"/>
      <c r="H31" s="110"/>
      <c r="I31" s="117"/>
      <c r="J31" s="117"/>
      <c r="K31" s="117"/>
      <c r="L31" s="117"/>
      <c r="M31" s="117"/>
      <c r="N31" s="117"/>
      <c r="O31" s="117"/>
      <c r="P31" s="117"/>
      <c r="Q31" s="115"/>
      <c r="R31" s="117"/>
      <c r="S31" s="110"/>
      <c r="T31" s="117"/>
      <c r="U31" s="117"/>
      <c r="V31" s="117"/>
      <c r="W31" s="127"/>
      <c r="X31" s="70"/>
      <c r="Y31" s="70"/>
      <c r="Z31" s="70"/>
      <c r="AA31" s="70"/>
      <c r="AB31" s="70"/>
      <c r="AC31" s="70"/>
      <c r="AD31" s="70"/>
    </row>
    <row r="32" spans="1:30" ht="14.25" customHeight="1" x14ac:dyDescent="0.35">
      <c r="A32" s="202"/>
      <c r="B32" s="198"/>
      <c r="C32" s="128"/>
      <c r="D32" s="103"/>
      <c r="E32" s="103"/>
      <c r="F32" s="103"/>
      <c r="G32" s="103"/>
      <c r="H32" s="104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4"/>
      <c r="T32" s="103"/>
      <c r="U32" s="103"/>
      <c r="V32" s="103"/>
      <c r="W32" s="105"/>
      <c r="X32" s="70"/>
      <c r="Y32" s="70"/>
      <c r="Z32" s="70"/>
      <c r="AA32" s="70"/>
      <c r="AB32" s="70"/>
      <c r="AC32" s="70"/>
      <c r="AD32" s="70"/>
    </row>
    <row r="33" spans="1:30" ht="14.25" customHeight="1" x14ac:dyDescent="0.35">
      <c r="A33" s="202"/>
      <c r="B33" s="197">
        <f>Neu!B19</f>
        <v>0</v>
      </c>
      <c r="C33" s="126"/>
      <c r="D33" s="117"/>
      <c r="E33" s="117"/>
      <c r="F33" s="117"/>
      <c r="G33" s="117"/>
      <c r="H33" s="110"/>
      <c r="I33" s="117"/>
      <c r="J33" s="117"/>
      <c r="K33" s="117"/>
      <c r="L33" s="117"/>
      <c r="M33" s="117"/>
      <c r="N33" s="117"/>
      <c r="O33" s="117"/>
      <c r="P33" s="117"/>
      <c r="Q33" s="117"/>
      <c r="R33" s="115"/>
      <c r="S33" s="110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202"/>
      <c r="B34" s="198"/>
      <c r="C34" s="128"/>
      <c r="D34" s="103"/>
      <c r="E34" s="103"/>
      <c r="F34" s="103"/>
      <c r="G34" s="103"/>
      <c r="H34" s="104"/>
      <c r="I34" s="103"/>
      <c r="J34" s="103"/>
      <c r="K34" s="103"/>
      <c r="L34" s="103"/>
      <c r="M34" s="103"/>
      <c r="N34" s="103"/>
      <c r="O34" s="103"/>
      <c r="P34" s="103"/>
      <c r="Q34" s="103"/>
      <c r="R34" s="119"/>
      <c r="S34" s="104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202"/>
      <c r="B35" s="197">
        <f>Neu!B20</f>
        <v>0</v>
      </c>
      <c r="C35" s="126"/>
      <c r="D35" s="117"/>
      <c r="E35" s="117"/>
      <c r="F35" s="117"/>
      <c r="G35" s="117"/>
      <c r="H35" s="110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08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202"/>
      <c r="B36" s="198"/>
      <c r="C36" s="128"/>
      <c r="D36" s="103"/>
      <c r="E36" s="103"/>
      <c r="F36" s="103"/>
      <c r="G36" s="103"/>
      <c r="H36" s="104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12"/>
      <c r="T36" s="103"/>
      <c r="U36" s="103"/>
      <c r="V36" s="103"/>
      <c r="W36" s="10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202"/>
      <c r="B37" s="197">
        <f>Neu!B21</f>
        <v>0</v>
      </c>
      <c r="C37" s="126"/>
      <c r="D37" s="117"/>
      <c r="E37" s="117"/>
      <c r="F37" s="117"/>
      <c r="G37" s="117"/>
      <c r="H37" s="110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0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202"/>
      <c r="B38" s="198"/>
      <c r="C38" s="129"/>
      <c r="D38" s="118"/>
      <c r="E38" s="118"/>
      <c r="F38" s="118"/>
      <c r="G38" s="118"/>
      <c r="H38" s="109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09"/>
      <c r="T38" s="116"/>
      <c r="U38" s="118"/>
      <c r="V38" s="118"/>
      <c r="W38" s="12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202"/>
      <c r="B39" s="197">
        <f>Neu!B22</f>
        <v>0</v>
      </c>
      <c r="C39" s="126"/>
      <c r="D39" s="117"/>
      <c r="E39" s="117"/>
      <c r="F39" s="117"/>
      <c r="G39" s="117"/>
      <c r="H39" s="110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0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202"/>
      <c r="B40" s="198"/>
      <c r="C40" s="128"/>
      <c r="D40" s="103"/>
      <c r="E40" s="103"/>
      <c r="F40" s="103"/>
      <c r="G40" s="103"/>
      <c r="H40" s="104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4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202"/>
      <c r="B41" s="197">
        <f>Neu!B23</f>
        <v>0</v>
      </c>
      <c r="C41" s="126"/>
      <c r="D41" s="117"/>
      <c r="E41" s="117"/>
      <c r="F41" s="117"/>
      <c r="G41" s="117"/>
      <c r="H41" s="110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0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202"/>
      <c r="B42" s="198"/>
      <c r="C42" s="128"/>
      <c r="D42" s="103"/>
      <c r="E42" s="103"/>
      <c r="F42" s="103"/>
      <c r="G42" s="103"/>
      <c r="H42" s="104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4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202"/>
      <c r="B43" s="197">
        <f>Neu!B24</f>
        <v>0</v>
      </c>
      <c r="C43" s="126"/>
      <c r="D43" s="117"/>
      <c r="E43" s="117"/>
      <c r="F43" s="117"/>
      <c r="G43" s="117"/>
      <c r="H43" s="110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0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31"/>
      <c r="D44" s="132"/>
      <c r="E44" s="132"/>
      <c r="F44" s="132"/>
      <c r="G44" s="132"/>
      <c r="H44" s="133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3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  <mergeCell ref="B39:B40"/>
    <mergeCell ref="B41:B42"/>
    <mergeCell ref="B43:B44"/>
    <mergeCell ref="B27:B28"/>
    <mergeCell ref="B29:B30"/>
    <mergeCell ref="B31:B32"/>
    <mergeCell ref="B33:B34"/>
    <mergeCell ref="B35:B36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zoomScale="90" zoomScaleNormal="90" workbookViewId="0">
      <selection activeCell="G24" sqref="G2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01"/>
      <c r="B1" s="201"/>
      <c r="C1" s="201" t="s">
        <v>4</v>
      </c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</row>
    <row r="2" spans="1:30" ht="15" thickBot="1" x14ac:dyDescent="0.4">
      <c r="A2" s="201"/>
      <c r="B2" s="201"/>
      <c r="C2" s="135" t="str">
        <f>Neu!$B4</f>
        <v>B4</v>
      </c>
      <c r="D2" s="106">
        <f>Neu!$B5</f>
        <v>0</v>
      </c>
      <c r="E2" s="106">
        <f>Neu!$B6</f>
        <v>0</v>
      </c>
      <c r="F2" s="106">
        <f>Neu!$B7</f>
        <v>0</v>
      </c>
      <c r="G2" s="106">
        <f>Neu!$B8</f>
        <v>0</v>
      </c>
      <c r="H2" s="106">
        <f>Neu!$B9</f>
        <v>0</v>
      </c>
      <c r="I2" s="106">
        <f>Neu!$B10</f>
        <v>0</v>
      </c>
      <c r="J2" s="106">
        <f>Neu!$B11</f>
        <v>0</v>
      </c>
      <c r="K2" s="106">
        <f>Neu!$B12</f>
        <v>0</v>
      </c>
      <c r="L2" s="106">
        <f>Neu!$B13</f>
        <v>0</v>
      </c>
      <c r="M2" s="106">
        <f>Neu!$B14</f>
        <v>0</v>
      </c>
      <c r="N2" s="106">
        <f>Neu!$B15</f>
        <v>0</v>
      </c>
      <c r="O2" s="106">
        <f>Neu!$B16</f>
        <v>0</v>
      </c>
      <c r="P2" s="106">
        <f>Neu!$B17</f>
        <v>0</v>
      </c>
      <c r="Q2" s="106">
        <f>Neu!$B18</f>
        <v>0</v>
      </c>
      <c r="R2" s="106">
        <f>Neu!$B19</f>
        <v>0</v>
      </c>
      <c r="S2" s="106">
        <f>Neu!$B20</f>
        <v>0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202" t="s">
        <v>5</v>
      </c>
      <c r="B3" s="200" t="str">
        <f>Neu!B4</f>
        <v>B4</v>
      </c>
      <c r="C3" s="139"/>
      <c r="D3" s="121"/>
      <c r="E3" s="121"/>
      <c r="F3" s="121"/>
      <c r="G3" s="122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3"/>
      <c r="X3" s="144" t="s">
        <v>168</v>
      </c>
      <c r="Y3" s="1" t="s">
        <v>171</v>
      </c>
      <c r="Z3" s="70"/>
      <c r="AA3" s="70"/>
      <c r="AB3" s="70"/>
      <c r="AC3" s="70"/>
      <c r="AD3" s="70"/>
    </row>
    <row r="4" spans="1:30" ht="14.25" customHeight="1" x14ac:dyDescent="0.35">
      <c r="A4" s="202"/>
      <c r="B4" s="198"/>
      <c r="C4" s="138"/>
      <c r="D4" s="103"/>
      <c r="E4" s="103"/>
      <c r="F4" s="103"/>
      <c r="G4" s="104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5"/>
      <c r="X4" s="144" t="s">
        <v>169</v>
      </c>
      <c r="Y4" s="146">
        <f>MAX($C$3:$W$44)-(ROW(Y4)-4)*10</f>
        <v>0</v>
      </c>
      <c r="Z4" s="70"/>
      <c r="AA4" s="70"/>
      <c r="AB4" s="70"/>
      <c r="AC4" s="70"/>
      <c r="AD4" s="70"/>
    </row>
    <row r="5" spans="1:30" ht="14.25" customHeight="1" x14ac:dyDescent="0.35">
      <c r="A5" s="202"/>
      <c r="B5" s="197">
        <f>Neu!B5</f>
        <v>0</v>
      </c>
      <c r="C5" s="113"/>
      <c r="D5" s="115"/>
      <c r="E5" s="117"/>
      <c r="F5" s="117"/>
      <c r="G5" s="110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27"/>
      <c r="X5" s="70"/>
      <c r="Y5" s="146">
        <f t="shared" ref="Y5:Y32" si="0">MAX($C$3:$W$44)-(ROW(Y5)-4)*10</f>
        <v>-10</v>
      </c>
      <c r="Z5" s="70"/>
      <c r="AA5" s="70"/>
      <c r="AB5" s="70"/>
      <c r="AC5" s="70"/>
      <c r="AD5" s="70"/>
    </row>
    <row r="6" spans="1:30" ht="14.25" customHeight="1" x14ac:dyDescent="0.35">
      <c r="A6" s="202"/>
      <c r="B6" s="198"/>
      <c r="C6" s="136"/>
      <c r="D6" s="119"/>
      <c r="E6" s="103"/>
      <c r="F6" s="103"/>
      <c r="G6" s="104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5"/>
      <c r="X6" s="70"/>
      <c r="Y6" s="146">
        <f t="shared" si="0"/>
        <v>-20</v>
      </c>
      <c r="Z6" s="70"/>
      <c r="AA6" s="70"/>
      <c r="AB6" s="70"/>
      <c r="AC6" s="70"/>
      <c r="AD6" s="70"/>
    </row>
    <row r="7" spans="1:30" ht="14.25" customHeight="1" x14ac:dyDescent="0.35">
      <c r="A7" s="202"/>
      <c r="B7" s="197">
        <f>Neu!B6</f>
        <v>0</v>
      </c>
      <c r="C7" s="113"/>
      <c r="D7" s="117"/>
      <c r="E7" s="115"/>
      <c r="F7" s="117"/>
      <c r="G7" s="110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27"/>
      <c r="X7" s="70"/>
      <c r="Y7" s="146">
        <f t="shared" si="0"/>
        <v>-30</v>
      </c>
      <c r="Z7" s="70"/>
      <c r="AA7" s="70"/>
      <c r="AB7" s="70"/>
      <c r="AC7" s="70"/>
      <c r="AD7" s="70"/>
    </row>
    <row r="8" spans="1:30" ht="14.25" customHeight="1" x14ac:dyDescent="0.35">
      <c r="A8" s="202"/>
      <c r="B8" s="198"/>
      <c r="C8" s="136"/>
      <c r="D8" s="103"/>
      <c r="E8" s="119"/>
      <c r="F8" s="103"/>
      <c r="G8" s="104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5"/>
      <c r="X8" s="70"/>
      <c r="Y8" s="146">
        <f t="shared" si="0"/>
        <v>-40</v>
      </c>
      <c r="Z8" s="70"/>
      <c r="AA8" s="70"/>
      <c r="AB8" s="70"/>
      <c r="AC8" s="70"/>
      <c r="AD8" s="70"/>
    </row>
    <row r="9" spans="1:30" ht="14.25" customHeight="1" x14ac:dyDescent="0.35">
      <c r="A9" s="202"/>
      <c r="B9" s="197">
        <f>Neu!B7</f>
        <v>0</v>
      </c>
      <c r="C9" s="113"/>
      <c r="D9" s="117"/>
      <c r="E9" s="117"/>
      <c r="F9" s="115"/>
      <c r="G9" s="110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27"/>
      <c r="X9" s="70"/>
      <c r="Y9" s="146">
        <f t="shared" si="0"/>
        <v>-50</v>
      </c>
      <c r="Z9" s="70"/>
      <c r="AA9" s="70"/>
      <c r="AB9" s="70"/>
      <c r="AC9" s="70"/>
      <c r="AD9" s="70"/>
    </row>
    <row r="10" spans="1:30" ht="14.25" customHeight="1" x14ac:dyDescent="0.35">
      <c r="A10" s="202"/>
      <c r="B10" s="198"/>
      <c r="C10" s="136"/>
      <c r="D10" s="103"/>
      <c r="E10" s="103"/>
      <c r="F10" s="119"/>
      <c r="G10" s="104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5"/>
      <c r="X10" s="70"/>
      <c r="Y10" s="146">
        <f t="shared" si="0"/>
        <v>-60</v>
      </c>
      <c r="Z10" s="70"/>
      <c r="AA10" s="70"/>
      <c r="AB10" s="70"/>
      <c r="AC10" s="70"/>
      <c r="AD10" s="70"/>
    </row>
    <row r="11" spans="1:30" ht="14.25" customHeight="1" x14ac:dyDescent="0.35">
      <c r="A11" s="202"/>
      <c r="B11" s="197">
        <f>Neu!B8</f>
        <v>0</v>
      </c>
      <c r="C11" s="113"/>
      <c r="D11" s="117"/>
      <c r="E11" s="117"/>
      <c r="F11" s="117"/>
      <c r="G11" s="108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27"/>
      <c r="X11" s="70"/>
      <c r="Y11" s="146">
        <f t="shared" si="0"/>
        <v>-70</v>
      </c>
      <c r="Z11" s="70"/>
      <c r="AA11" s="70"/>
      <c r="AB11" s="70"/>
      <c r="AC11" s="70"/>
      <c r="AD11" s="70"/>
    </row>
    <row r="12" spans="1:30" ht="14.25" customHeight="1" x14ac:dyDescent="0.35">
      <c r="A12" s="202"/>
      <c r="B12" s="198"/>
      <c r="C12" s="137"/>
      <c r="D12" s="118"/>
      <c r="E12" s="118"/>
      <c r="F12" s="118"/>
      <c r="G12" s="111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25"/>
      <c r="X12" s="70"/>
      <c r="Y12" s="146">
        <f t="shared" si="0"/>
        <v>-80</v>
      </c>
      <c r="Z12" s="70"/>
      <c r="AA12" s="70"/>
      <c r="AB12" s="70"/>
      <c r="AC12" s="70"/>
      <c r="AD12" s="70"/>
    </row>
    <row r="13" spans="1:30" ht="14.25" customHeight="1" x14ac:dyDescent="0.35">
      <c r="A13" s="202"/>
      <c r="B13" s="197">
        <f>Neu!B9</f>
        <v>0</v>
      </c>
      <c r="C13" s="113"/>
      <c r="D13" s="117"/>
      <c r="E13" s="117"/>
      <c r="F13" s="117"/>
      <c r="G13" s="110"/>
      <c r="H13" s="11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27"/>
      <c r="X13" s="70"/>
      <c r="Y13" s="146">
        <f t="shared" si="0"/>
        <v>-90</v>
      </c>
      <c r="Z13" s="70"/>
      <c r="AA13" s="70"/>
      <c r="AB13" s="70"/>
      <c r="AC13" s="70"/>
      <c r="AD13" s="70"/>
    </row>
    <row r="14" spans="1:30" ht="14.25" customHeight="1" x14ac:dyDescent="0.35">
      <c r="A14" s="202"/>
      <c r="B14" s="198"/>
      <c r="C14" s="136"/>
      <c r="D14" s="103"/>
      <c r="E14" s="103"/>
      <c r="F14" s="103"/>
      <c r="G14" s="104"/>
      <c r="H14" s="119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5"/>
      <c r="X14" s="70"/>
      <c r="Y14" s="146">
        <f t="shared" si="0"/>
        <v>-100</v>
      </c>
      <c r="Z14" s="70"/>
      <c r="AA14" s="70"/>
      <c r="AB14" s="70"/>
      <c r="AC14" s="70"/>
      <c r="AD14" s="70"/>
    </row>
    <row r="15" spans="1:30" ht="14.25" customHeight="1" x14ac:dyDescent="0.35">
      <c r="A15" s="202"/>
      <c r="B15" s="197">
        <f>Neu!B10</f>
        <v>0</v>
      </c>
      <c r="C15" s="113"/>
      <c r="D15" s="117"/>
      <c r="E15" s="117"/>
      <c r="F15" s="117"/>
      <c r="G15" s="110"/>
      <c r="H15" s="117"/>
      <c r="I15" s="115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27"/>
      <c r="X15" s="70"/>
      <c r="Y15" s="146">
        <f t="shared" si="0"/>
        <v>-110</v>
      </c>
      <c r="Z15" s="70"/>
      <c r="AA15" s="70"/>
      <c r="AB15" s="70"/>
      <c r="AC15" s="70"/>
      <c r="AD15" s="70"/>
    </row>
    <row r="16" spans="1:30" ht="14.25" customHeight="1" x14ac:dyDescent="0.35">
      <c r="A16" s="202"/>
      <c r="B16" s="198"/>
      <c r="C16" s="136"/>
      <c r="D16" s="103"/>
      <c r="E16" s="103"/>
      <c r="F16" s="103"/>
      <c r="G16" s="104"/>
      <c r="H16" s="103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5"/>
      <c r="X16" s="70"/>
      <c r="Y16" s="146">
        <f t="shared" si="0"/>
        <v>-120</v>
      </c>
      <c r="Z16" s="70"/>
      <c r="AA16" s="70"/>
      <c r="AB16" s="70"/>
      <c r="AC16" s="70"/>
      <c r="AD16" s="70"/>
    </row>
    <row r="17" spans="1:30" ht="14.25" customHeight="1" x14ac:dyDescent="0.35">
      <c r="A17" s="202"/>
      <c r="B17" s="197">
        <f>Neu!B11</f>
        <v>0</v>
      </c>
      <c r="C17" s="113"/>
      <c r="D17" s="117"/>
      <c r="E17" s="117"/>
      <c r="F17" s="117"/>
      <c r="G17" s="110"/>
      <c r="H17" s="117"/>
      <c r="I17" s="117"/>
      <c r="J17" s="115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27"/>
      <c r="X17" s="70"/>
      <c r="Y17" s="146">
        <f t="shared" si="0"/>
        <v>-130</v>
      </c>
      <c r="Z17" s="70"/>
      <c r="AA17" s="70"/>
      <c r="AB17" s="70"/>
      <c r="AC17" s="70"/>
      <c r="AD17" s="70"/>
    </row>
    <row r="18" spans="1:30" ht="14.25" customHeight="1" x14ac:dyDescent="0.35">
      <c r="A18" s="202"/>
      <c r="B18" s="198"/>
      <c r="C18" s="136"/>
      <c r="D18" s="103"/>
      <c r="E18" s="103"/>
      <c r="F18" s="103"/>
      <c r="G18" s="104"/>
      <c r="H18" s="103"/>
      <c r="I18" s="103"/>
      <c r="J18" s="119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5"/>
      <c r="X18" s="70"/>
      <c r="Y18" s="146">
        <f t="shared" si="0"/>
        <v>-140</v>
      </c>
      <c r="Z18" s="70"/>
      <c r="AA18" s="70"/>
      <c r="AB18" s="70"/>
      <c r="AC18" s="70"/>
      <c r="AD18" s="70"/>
    </row>
    <row r="19" spans="1:30" ht="14.25" customHeight="1" x14ac:dyDescent="0.35">
      <c r="A19" s="202"/>
      <c r="B19" s="197">
        <f>Neu!B12</f>
        <v>0</v>
      </c>
      <c r="C19" s="113"/>
      <c r="D19" s="117"/>
      <c r="E19" s="117"/>
      <c r="F19" s="117"/>
      <c r="G19" s="110"/>
      <c r="H19" s="117"/>
      <c r="I19" s="117"/>
      <c r="J19" s="117"/>
      <c r="K19" s="115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27"/>
      <c r="X19" s="70"/>
      <c r="Y19" s="146">
        <f t="shared" si="0"/>
        <v>-150</v>
      </c>
      <c r="Z19" s="70"/>
      <c r="AA19" s="70"/>
      <c r="AB19" s="70"/>
      <c r="AC19" s="70"/>
      <c r="AD19" s="70"/>
    </row>
    <row r="20" spans="1:30" ht="14.25" customHeight="1" x14ac:dyDescent="0.35">
      <c r="A20" s="202"/>
      <c r="B20" s="198"/>
      <c r="C20" s="136"/>
      <c r="D20" s="103"/>
      <c r="E20" s="103"/>
      <c r="F20" s="103"/>
      <c r="G20" s="104"/>
      <c r="H20" s="103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5"/>
      <c r="X20" s="70"/>
      <c r="Y20" s="146">
        <f t="shared" si="0"/>
        <v>-160</v>
      </c>
      <c r="Z20" s="70"/>
      <c r="AA20" s="70"/>
      <c r="AB20" s="70"/>
      <c r="AC20" s="70"/>
      <c r="AD20" s="70"/>
    </row>
    <row r="21" spans="1:30" ht="14.25" customHeight="1" x14ac:dyDescent="0.35">
      <c r="A21" s="202"/>
      <c r="B21" s="197">
        <f>Neu!B13</f>
        <v>0</v>
      </c>
      <c r="C21" s="113"/>
      <c r="D21" s="117"/>
      <c r="E21" s="117"/>
      <c r="F21" s="117"/>
      <c r="G21" s="110"/>
      <c r="H21" s="117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27"/>
      <c r="X21" s="70"/>
      <c r="Y21" s="146">
        <f t="shared" si="0"/>
        <v>-170</v>
      </c>
      <c r="Z21" s="70"/>
      <c r="AA21" s="70"/>
      <c r="AB21" s="70"/>
      <c r="AC21" s="70"/>
      <c r="AD21" s="70"/>
    </row>
    <row r="22" spans="1:30" ht="14.25" customHeight="1" x14ac:dyDescent="0.35">
      <c r="A22" s="202"/>
      <c r="B22" s="198"/>
      <c r="C22" s="136"/>
      <c r="D22" s="103"/>
      <c r="E22" s="103"/>
      <c r="F22" s="103"/>
      <c r="G22" s="104"/>
      <c r="H22" s="103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5"/>
      <c r="X22" s="70"/>
      <c r="Y22" s="146">
        <f t="shared" si="0"/>
        <v>-180</v>
      </c>
      <c r="Z22" s="70"/>
      <c r="AA22" s="70"/>
      <c r="AB22" s="70"/>
      <c r="AC22" s="70"/>
      <c r="AD22" s="70"/>
    </row>
    <row r="23" spans="1:30" ht="14.25" customHeight="1" x14ac:dyDescent="0.35">
      <c r="A23" s="202"/>
      <c r="B23" s="197">
        <f>Neu!B14</f>
        <v>0</v>
      </c>
      <c r="C23" s="113"/>
      <c r="D23" s="117"/>
      <c r="E23" s="117"/>
      <c r="F23" s="117"/>
      <c r="G23" s="110"/>
      <c r="H23" s="117"/>
      <c r="I23" s="117"/>
      <c r="J23" s="117"/>
      <c r="K23" s="117"/>
      <c r="L23" s="117"/>
      <c r="M23" s="115"/>
      <c r="N23" s="117"/>
      <c r="O23" s="117"/>
      <c r="P23" s="117"/>
      <c r="Q23" s="117"/>
      <c r="R23" s="117"/>
      <c r="S23" s="117"/>
      <c r="T23" s="117"/>
      <c r="U23" s="117"/>
      <c r="V23" s="117"/>
      <c r="W23" s="127"/>
      <c r="X23" s="70"/>
      <c r="Y23" s="146">
        <f t="shared" si="0"/>
        <v>-190</v>
      </c>
      <c r="Z23" s="70"/>
      <c r="AA23" s="70"/>
      <c r="AB23" s="70"/>
      <c r="AC23" s="70"/>
      <c r="AD23" s="70"/>
    </row>
    <row r="24" spans="1:30" ht="14.25" customHeight="1" x14ac:dyDescent="0.35">
      <c r="A24" s="202"/>
      <c r="B24" s="198"/>
      <c r="C24" s="137"/>
      <c r="D24" s="118"/>
      <c r="E24" s="118"/>
      <c r="F24" s="118"/>
      <c r="G24" s="109"/>
      <c r="H24" s="118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18"/>
      <c r="T24" s="118"/>
      <c r="U24" s="118"/>
      <c r="V24" s="118"/>
      <c r="W24" s="125"/>
      <c r="X24" s="70"/>
      <c r="Y24" s="146">
        <f t="shared" si="0"/>
        <v>-200</v>
      </c>
      <c r="Z24" s="70"/>
      <c r="AA24" s="70"/>
      <c r="AB24" s="70"/>
      <c r="AC24" s="70"/>
      <c r="AD24" s="70"/>
    </row>
    <row r="25" spans="1:30" ht="14.25" customHeight="1" x14ac:dyDescent="0.35">
      <c r="A25" s="202"/>
      <c r="B25" s="197">
        <f>Neu!B15</f>
        <v>0</v>
      </c>
      <c r="C25" s="113"/>
      <c r="D25" s="117"/>
      <c r="E25" s="117"/>
      <c r="F25" s="117"/>
      <c r="G25" s="110"/>
      <c r="H25" s="117"/>
      <c r="I25" s="117"/>
      <c r="J25" s="117"/>
      <c r="K25" s="117"/>
      <c r="L25" s="117"/>
      <c r="M25" s="117"/>
      <c r="N25" s="115"/>
      <c r="O25" s="117"/>
      <c r="P25" s="117"/>
      <c r="Q25" s="117"/>
      <c r="R25" s="117"/>
      <c r="S25" s="117"/>
      <c r="T25" s="117"/>
      <c r="U25" s="117"/>
      <c r="V25" s="117"/>
      <c r="W25" s="127"/>
      <c r="X25" s="70"/>
      <c r="Y25" s="146">
        <f t="shared" si="0"/>
        <v>-210</v>
      </c>
      <c r="Z25" s="70"/>
      <c r="AA25" s="70"/>
      <c r="AB25" s="70"/>
      <c r="AC25" s="70"/>
      <c r="AD25" s="70"/>
    </row>
    <row r="26" spans="1:30" ht="14.25" customHeight="1" x14ac:dyDescent="0.35">
      <c r="A26" s="202"/>
      <c r="B26" s="198"/>
      <c r="C26" s="136"/>
      <c r="D26" s="103"/>
      <c r="E26" s="103"/>
      <c r="F26" s="103"/>
      <c r="G26" s="104"/>
      <c r="H26" s="103"/>
      <c r="I26" s="103"/>
      <c r="J26" s="103"/>
      <c r="K26" s="103"/>
      <c r="L26" s="103"/>
      <c r="M26" s="103"/>
      <c r="N26" s="119"/>
      <c r="O26" s="103"/>
      <c r="P26" s="103"/>
      <c r="Q26" s="103"/>
      <c r="R26" s="103"/>
      <c r="S26" s="103"/>
      <c r="T26" s="103"/>
      <c r="U26" s="103"/>
      <c r="V26" s="103"/>
      <c r="W26" s="105"/>
      <c r="X26" s="70"/>
      <c r="Y26" s="146">
        <f t="shared" si="0"/>
        <v>-220</v>
      </c>
      <c r="Z26" s="70"/>
      <c r="AA26" s="70"/>
      <c r="AB26" s="70"/>
      <c r="AC26" s="70"/>
      <c r="AD26" s="70"/>
    </row>
    <row r="27" spans="1:30" ht="14.25" customHeight="1" x14ac:dyDescent="0.35">
      <c r="A27" s="202"/>
      <c r="B27" s="197">
        <f>Neu!B16</f>
        <v>0</v>
      </c>
      <c r="C27" s="113"/>
      <c r="D27" s="117"/>
      <c r="E27" s="117"/>
      <c r="F27" s="117"/>
      <c r="G27" s="110"/>
      <c r="H27" s="117"/>
      <c r="I27" s="117"/>
      <c r="J27" s="117"/>
      <c r="K27" s="117"/>
      <c r="L27" s="117"/>
      <c r="M27" s="117"/>
      <c r="N27" s="117"/>
      <c r="O27" s="115"/>
      <c r="P27" s="117"/>
      <c r="Q27" s="117"/>
      <c r="R27" s="117"/>
      <c r="S27" s="117"/>
      <c r="T27" s="117"/>
      <c r="U27" s="117"/>
      <c r="V27" s="117"/>
      <c r="W27" s="127"/>
      <c r="X27" s="70"/>
      <c r="Y27" s="146">
        <f t="shared" si="0"/>
        <v>-230</v>
      </c>
      <c r="Z27" s="70"/>
      <c r="AA27" s="70"/>
      <c r="AB27" s="70"/>
      <c r="AC27" s="70"/>
      <c r="AD27" s="70"/>
    </row>
    <row r="28" spans="1:30" ht="14.25" customHeight="1" x14ac:dyDescent="0.35">
      <c r="A28" s="202"/>
      <c r="B28" s="198"/>
      <c r="C28" s="136"/>
      <c r="D28" s="103"/>
      <c r="E28" s="103"/>
      <c r="F28" s="103"/>
      <c r="G28" s="104"/>
      <c r="H28" s="103"/>
      <c r="I28" s="103"/>
      <c r="J28" s="103"/>
      <c r="K28" s="103"/>
      <c r="L28" s="103"/>
      <c r="M28" s="103"/>
      <c r="N28" s="103"/>
      <c r="O28" s="119"/>
      <c r="P28" s="103"/>
      <c r="Q28" s="103"/>
      <c r="R28" s="103"/>
      <c r="S28" s="103"/>
      <c r="T28" s="103"/>
      <c r="U28" s="103"/>
      <c r="V28" s="103"/>
      <c r="W28" s="105"/>
      <c r="X28" s="70"/>
      <c r="Y28" s="146">
        <f t="shared" si="0"/>
        <v>-240</v>
      </c>
      <c r="Z28" s="70"/>
      <c r="AA28" s="70"/>
      <c r="AB28" s="70"/>
      <c r="AC28" s="70"/>
      <c r="AD28" s="70"/>
    </row>
    <row r="29" spans="1:30" ht="14.25" customHeight="1" x14ac:dyDescent="0.35">
      <c r="A29" s="202"/>
      <c r="B29" s="197">
        <f>Neu!B17</f>
        <v>0</v>
      </c>
      <c r="C29" s="113"/>
      <c r="D29" s="117"/>
      <c r="E29" s="117"/>
      <c r="F29" s="117"/>
      <c r="G29" s="110"/>
      <c r="H29" s="117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7"/>
      <c r="T29" s="117"/>
      <c r="U29" s="117"/>
      <c r="V29" s="117"/>
      <c r="W29" s="127"/>
      <c r="X29" s="70"/>
      <c r="Y29" s="146">
        <f t="shared" si="0"/>
        <v>-250</v>
      </c>
      <c r="Z29" s="70"/>
      <c r="AA29" s="70"/>
      <c r="AB29" s="70"/>
      <c r="AC29" s="70"/>
      <c r="AD29" s="70"/>
    </row>
    <row r="30" spans="1:30" ht="14.25" customHeight="1" x14ac:dyDescent="0.35">
      <c r="A30" s="202"/>
      <c r="B30" s="198"/>
      <c r="C30" s="136"/>
      <c r="D30" s="103"/>
      <c r="E30" s="103"/>
      <c r="F30" s="103"/>
      <c r="G30" s="104"/>
      <c r="H30" s="103"/>
      <c r="I30" s="103"/>
      <c r="J30" s="103"/>
      <c r="K30" s="103"/>
      <c r="L30" s="103"/>
      <c r="M30" s="103"/>
      <c r="N30" s="103"/>
      <c r="O30" s="103"/>
      <c r="P30" s="119"/>
      <c r="Q30" s="103"/>
      <c r="R30" s="103"/>
      <c r="S30" s="103"/>
      <c r="T30" s="103"/>
      <c r="U30" s="103"/>
      <c r="V30" s="103"/>
      <c r="W30" s="105"/>
      <c r="X30" s="70"/>
      <c r="Y30" s="146">
        <f t="shared" si="0"/>
        <v>-260</v>
      </c>
      <c r="Z30" s="70"/>
      <c r="AA30" s="70"/>
      <c r="AB30" s="70"/>
      <c r="AC30" s="70"/>
      <c r="AD30" s="70"/>
    </row>
    <row r="31" spans="1:30" ht="14.25" customHeight="1" x14ac:dyDescent="0.35">
      <c r="A31" s="202"/>
      <c r="B31" s="197">
        <f>Neu!B18</f>
        <v>0</v>
      </c>
      <c r="C31" s="113"/>
      <c r="D31" s="117"/>
      <c r="E31" s="117"/>
      <c r="F31" s="117"/>
      <c r="G31" s="110"/>
      <c r="H31" s="117"/>
      <c r="I31" s="117"/>
      <c r="J31" s="117"/>
      <c r="K31" s="117"/>
      <c r="L31" s="117"/>
      <c r="M31" s="117"/>
      <c r="N31" s="117"/>
      <c r="O31" s="117"/>
      <c r="P31" s="117"/>
      <c r="Q31" s="115"/>
      <c r="R31" s="117"/>
      <c r="S31" s="117"/>
      <c r="T31" s="117"/>
      <c r="U31" s="117"/>
      <c r="V31" s="117"/>
      <c r="W31" s="127"/>
      <c r="X31" s="70"/>
      <c r="Y31" s="146">
        <f t="shared" si="0"/>
        <v>-270</v>
      </c>
      <c r="Z31" s="70"/>
      <c r="AA31" s="70"/>
      <c r="AB31" s="70"/>
      <c r="AC31" s="70"/>
      <c r="AD31" s="70"/>
    </row>
    <row r="32" spans="1:30" ht="14.25" customHeight="1" x14ac:dyDescent="0.35">
      <c r="A32" s="202"/>
      <c r="B32" s="198"/>
      <c r="C32" s="136"/>
      <c r="D32" s="103"/>
      <c r="E32" s="103"/>
      <c r="F32" s="103"/>
      <c r="G32" s="104"/>
      <c r="H32" s="103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3"/>
      <c r="T32" s="103"/>
      <c r="U32" s="103"/>
      <c r="V32" s="103"/>
      <c r="W32" s="105"/>
      <c r="X32" s="70"/>
      <c r="Y32" s="146">
        <f t="shared" si="0"/>
        <v>-280</v>
      </c>
      <c r="Z32" s="70"/>
      <c r="AA32" s="70"/>
      <c r="AB32" s="70"/>
      <c r="AC32" s="70"/>
      <c r="AD32" s="70"/>
    </row>
    <row r="33" spans="1:30" ht="14.25" customHeight="1" x14ac:dyDescent="0.35">
      <c r="A33" s="202"/>
      <c r="B33" s="197">
        <f>Neu!B19</f>
        <v>0</v>
      </c>
      <c r="C33" s="113"/>
      <c r="D33" s="117"/>
      <c r="E33" s="117"/>
      <c r="F33" s="117"/>
      <c r="G33" s="110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5"/>
      <c r="S33" s="117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202"/>
      <c r="B34" s="198"/>
      <c r="C34" s="136"/>
      <c r="D34" s="103"/>
      <c r="E34" s="103"/>
      <c r="F34" s="103"/>
      <c r="G34" s="104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19"/>
      <c r="S34" s="103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202"/>
      <c r="B35" s="197">
        <f>Neu!B20</f>
        <v>0</v>
      </c>
      <c r="C35" s="113"/>
      <c r="D35" s="117"/>
      <c r="E35" s="117"/>
      <c r="F35" s="117"/>
      <c r="G35" s="110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5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202"/>
      <c r="B36" s="198"/>
      <c r="C36" s="137"/>
      <c r="D36" s="118"/>
      <c r="E36" s="118"/>
      <c r="F36" s="118"/>
      <c r="G36" s="109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6"/>
      <c r="T36" s="118"/>
      <c r="U36" s="118"/>
      <c r="V36" s="118"/>
      <c r="W36" s="12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202"/>
      <c r="B37" s="197">
        <f>Neu!B21</f>
        <v>0</v>
      </c>
      <c r="C37" s="113"/>
      <c r="D37" s="117"/>
      <c r="E37" s="117"/>
      <c r="F37" s="117"/>
      <c r="G37" s="11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202"/>
      <c r="B38" s="198"/>
      <c r="C38" s="136"/>
      <c r="D38" s="103"/>
      <c r="E38" s="103"/>
      <c r="F38" s="103"/>
      <c r="G38" s="104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19"/>
      <c r="U38" s="103"/>
      <c r="V38" s="103"/>
      <c r="W38" s="10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202"/>
      <c r="B39" s="197">
        <f>Neu!B22</f>
        <v>0</v>
      </c>
      <c r="C39" s="113"/>
      <c r="D39" s="117"/>
      <c r="E39" s="117"/>
      <c r="F39" s="117"/>
      <c r="G39" s="110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202"/>
      <c r="B40" s="198"/>
      <c r="C40" s="136"/>
      <c r="D40" s="103"/>
      <c r="E40" s="103"/>
      <c r="F40" s="103"/>
      <c r="G40" s="104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202"/>
      <c r="B41" s="197">
        <f>Neu!B23</f>
        <v>0</v>
      </c>
      <c r="C41" s="113"/>
      <c r="D41" s="117"/>
      <c r="E41" s="117"/>
      <c r="F41" s="117"/>
      <c r="G41" s="110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202"/>
      <c r="B42" s="198"/>
      <c r="C42" s="136"/>
      <c r="D42" s="103"/>
      <c r="E42" s="103"/>
      <c r="F42" s="103"/>
      <c r="G42" s="104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202"/>
      <c r="B43" s="197">
        <f>Neu!B24</f>
        <v>0</v>
      </c>
      <c r="C43" s="113"/>
      <c r="D43" s="117"/>
      <c r="E43" s="117"/>
      <c r="F43" s="117"/>
      <c r="G43" s="110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40"/>
      <c r="D44" s="132"/>
      <c r="E44" s="132"/>
      <c r="F44" s="132"/>
      <c r="G44" s="133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zoomScale="90" zoomScaleNormal="90" workbookViewId="0">
      <selection activeCell="L11" sqref="L11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3" customWidth="1"/>
    <col min="36" max="36" width="7.453125" style="73" customWidth="1"/>
    <col min="37" max="16384" width="9.1796875" style="1"/>
  </cols>
  <sheetData>
    <row r="1" spans="1:38" ht="15" thickBot="1" x14ac:dyDescent="0.4">
      <c r="A1" s="201"/>
      <c r="B1" s="201"/>
      <c r="C1" s="206" t="s">
        <v>4</v>
      </c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AA1" s="204" t="s">
        <v>149</v>
      </c>
      <c r="AB1" s="205"/>
      <c r="AC1" s="72" t="s">
        <v>147</v>
      </c>
      <c r="AD1" s="4"/>
      <c r="AE1" s="203" t="s">
        <v>167</v>
      </c>
      <c r="AF1" s="203"/>
      <c r="AG1" s="203"/>
      <c r="AH1" s="203"/>
      <c r="AI1" s="203" t="s">
        <v>148</v>
      </c>
      <c r="AJ1" s="203"/>
    </row>
    <row r="2" spans="1:38" ht="15" thickBot="1" x14ac:dyDescent="0.4">
      <c r="A2" s="201"/>
      <c r="B2" s="201"/>
      <c r="C2" s="135" t="str">
        <f>Neu!$B4</f>
        <v>B4</v>
      </c>
      <c r="D2" s="106">
        <f>Neu!$B5</f>
        <v>0</v>
      </c>
      <c r="E2" s="106">
        <f>Neu!$B6</f>
        <v>0</v>
      </c>
      <c r="F2" s="106">
        <f>Neu!$B7</f>
        <v>0</v>
      </c>
      <c r="G2" s="106">
        <f>Neu!$B8</f>
        <v>0</v>
      </c>
      <c r="H2" s="106">
        <f>Neu!$B9</f>
        <v>0</v>
      </c>
      <c r="I2" s="106">
        <f>Neu!$B10</f>
        <v>0</v>
      </c>
      <c r="J2" s="106">
        <f>Neu!$B11</f>
        <v>0</v>
      </c>
      <c r="K2" s="106">
        <f>Neu!$B12</f>
        <v>0</v>
      </c>
      <c r="L2" s="106">
        <f>Neu!$B13</f>
        <v>0</v>
      </c>
      <c r="M2" s="106">
        <f>Neu!$B14</f>
        <v>0</v>
      </c>
      <c r="N2" s="106">
        <f>Neu!$B15</f>
        <v>0</v>
      </c>
      <c r="O2" s="106">
        <f>Neu!$B16</f>
        <v>0</v>
      </c>
      <c r="P2" s="106">
        <f>Neu!$B17</f>
        <v>0</v>
      </c>
      <c r="Q2" s="106">
        <f>Neu!$B18</f>
        <v>0</v>
      </c>
      <c r="R2" s="106">
        <f>Neu!$B19</f>
        <v>0</v>
      </c>
      <c r="S2" s="106">
        <f>Neu!$B20</f>
        <v>0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103</v>
      </c>
      <c r="AJ2" s="16" t="s">
        <v>150</v>
      </c>
    </row>
    <row r="3" spans="1:38" ht="14.25" customHeight="1" x14ac:dyDescent="0.35">
      <c r="A3" s="202" t="s">
        <v>5</v>
      </c>
      <c r="B3" s="200" t="str">
        <f>Neu!B4</f>
        <v>B4</v>
      </c>
      <c r="C3" s="120"/>
      <c r="D3" s="121"/>
      <c r="E3" s="121"/>
      <c r="F3" s="122"/>
      <c r="G3" s="121"/>
      <c r="H3" s="121"/>
      <c r="I3" s="121"/>
      <c r="J3" s="121"/>
      <c r="K3" s="122"/>
      <c r="L3" s="121"/>
      <c r="M3" s="121"/>
      <c r="N3" s="121"/>
      <c r="O3" s="121"/>
      <c r="P3" s="122"/>
      <c r="Q3" s="121"/>
      <c r="R3" s="121"/>
      <c r="S3" s="121"/>
      <c r="T3" s="121"/>
      <c r="U3" s="121"/>
      <c r="V3" s="121"/>
      <c r="W3" s="123"/>
      <c r="X3" s="71" t="s">
        <v>168</v>
      </c>
      <c r="Y3" s="1">
        <f>COUNTIF($C$3:$W$44,ROW(Z3)-2)</f>
        <v>0</v>
      </c>
      <c r="Z3" s="1" t="str">
        <f t="shared" ref="Z3:Z17" si="0">IF(ROW(AA3)-2&lt;=MAX($C$3:$W$44),ROW(AA3)-2,"")</f>
        <v/>
      </c>
      <c r="AA3" s="30">
        <v>0.01</v>
      </c>
      <c r="AB3" s="31"/>
      <c r="AC3" s="30"/>
      <c r="AD3" s="32"/>
      <c r="AE3" s="33"/>
      <c r="AF3" s="34"/>
      <c r="AG3" s="34"/>
      <c r="AH3" s="32"/>
      <c r="AK3" s="71"/>
    </row>
    <row r="4" spans="1:38" ht="14.25" customHeight="1" x14ac:dyDescent="0.35">
      <c r="A4" s="202"/>
      <c r="B4" s="198"/>
      <c r="C4" s="124"/>
      <c r="D4" s="118"/>
      <c r="E4" s="118"/>
      <c r="F4" s="109"/>
      <c r="G4" s="118"/>
      <c r="H4" s="118"/>
      <c r="I4" s="118"/>
      <c r="J4" s="118"/>
      <c r="K4" s="109"/>
      <c r="L4" s="118"/>
      <c r="M4" s="118"/>
      <c r="N4" s="118"/>
      <c r="O4" s="118"/>
      <c r="P4" s="109"/>
      <c r="Q4" s="118"/>
      <c r="R4" s="118"/>
      <c r="S4" s="118"/>
      <c r="T4" s="118"/>
      <c r="U4" s="118"/>
      <c r="V4" s="118"/>
      <c r="W4" s="125"/>
      <c r="X4" s="71" t="s">
        <v>169</v>
      </c>
      <c r="Y4" s="1">
        <f t="shared" ref="Y4:Y43" si="1">COUNTIF($C$3:$W$44,ROW(Z4)-2)</f>
        <v>0</v>
      </c>
      <c r="Z4" s="1" t="str">
        <f t="shared" si="0"/>
        <v/>
      </c>
      <c r="AA4" s="9">
        <v>1.4999999999999999E-2</v>
      </c>
      <c r="AK4" s="71"/>
    </row>
    <row r="5" spans="1:38" ht="14.25" customHeight="1" x14ac:dyDescent="0.35">
      <c r="A5" s="202"/>
      <c r="B5" s="197">
        <f>Neu!B5</f>
        <v>0</v>
      </c>
      <c r="C5" s="126"/>
      <c r="D5" s="115"/>
      <c r="E5" s="117"/>
      <c r="F5" s="110"/>
      <c r="G5" s="117"/>
      <c r="H5" s="117"/>
      <c r="I5" s="117"/>
      <c r="J5" s="117"/>
      <c r="K5" s="110"/>
      <c r="L5" s="117"/>
      <c r="M5" s="117"/>
      <c r="N5" s="117"/>
      <c r="O5" s="117"/>
      <c r="P5" s="110"/>
      <c r="Q5" s="117"/>
      <c r="R5" s="117"/>
      <c r="S5" s="117"/>
      <c r="T5" s="117"/>
      <c r="U5" s="117"/>
      <c r="V5" s="117"/>
      <c r="W5" s="127"/>
      <c r="Y5" s="1">
        <f t="shared" si="1"/>
        <v>0</v>
      </c>
      <c r="Z5" s="1" t="str">
        <f>IF(ROW(AA5)-2&lt;=MAX($C$3:$W$44),ROW(AA5)-2,"")</f>
        <v/>
      </c>
    </row>
    <row r="6" spans="1:38" ht="14.25" customHeight="1" x14ac:dyDescent="0.35">
      <c r="A6" s="202"/>
      <c r="B6" s="198"/>
      <c r="C6" s="128"/>
      <c r="D6" s="119"/>
      <c r="E6" s="103"/>
      <c r="F6" s="104"/>
      <c r="G6" s="103"/>
      <c r="H6" s="103"/>
      <c r="I6" s="103"/>
      <c r="J6" s="103"/>
      <c r="K6" s="104"/>
      <c r="L6" s="103"/>
      <c r="M6" s="103"/>
      <c r="N6" s="103"/>
      <c r="O6" s="103"/>
      <c r="P6" s="104"/>
      <c r="Q6" s="103"/>
      <c r="R6" s="103"/>
      <c r="S6" s="103"/>
      <c r="T6" s="103"/>
      <c r="U6" s="103"/>
      <c r="V6" s="103"/>
      <c r="W6" s="105"/>
      <c r="Y6" s="1">
        <f t="shared" si="1"/>
        <v>0</v>
      </c>
      <c r="Z6" s="1" t="str">
        <f>IF(ROW(AA6)-2&lt;=MAX($C$3:$W$44),ROW(AA6)-2,"")</f>
        <v/>
      </c>
    </row>
    <row r="7" spans="1:38" ht="14.25" customHeight="1" x14ac:dyDescent="0.35">
      <c r="A7" s="202"/>
      <c r="B7" s="197">
        <f>Neu!B6</f>
        <v>0</v>
      </c>
      <c r="C7" s="126"/>
      <c r="D7" s="117"/>
      <c r="E7" s="115"/>
      <c r="F7" s="110"/>
      <c r="G7" s="117"/>
      <c r="H7" s="117"/>
      <c r="I7" s="117"/>
      <c r="J7" s="117"/>
      <c r="K7" s="110"/>
      <c r="L7" s="117"/>
      <c r="M7" s="117"/>
      <c r="N7" s="117"/>
      <c r="O7" s="117"/>
      <c r="P7" s="110"/>
      <c r="Q7" s="117"/>
      <c r="R7" s="117"/>
      <c r="S7" s="117"/>
      <c r="T7" s="117"/>
      <c r="U7" s="117"/>
      <c r="V7" s="117"/>
      <c r="W7" s="127"/>
      <c r="Y7" s="1">
        <f t="shared" si="1"/>
        <v>0</v>
      </c>
      <c r="Z7" s="1" t="str">
        <f>IF(ROW(AA7)-2&lt;=MAX($C$3:$W$44),ROW(AA7)-2,"")</f>
        <v/>
      </c>
    </row>
    <row r="8" spans="1:38" ht="14.25" customHeight="1" x14ac:dyDescent="0.35">
      <c r="A8" s="202"/>
      <c r="B8" s="198"/>
      <c r="C8" s="128"/>
      <c r="D8" s="103"/>
      <c r="E8" s="119"/>
      <c r="F8" s="104"/>
      <c r="G8" s="103"/>
      <c r="H8" s="103"/>
      <c r="I8" s="103"/>
      <c r="J8" s="103"/>
      <c r="K8" s="104"/>
      <c r="L8" s="103"/>
      <c r="M8" s="103"/>
      <c r="N8" s="103"/>
      <c r="O8" s="103"/>
      <c r="P8" s="104"/>
      <c r="Q8" s="103"/>
      <c r="R8" s="103"/>
      <c r="S8" s="103"/>
      <c r="T8" s="103"/>
      <c r="U8" s="103"/>
      <c r="V8" s="103"/>
      <c r="W8" s="105"/>
      <c r="Y8" s="1">
        <f t="shared" si="1"/>
        <v>0</v>
      </c>
      <c r="Z8" s="1" t="str">
        <f>IF(ROW(AA8)-2&lt;=MAX($C$3:$W$44),ROW(AA8)-2,"")</f>
        <v/>
      </c>
    </row>
    <row r="9" spans="1:38" ht="14.25" customHeight="1" x14ac:dyDescent="0.35">
      <c r="A9" s="202"/>
      <c r="B9" s="197">
        <f>Neu!B7</f>
        <v>0</v>
      </c>
      <c r="C9" s="126"/>
      <c r="D9" s="117"/>
      <c r="E9" s="117"/>
      <c r="F9" s="108"/>
      <c r="G9" s="117"/>
      <c r="H9" s="117"/>
      <c r="I9" s="117"/>
      <c r="J9" s="117"/>
      <c r="K9" s="110"/>
      <c r="L9" s="117"/>
      <c r="M9" s="117"/>
      <c r="N9" s="117"/>
      <c r="O9" s="117"/>
      <c r="P9" s="110"/>
      <c r="Q9" s="117"/>
      <c r="R9" s="117"/>
      <c r="S9" s="117"/>
      <c r="T9" s="117"/>
      <c r="U9" s="117"/>
      <c r="V9" s="117"/>
      <c r="W9" s="127"/>
      <c r="Y9" s="1">
        <f t="shared" si="1"/>
        <v>0</v>
      </c>
      <c r="Z9" s="1" t="str">
        <f t="shared" si="0"/>
        <v/>
      </c>
      <c r="AK9" s="71" t="s">
        <v>165</v>
      </c>
    </row>
    <row r="10" spans="1:38" ht="14.25" customHeight="1" x14ac:dyDescent="0.35">
      <c r="A10" s="202"/>
      <c r="B10" s="198"/>
      <c r="C10" s="128"/>
      <c r="D10" s="103"/>
      <c r="E10" s="103"/>
      <c r="F10" s="112"/>
      <c r="G10" s="103"/>
      <c r="H10" s="103"/>
      <c r="I10" s="103"/>
      <c r="J10" s="103"/>
      <c r="K10" s="104"/>
      <c r="L10" s="103"/>
      <c r="M10" s="103"/>
      <c r="N10" s="103"/>
      <c r="O10" s="103"/>
      <c r="P10" s="104"/>
      <c r="Q10" s="103"/>
      <c r="R10" s="103"/>
      <c r="S10" s="103"/>
      <c r="T10" s="103"/>
      <c r="U10" s="103"/>
      <c r="V10" s="103"/>
      <c r="W10" s="105"/>
      <c r="Y10" s="1">
        <f t="shared" si="1"/>
        <v>0</v>
      </c>
      <c r="Z10" s="1" t="str">
        <f t="shared" si="0"/>
        <v/>
      </c>
      <c r="AL10" s="71"/>
    </row>
    <row r="11" spans="1:38" ht="14.25" customHeight="1" x14ac:dyDescent="0.35">
      <c r="A11" s="202"/>
      <c r="B11" s="197">
        <f>Neu!B8</f>
        <v>0</v>
      </c>
      <c r="C11" s="126"/>
      <c r="D11" s="117"/>
      <c r="E11" s="117"/>
      <c r="F11" s="110"/>
      <c r="G11" s="115"/>
      <c r="H11" s="117"/>
      <c r="I11" s="117"/>
      <c r="J11" s="117"/>
      <c r="K11" s="110"/>
      <c r="L11" s="117"/>
      <c r="M11" s="117"/>
      <c r="N11" s="117"/>
      <c r="O11" s="117"/>
      <c r="P11" s="110"/>
      <c r="Q11" s="117"/>
      <c r="R11" s="117"/>
      <c r="S11" s="117"/>
      <c r="T11" s="117"/>
      <c r="U11" s="117"/>
      <c r="V11" s="117"/>
      <c r="W11" s="127"/>
      <c r="Y11" s="1">
        <f t="shared" si="1"/>
        <v>0</v>
      </c>
      <c r="Z11" s="1" t="str">
        <f t="shared" si="0"/>
        <v/>
      </c>
    </row>
    <row r="12" spans="1:38" ht="14.25" customHeight="1" x14ac:dyDescent="0.35">
      <c r="A12" s="202"/>
      <c r="B12" s="198"/>
      <c r="C12" s="128"/>
      <c r="D12" s="103"/>
      <c r="E12" s="103"/>
      <c r="F12" s="104"/>
      <c r="G12" s="119"/>
      <c r="H12" s="103"/>
      <c r="I12" s="103"/>
      <c r="J12" s="103"/>
      <c r="K12" s="104"/>
      <c r="L12" s="103"/>
      <c r="M12" s="103"/>
      <c r="N12" s="103"/>
      <c r="O12" s="103"/>
      <c r="P12" s="104"/>
      <c r="Q12" s="103"/>
      <c r="R12" s="103"/>
      <c r="S12" s="103"/>
      <c r="T12" s="103"/>
      <c r="U12" s="103"/>
      <c r="V12" s="103"/>
      <c r="W12" s="105"/>
      <c r="Y12" s="1">
        <f t="shared" si="1"/>
        <v>0</v>
      </c>
      <c r="Z12" s="1" t="str">
        <f t="shared" si="0"/>
        <v/>
      </c>
    </row>
    <row r="13" spans="1:38" ht="14.25" customHeight="1" x14ac:dyDescent="0.35">
      <c r="A13" s="202"/>
      <c r="B13" s="197">
        <f>Neu!B9</f>
        <v>0</v>
      </c>
      <c r="C13" s="126"/>
      <c r="D13" s="117"/>
      <c r="E13" s="117"/>
      <c r="F13" s="110"/>
      <c r="G13" s="117"/>
      <c r="H13" s="115"/>
      <c r="I13" s="117"/>
      <c r="J13" s="117"/>
      <c r="K13" s="110"/>
      <c r="L13" s="117"/>
      <c r="M13" s="117"/>
      <c r="N13" s="117"/>
      <c r="O13" s="117"/>
      <c r="P13" s="110"/>
      <c r="Q13" s="117"/>
      <c r="R13" s="117"/>
      <c r="S13" s="117"/>
      <c r="T13" s="117"/>
      <c r="U13" s="117"/>
      <c r="V13" s="117"/>
      <c r="W13" s="127"/>
      <c r="Y13" s="1">
        <f t="shared" si="1"/>
        <v>0</v>
      </c>
      <c r="Z13" s="1" t="str">
        <f t="shared" si="0"/>
        <v/>
      </c>
      <c r="AK13" s="145" t="s">
        <v>170</v>
      </c>
    </row>
    <row r="14" spans="1:38" ht="14.25" customHeight="1" x14ac:dyDescent="0.35">
      <c r="A14" s="202"/>
      <c r="B14" s="198"/>
      <c r="C14" s="128"/>
      <c r="D14" s="103"/>
      <c r="E14" s="103"/>
      <c r="F14" s="104"/>
      <c r="G14" s="103"/>
      <c r="H14" s="119"/>
      <c r="I14" s="103"/>
      <c r="J14" s="103"/>
      <c r="K14" s="104"/>
      <c r="L14" s="103"/>
      <c r="M14" s="103"/>
      <c r="N14" s="103"/>
      <c r="O14" s="103"/>
      <c r="P14" s="104"/>
      <c r="Q14" s="103"/>
      <c r="R14" s="103"/>
      <c r="S14" s="103"/>
      <c r="T14" s="103"/>
      <c r="U14" s="103"/>
      <c r="V14" s="103"/>
      <c r="W14" s="105"/>
      <c r="Y14" s="1">
        <f t="shared" si="1"/>
        <v>0</v>
      </c>
      <c r="Z14" s="1" t="str">
        <f t="shared" si="0"/>
        <v/>
      </c>
    </row>
    <row r="15" spans="1:38" ht="14.25" customHeight="1" x14ac:dyDescent="0.35">
      <c r="A15" s="202"/>
      <c r="B15" s="197">
        <f>Neu!B10</f>
        <v>0</v>
      </c>
      <c r="C15" s="126"/>
      <c r="D15" s="117"/>
      <c r="E15" s="117"/>
      <c r="F15" s="110"/>
      <c r="G15" s="117"/>
      <c r="H15" s="117"/>
      <c r="I15" s="115"/>
      <c r="J15" s="117"/>
      <c r="K15" s="110"/>
      <c r="L15" s="117"/>
      <c r="M15" s="117"/>
      <c r="N15" s="117"/>
      <c r="O15" s="117"/>
      <c r="P15" s="110"/>
      <c r="Q15" s="117"/>
      <c r="R15" s="117"/>
      <c r="S15" s="117"/>
      <c r="T15" s="117"/>
      <c r="U15" s="117"/>
      <c r="V15" s="117"/>
      <c r="W15" s="127"/>
      <c r="Y15" s="1">
        <f t="shared" si="1"/>
        <v>0</v>
      </c>
      <c r="Z15" s="1" t="str">
        <f t="shared" si="0"/>
        <v/>
      </c>
    </row>
    <row r="16" spans="1:38" ht="14.25" customHeight="1" x14ac:dyDescent="0.35">
      <c r="A16" s="202"/>
      <c r="B16" s="198"/>
      <c r="C16" s="129"/>
      <c r="D16" s="118"/>
      <c r="E16" s="118"/>
      <c r="F16" s="109"/>
      <c r="G16" s="118"/>
      <c r="H16" s="118"/>
      <c r="I16" s="116"/>
      <c r="J16" s="118"/>
      <c r="K16" s="109"/>
      <c r="L16" s="118"/>
      <c r="M16" s="118"/>
      <c r="N16" s="118"/>
      <c r="O16" s="118"/>
      <c r="P16" s="109"/>
      <c r="Q16" s="118"/>
      <c r="R16" s="118"/>
      <c r="S16" s="118"/>
      <c r="T16" s="118"/>
      <c r="U16" s="118"/>
      <c r="V16" s="118"/>
      <c r="W16" s="125"/>
      <c r="Y16" s="1">
        <f t="shared" si="1"/>
        <v>0</v>
      </c>
      <c r="Z16" s="1" t="str">
        <f t="shared" si="0"/>
        <v/>
      </c>
    </row>
    <row r="17" spans="1:26" ht="14.25" customHeight="1" x14ac:dyDescent="0.35">
      <c r="A17" s="202"/>
      <c r="B17" s="197">
        <f>Neu!B11</f>
        <v>0</v>
      </c>
      <c r="C17" s="126"/>
      <c r="D17" s="117"/>
      <c r="E17" s="117"/>
      <c r="F17" s="110"/>
      <c r="G17" s="117"/>
      <c r="H17" s="117"/>
      <c r="I17" s="117"/>
      <c r="J17" s="115"/>
      <c r="K17" s="110"/>
      <c r="L17" s="117"/>
      <c r="M17" s="117"/>
      <c r="N17" s="117"/>
      <c r="O17" s="117"/>
      <c r="P17" s="110"/>
      <c r="Q17" s="117"/>
      <c r="R17" s="117"/>
      <c r="S17" s="117"/>
      <c r="T17" s="117"/>
      <c r="U17" s="117"/>
      <c r="V17" s="117"/>
      <c r="W17" s="127"/>
      <c r="Y17" s="1">
        <f t="shared" si="1"/>
        <v>0</v>
      </c>
      <c r="Z17" s="1" t="str">
        <f t="shared" si="0"/>
        <v/>
      </c>
    </row>
    <row r="18" spans="1:26" ht="14.25" customHeight="1" x14ac:dyDescent="0.35">
      <c r="A18" s="202"/>
      <c r="B18" s="198"/>
      <c r="C18" s="128"/>
      <c r="D18" s="103"/>
      <c r="E18" s="103"/>
      <c r="F18" s="104"/>
      <c r="G18" s="103"/>
      <c r="H18" s="103"/>
      <c r="I18" s="103"/>
      <c r="J18" s="119"/>
      <c r="K18" s="104"/>
      <c r="L18" s="103"/>
      <c r="M18" s="103"/>
      <c r="N18" s="103"/>
      <c r="O18" s="103"/>
      <c r="P18" s="104"/>
      <c r="Q18" s="103"/>
      <c r="R18" s="103"/>
      <c r="S18" s="103"/>
      <c r="T18" s="103"/>
      <c r="U18" s="103"/>
      <c r="V18" s="103"/>
      <c r="W18" s="105"/>
      <c r="Y18" s="1">
        <f t="shared" si="1"/>
        <v>0</v>
      </c>
      <c r="Z18" s="1" t="str">
        <f>IF(ROW(AA18)-2&lt;=MAX($C$3:$W$44),ROW(AA18)-2,"")</f>
        <v/>
      </c>
    </row>
    <row r="19" spans="1:26" ht="14.25" customHeight="1" x14ac:dyDescent="0.35">
      <c r="A19" s="202"/>
      <c r="B19" s="197">
        <f>Neu!B12</f>
        <v>0</v>
      </c>
      <c r="C19" s="126"/>
      <c r="D19" s="117"/>
      <c r="E19" s="117"/>
      <c r="F19" s="110"/>
      <c r="G19" s="117"/>
      <c r="H19" s="117"/>
      <c r="I19" s="117"/>
      <c r="J19" s="117"/>
      <c r="K19" s="108"/>
      <c r="L19" s="117"/>
      <c r="M19" s="117"/>
      <c r="N19" s="117"/>
      <c r="O19" s="117"/>
      <c r="P19" s="110"/>
      <c r="Q19" s="117"/>
      <c r="R19" s="117"/>
      <c r="S19" s="117"/>
      <c r="T19" s="117"/>
      <c r="U19" s="117"/>
      <c r="V19" s="117"/>
      <c r="W19" s="127"/>
      <c r="Y19" s="1">
        <f t="shared" si="1"/>
        <v>0</v>
      </c>
      <c r="Z19" s="1" t="str">
        <f t="shared" ref="Z19:Z82" si="2">IF(ROW(AA19)-2&lt;=MAX($C$3:$W$44),ROW(AA19)-2,"")</f>
        <v/>
      </c>
    </row>
    <row r="20" spans="1:26" ht="14.25" customHeight="1" x14ac:dyDescent="0.35">
      <c r="A20" s="202"/>
      <c r="B20" s="198"/>
      <c r="C20" s="128"/>
      <c r="D20" s="103"/>
      <c r="E20" s="103"/>
      <c r="F20" s="104"/>
      <c r="G20" s="103"/>
      <c r="H20" s="103"/>
      <c r="I20" s="103"/>
      <c r="J20" s="103"/>
      <c r="K20" s="112"/>
      <c r="L20" s="103"/>
      <c r="M20" s="103"/>
      <c r="N20" s="103"/>
      <c r="O20" s="103"/>
      <c r="P20" s="104"/>
      <c r="Q20" s="103"/>
      <c r="R20" s="103"/>
      <c r="S20" s="103"/>
      <c r="T20" s="103"/>
      <c r="U20" s="103"/>
      <c r="V20" s="103"/>
      <c r="W20" s="105"/>
      <c r="Y20" s="1">
        <f t="shared" si="1"/>
        <v>0</v>
      </c>
      <c r="Z20" s="1" t="str">
        <f t="shared" si="2"/>
        <v/>
      </c>
    </row>
    <row r="21" spans="1:26" ht="14.25" customHeight="1" x14ac:dyDescent="0.35">
      <c r="A21" s="202"/>
      <c r="B21" s="197">
        <f>Neu!B13</f>
        <v>0</v>
      </c>
      <c r="C21" s="126"/>
      <c r="D21" s="117"/>
      <c r="E21" s="117"/>
      <c r="F21" s="110"/>
      <c r="G21" s="117"/>
      <c r="H21" s="117"/>
      <c r="I21" s="117"/>
      <c r="J21" s="117"/>
      <c r="K21" s="110"/>
      <c r="L21" s="115"/>
      <c r="M21" s="117"/>
      <c r="N21" s="117"/>
      <c r="O21" s="117"/>
      <c r="P21" s="110"/>
      <c r="Q21" s="117"/>
      <c r="R21" s="117"/>
      <c r="S21" s="117"/>
      <c r="T21" s="117"/>
      <c r="U21" s="117"/>
      <c r="V21" s="117"/>
      <c r="W21" s="127"/>
      <c r="Y21" s="1">
        <f t="shared" si="1"/>
        <v>0</v>
      </c>
      <c r="Z21" s="1" t="str">
        <f t="shared" si="2"/>
        <v/>
      </c>
    </row>
    <row r="22" spans="1:26" ht="14.25" customHeight="1" x14ac:dyDescent="0.35">
      <c r="A22" s="202"/>
      <c r="B22" s="198"/>
      <c r="C22" s="128"/>
      <c r="D22" s="103"/>
      <c r="E22" s="103"/>
      <c r="F22" s="104"/>
      <c r="G22" s="103"/>
      <c r="H22" s="103"/>
      <c r="I22" s="103"/>
      <c r="J22" s="103"/>
      <c r="K22" s="104"/>
      <c r="L22" s="119"/>
      <c r="M22" s="103"/>
      <c r="N22" s="103"/>
      <c r="O22" s="103"/>
      <c r="P22" s="104"/>
      <c r="Q22" s="103"/>
      <c r="R22" s="103"/>
      <c r="S22" s="103"/>
      <c r="T22" s="103"/>
      <c r="U22" s="103"/>
      <c r="V22" s="103"/>
      <c r="W22" s="105"/>
      <c r="Y22" s="1">
        <f t="shared" si="1"/>
        <v>0</v>
      </c>
      <c r="Z22" s="1" t="str">
        <f t="shared" si="2"/>
        <v/>
      </c>
    </row>
    <row r="23" spans="1:26" ht="14.25" customHeight="1" x14ac:dyDescent="0.35">
      <c r="A23" s="202"/>
      <c r="B23" s="197">
        <f>Neu!B14</f>
        <v>0</v>
      </c>
      <c r="C23" s="126"/>
      <c r="D23" s="117"/>
      <c r="E23" s="117"/>
      <c r="F23" s="110"/>
      <c r="G23" s="117"/>
      <c r="H23" s="117"/>
      <c r="I23" s="117"/>
      <c r="J23" s="117"/>
      <c r="K23" s="110"/>
      <c r="L23" s="117"/>
      <c r="M23" s="115"/>
      <c r="N23" s="117"/>
      <c r="O23" s="117"/>
      <c r="P23" s="110"/>
      <c r="Q23" s="117"/>
      <c r="R23" s="117"/>
      <c r="S23" s="117"/>
      <c r="T23" s="117"/>
      <c r="U23" s="117"/>
      <c r="V23" s="117"/>
      <c r="W23" s="127"/>
      <c r="Y23" s="1">
        <f t="shared" si="1"/>
        <v>0</v>
      </c>
      <c r="Z23" s="1" t="str">
        <f t="shared" si="2"/>
        <v/>
      </c>
    </row>
    <row r="24" spans="1:26" ht="14.25" customHeight="1" x14ac:dyDescent="0.35">
      <c r="A24" s="202"/>
      <c r="B24" s="198"/>
      <c r="C24" s="129"/>
      <c r="D24" s="118"/>
      <c r="E24" s="118"/>
      <c r="F24" s="109"/>
      <c r="G24" s="118"/>
      <c r="H24" s="118"/>
      <c r="I24" s="118"/>
      <c r="J24" s="118"/>
      <c r="K24" s="109"/>
      <c r="L24" s="118"/>
      <c r="M24" s="116"/>
      <c r="N24" s="118"/>
      <c r="O24" s="118"/>
      <c r="P24" s="109"/>
      <c r="Q24" s="118"/>
      <c r="R24" s="118"/>
      <c r="S24" s="118"/>
      <c r="T24" s="118"/>
      <c r="U24" s="118"/>
      <c r="V24" s="118"/>
      <c r="W24" s="125"/>
      <c r="Y24" s="1">
        <f t="shared" si="1"/>
        <v>0</v>
      </c>
      <c r="Z24" s="1" t="str">
        <f t="shared" si="2"/>
        <v/>
      </c>
    </row>
    <row r="25" spans="1:26" ht="14.25" customHeight="1" x14ac:dyDescent="0.35">
      <c r="A25" s="202"/>
      <c r="B25" s="197">
        <f>Neu!B15</f>
        <v>0</v>
      </c>
      <c r="C25" s="126"/>
      <c r="D25" s="117"/>
      <c r="E25" s="117"/>
      <c r="F25" s="110"/>
      <c r="G25" s="117"/>
      <c r="H25" s="117"/>
      <c r="I25" s="117"/>
      <c r="J25" s="117"/>
      <c r="K25" s="110"/>
      <c r="L25" s="117"/>
      <c r="M25" s="117"/>
      <c r="N25" s="115"/>
      <c r="O25" s="117"/>
      <c r="P25" s="110"/>
      <c r="Q25" s="117"/>
      <c r="R25" s="117"/>
      <c r="S25" s="117"/>
      <c r="T25" s="117"/>
      <c r="U25" s="117"/>
      <c r="V25" s="117"/>
      <c r="W25" s="127"/>
      <c r="Y25" s="1">
        <f t="shared" si="1"/>
        <v>0</v>
      </c>
      <c r="Z25" s="1" t="str">
        <f t="shared" si="2"/>
        <v/>
      </c>
    </row>
    <row r="26" spans="1:26" ht="14.25" customHeight="1" x14ac:dyDescent="0.35">
      <c r="A26" s="202"/>
      <c r="B26" s="198"/>
      <c r="C26" s="128"/>
      <c r="D26" s="103"/>
      <c r="E26" s="103"/>
      <c r="F26" s="104"/>
      <c r="G26" s="103"/>
      <c r="H26" s="103"/>
      <c r="I26" s="103"/>
      <c r="J26" s="103"/>
      <c r="K26" s="104"/>
      <c r="L26" s="103"/>
      <c r="M26" s="103"/>
      <c r="N26" s="119"/>
      <c r="O26" s="103"/>
      <c r="P26" s="104"/>
      <c r="Q26" s="103"/>
      <c r="R26" s="103"/>
      <c r="S26" s="103"/>
      <c r="T26" s="103"/>
      <c r="U26" s="103"/>
      <c r="V26" s="103"/>
      <c r="W26" s="105"/>
      <c r="Y26" s="1">
        <f t="shared" si="1"/>
        <v>0</v>
      </c>
      <c r="Z26" s="1" t="str">
        <f t="shared" si="2"/>
        <v/>
      </c>
    </row>
    <row r="27" spans="1:26" ht="14.25" customHeight="1" x14ac:dyDescent="0.35">
      <c r="A27" s="202"/>
      <c r="B27" s="197">
        <f>Neu!B16</f>
        <v>0</v>
      </c>
      <c r="C27" s="126"/>
      <c r="D27" s="117"/>
      <c r="E27" s="117"/>
      <c r="F27" s="110"/>
      <c r="G27" s="117"/>
      <c r="H27" s="117"/>
      <c r="I27" s="117"/>
      <c r="J27" s="117"/>
      <c r="K27" s="110"/>
      <c r="L27" s="117"/>
      <c r="M27" s="117"/>
      <c r="N27" s="117"/>
      <c r="O27" s="115"/>
      <c r="P27" s="110"/>
      <c r="Q27" s="117"/>
      <c r="R27" s="117"/>
      <c r="S27" s="117"/>
      <c r="T27" s="117"/>
      <c r="U27" s="117"/>
      <c r="V27" s="117"/>
      <c r="W27" s="127"/>
      <c r="Y27" s="1">
        <f t="shared" si="1"/>
        <v>0</v>
      </c>
      <c r="Z27" s="1" t="str">
        <f t="shared" si="2"/>
        <v/>
      </c>
    </row>
    <row r="28" spans="1:26" ht="14.25" customHeight="1" x14ac:dyDescent="0.35">
      <c r="A28" s="202"/>
      <c r="B28" s="198"/>
      <c r="C28" s="128"/>
      <c r="D28" s="103"/>
      <c r="E28" s="103"/>
      <c r="F28" s="104"/>
      <c r="G28" s="103"/>
      <c r="H28" s="103"/>
      <c r="I28" s="103"/>
      <c r="J28" s="103"/>
      <c r="K28" s="104"/>
      <c r="L28" s="103"/>
      <c r="M28" s="103"/>
      <c r="N28" s="103"/>
      <c r="O28" s="119"/>
      <c r="P28" s="104"/>
      <c r="Q28" s="103"/>
      <c r="R28" s="103"/>
      <c r="S28" s="103"/>
      <c r="T28" s="103"/>
      <c r="U28" s="103"/>
      <c r="V28" s="103"/>
      <c r="W28" s="105"/>
      <c r="Y28" s="1">
        <f t="shared" si="1"/>
        <v>0</v>
      </c>
      <c r="Z28" s="1" t="str">
        <f t="shared" si="2"/>
        <v/>
      </c>
    </row>
    <row r="29" spans="1:26" ht="14.25" customHeight="1" x14ac:dyDescent="0.35">
      <c r="A29" s="202"/>
      <c r="B29" s="197">
        <f>Neu!B17</f>
        <v>0</v>
      </c>
      <c r="C29" s="126"/>
      <c r="D29" s="117"/>
      <c r="E29" s="117"/>
      <c r="F29" s="110"/>
      <c r="G29" s="117"/>
      <c r="H29" s="117"/>
      <c r="I29" s="117"/>
      <c r="J29" s="117"/>
      <c r="K29" s="110"/>
      <c r="L29" s="117"/>
      <c r="M29" s="117"/>
      <c r="N29" s="117"/>
      <c r="O29" s="117"/>
      <c r="P29" s="108"/>
      <c r="Q29" s="117"/>
      <c r="R29" s="117"/>
      <c r="S29" s="117"/>
      <c r="T29" s="117"/>
      <c r="U29" s="117"/>
      <c r="V29" s="117"/>
      <c r="W29" s="127"/>
      <c r="Y29" s="1">
        <f t="shared" si="1"/>
        <v>0</v>
      </c>
      <c r="Z29" s="1" t="str">
        <f t="shared" si="2"/>
        <v/>
      </c>
    </row>
    <row r="30" spans="1:26" ht="14.25" customHeight="1" x14ac:dyDescent="0.35">
      <c r="A30" s="202"/>
      <c r="B30" s="198"/>
      <c r="C30" s="128"/>
      <c r="D30" s="103"/>
      <c r="E30" s="103"/>
      <c r="F30" s="104"/>
      <c r="G30" s="103"/>
      <c r="H30" s="103"/>
      <c r="I30" s="103"/>
      <c r="J30" s="103"/>
      <c r="K30" s="104"/>
      <c r="L30" s="103"/>
      <c r="M30" s="103"/>
      <c r="N30" s="103"/>
      <c r="O30" s="103"/>
      <c r="P30" s="112"/>
      <c r="Q30" s="103"/>
      <c r="R30" s="103"/>
      <c r="S30" s="103"/>
      <c r="T30" s="103"/>
      <c r="U30" s="103"/>
      <c r="V30" s="103"/>
      <c r="W30" s="105"/>
      <c r="Y30" s="1">
        <f t="shared" si="1"/>
        <v>0</v>
      </c>
      <c r="Z30" s="1" t="str">
        <f t="shared" si="2"/>
        <v/>
      </c>
    </row>
    <row r="31" spans="1:26" ht="14.25" customHeight="1" x14ac:dyDescent="0.35">
      <c r="A31" s="202"/>
      <c r="B31" s="197">
        <f>Neu!B18</f>
        <v>0</v>
      </c>
      <c r="C31" s="126"/>
      <c r="D31" s="117"/>
      <c r="E31" s="117"/>
      <c r="F31" s="110"/>
      <c r="G31" s="117"/>
      <c r="H31" s="117"/>
      <c r="I31" s="117"/>
      <c r="J31" s="117"/>
      <c r="K31" s="110"/>
      <c r="L31" s="117"/>
      <c r="M31" s="117"/>
      <c r="N31" s="117"/>
      <c r="O31" s="117"/>
      <c r="P31" s="110"/>
      <c r="Q31" s="115"/>
      <c r="R31" s="117"/>
      <c r="S31" s="117"/>
      <c r="T31" s="117"/>
      <c r="U31" s="117"/>
      <c r="V31" s="117"/>
      <c r="W31" s="127"/>
      <c r="Y31" s="1">
        <f t="shared" si="1"/>
        <v>0</v>
      </c>
      <c r="Z31" s="1" t="str">
        <f t="shared" si="2"/>
        <v/>
      </c>
    </row>
    <row r="32" spans="1:26" ht="14.25" customHeight="1" x14ac:dyDescent="0.35">
      <c r="A32" s="202"/>
      <c r="B32" s="198"/>
      <c r="C32" s="129"/>
      <c r="D32" s="118"/>
      <c r="E32" s="118"/>
      <c r="F32" s="109"/>
      <c r="G32" s="118"/>
      <c r="H32" s="118"/>
      <c r="I32" s="118"/>
      <c r="J32" s="118"/>
      <c r="K32" s="109"/>
      <c r="L32" s="118"/>
      <c r="M32" s="118"/>
      <c r="N32" s="118"/>
      <c r="O32" s="118"/>
      <c r="P32" s="109"/>
      <c r="Q32" s="116"/>
      <c r="R32" s="118"/>
      <c r="S32" s="118"/>
      <c r="T32" s="118"/>
      <c r="U32" s="118"/>
      <c r="V32" s="118"/>
      <c r="W32" s="125"/>
      <c r="Y32" s="1">
        <f t="shared" si="1"/>
        <v>0</v>
      </c>
      <c r="Z32" s="1" t="str">
        <f t="shared" si="2"/>
        <v/>
      </c>
    </row>
    <row r="33" spans="1:26" ht="14.25" customHeight="1" x14ac:dyDescent="0.35">
      <c r="A33" s="202"/>
      <c r="B33" s="197">
        <f>Neu!B19</f>
        <v>0</v>
      </c>
      <c r="C33" s="126"/>
      <c r="D33" s="117"/>
      <c r="E33" s="117"/>
      <c r="F33" s="110"/>
      <c r="G33" s="117"/>
      <c r="H33" s="117"/>
      <c r="I33" s="117"/>
      <c r="J33" s="117"/>
      <c r="K33" s="110"/>
      <c r="L33" s="117"/>
      <c r="M33" s="117"/>
      <c r="N33" s="117"/>
      <c r="O33" s="117"/>
      <c r="P33" s="110"/>
      <c r="Q33" s="117"/>
      <c r="R33" s="115"/>
      <c r="S33" s="117"/>
      <c r="T33" s="117"/>
      <c r="U33" s="117"/>
      <c r="V33" s="117"/>
      <c r="W33" s="127"/>
      <c r="Y33" s="1">
        <f t="shared" si="1"/>
        <v>0</v>
      </c>
      <c r="Z33" s="1" t="str">
        <f t="shared" si="2"/>
        <v/>
      </c>
    </row>
    <row r="34" spans="1:26" ht="14.25" customHeight="1" x14ac:dyDescent="0.35">
      <c r="A34" s="202"/>
      <c r="B34" s="198"/>
      <c r="C34" s="128"/>
      <c r="D34" s="103"/>
      <c r="E34" s="103"/>
      <c r="F34" s="104"/>
      <c r="G34" s="103"/>
      <c r="H34" s="103"/>
      <c r="I34" s="103"/>
      <c r="J34" s="103"/>
      <c r="K34" s="104"/>
      <c r="L34" s="103"/>
      <c r="M34" s="103"/>
      <c r="N34" s="103"/>
      <c r="O34" s="103"/>
      <c r="P34" s="104"/>
      <c r="Q34" s="103"/>
      <c r="R34" s="119"/>
      <c r="S34" s="103"/>
      <c r="T34" s="103"/>
      <c r="U34" s="103"/>
      <c r="V34" s="103"/>
      <c r="W34" s="105"/>
      <c r="Y34" s="1">
        <f t="shared" si="1"/>
        <v>0</v>
      </c>
      <c r="Z34" s="1" t="str">
        <f t="shared" si="2"/>
        <v/>
      </c>
    </row>
    <row r="35" spans="1:26" ht="14.25" customHeight="1" x14ac:dyDescent="0.35">
      <c r="A35" s="202"/>
      <c r="B35" s="197">
        <f>Neu!B20</f>
        <v>0</v>
      </c>
      <c r="C35" s="126"/>
      <c r="D35" s="117"/>
      <c r="E35" s="117"/>
      <c r="F35" s="110"/>
      <c r="G35" s="117"/>
      <c r="H35" s="117"/>
      <c r="I35" s="117"/>
      <c r="J35" s="117"/>
      <c r="K35" s="110"/>
      <c r="L35" s="117"/>
      <c r="M35" s="117"/>
      <c r="N35" s="117"/>
      <c r="O35" s="117"/>
      <c r="P35" s="110"/>
      <c r="Q35" s="117"/>
      <c r="R35" s="117"/>
      <c r="S35" s="115"/>
      <c r="T35" s="117"/>
      <c r="U35" s="117"/>
      <c r="V35" s="117"/>
      <c r="W35" s="127"/>
      <c r="Y35" s="1">
        <f t="shared" si="1"/>
        <v>0</v>
      </c>
      <c r="Z35" s="1" t="str">
        <f t="shared" si="2"/>
        <v/>
      </c>
    </row>
    <row r="36" spans="1:26" ht="14.25" customHeight="1" x14ac:dyDescent="0.35">
      <c r="A36" s="202"/>
      <c r="B36" s="198"/>
      <c r="C36" s="128"/>
      <c r="D36" s="103"/>
      <c r="E36" s="103"/>
      <c r="F36" s="104"/>
      <c r="G36" s="103"/>
      <c r="H36" s="103"/>
      <c r="I36" s="103"/>
      <c r="J36" s="103"/>
      <c r="K36" s="104"/>
      <c r="L36" s="103"/>
      <c r="M36" s="103"/>
      <c r="N36" s="103"/>
      <c r="O36" s="103"/>
      <c r="P36" s="104"/>
      <c r="Q36" s="103"/>
      <c r="R36" s="103"/>
      <c r="S36" s="119"/>
      <c r="T36" s="103"/>
      <c r="U36" s="103"/>
      <c r="V36" s="103"/>
      <c r="W36" s="105"/>
      <c r="Y36" s="1">
        <f t="shared" si="1"/>
        <v>0</v>
      </c>
      <c r="Z36" s="1" t="str">
        <f t="shared" si="2"/>
        <v/>
      </c>
    </row>
    <row r="37" spans="1:26" ht="14.25" customHeight="1" x14ac:dyDescent="0.35">
      <c r="A37" s="202"/>
      <c r="B37" s="197">
        <f>Neu!B21</f>
        <v>0</v>
      </c>
      <c r="C37" s="126"/>
      <c r="D37" s="117"/>
      <c r="E37" s="117"/>
      <c r="F37" s="110"/>
      <c r="G37" s="117"/>
      <c r="H37" s="117"/>
      <c r="I37" s="117"/>
      <c r="J37" s="117"/>
      <c r="K37" s="110"/>
      <c r="L37" s="117"/>
      <c r="M37" s="117"/>
      <c r="N37" s="117"/>
      <c r="O37" s="117"/>
      <c r="P37" s="110"/>
      <c r="Q37" s="117"/>
      <c r="R37" s="117"/>
      <c r="S37" s="117"/>
      <c r="T37" s="115"/>
      <c r="U37" s="117"/>
      <c r="V37" s="117"/>
      <c r="W37" s="127"/>
      <c r="Y37" s="1">
        <f t="shared" si="1"/>
        <v>0</v>
      </c>
      <c r="Z37" s="1" t="str">
        <f t="shared" si="2"/>
        <v/>
      </c>
    </row>
    <row r="38" spans="1:26" ht="14.25" customHeight="1" x14ac:dyDescent="0.35">
      <c r="A38" s="202"/>
      <c r="B38" s="198"/>
      <c r="C38" s="128"/>
      <c r="D38" s="103"/>
      <c r="E38" s="103"/>
      <c r="F38" s="104"/>
      <c r="G38" s="103"/>
      <c r="H38" s="103"/>
      <c r="I38" s="103"/>
      <c r="J38" s="103"/>
      <c r="K38" s="104"/>
      <c r="L38" s="103"/>
      <c r="M38" s="103"/>
      <c r="N38" s="103"/>
      <c r="O38" s="103"/>
      <c r="P38" s="104"/>
      <c r="Q38" s="103"/>
      <c r="R38" s="103"/>
      <c r="S38" s="103"/>
      <c r="T38" s="119"/>
      <c r="U38" s="103"/>
      <c r="V38" s="103"/>
      <c r="W38" s="105"/>
      <c r="Y38" s="1">
        <f t="shared" si="1"/>
        <v>0</v>
      </c>
      <c r="Z38" s="1" t="str">
        <f t="shared" si="2"/>
        <v/>
      </c>
    </row>
    <row r="39" spans="1:26" ht="14.25" customHeight="1" x14ac:dyDescent="0.35">
      <c r="A39" s="202"/>
      <c r="B39" s="197">
        <f>Neu!B22</f>
        <v>0</v>
      </c>
      <c r="C39" s="126"/>
      <c r="D39" s="117"/>
      <c r="E39" s="117"/>
      <c r="F39" s="110"/>
      <c r="G39" s="117"/>
      <c r="H39" s="117"/>
      <c r="I39" s="117"/>
      <c r="J39" s="117"/>
      <c r="K39" s="110"/>
      <c r="L39" s="117"/>
      <c r="M39" s="117"/>
      <c r="N39" s="117"/>
      <c r="O39" s="117"/>
      <c r="P39" s="110"/>
      <c r="Q39" s="117"/>
      <c r="R39" s="117"/>
      <c r="S39" s="117"/>
      <c r="T39" s="117"/>
      <c r="U39" s="115"/>
      <c r="V39" s="117"/>
      <c r="W39" s="127"/>
      <c r="Y39" s="1">
        <f t="shared" si="1"/>
        <v>0</v>
      </c>
      <c r="Z39" s="1" t="str">
        <f t="shared" si="2"/>
        <v/>
      </c>
    </row>
    <row r="40" spans="1:26" ht="14.25" customHeight="1" x14ac:dyDescent="0.35">
      <c r="A40" s="202"/>
      <c r="B40" s="198"/>
      <c r="C40" s="128"/>
      <c r="D40" s="103"/>
      <c r="E40" s="103"/>
      <c r="F40" s="104"/>
      <c r="G40" s="103"/>
      <c r="H40" s="103"/>
      <c r="I40" s="103"/>
      <c r="J40" s="103"/>
      <c r="K40" s="104"/>
      <c r="L40" s="103"/>
      <c r="M40" s="103"/>
      <c r="N40" s="103"/>
      <c r="O40" s="103"/>
      <c r="P40" s="104"/>
      <c r="Q40" s="103"/>
      <c r="R40" s="103"/>
      <c r="S40" s="103"/>
      <c r="T40" s="103"/>
      <c r="U40" s="119"/>
      <c r="V40" s="103"/>
      <c r="W40" s="105"/>
      <c r="Y40" s="1">
        <f t="shared" si="1"/>
        <v>0</v>
      </c>
      <c r="Z40" s="1" t="str">
        <f t="shared" si="2"/>
        <v/>
      </c>
    </row>
    <row r="41" spans="1:26" ht="14.25" customHeight="1" x14ac:dyDescent="0.35">
      <c r="A41" s="202"/>
      <c r="B41" s="197">
        <f>Neu!B23</f>
        <v>0</v>
      </c>
      <c r="C41" s="126"/>
      <c r="D41" s="117"/>
      <c r="E41" s="117"/>
      <c r="F41" s="110"/>
      <c r="G41" s="117"/>
      <c r="H41" s="117"/>
      <c r="I41" s="117"/>
      <c r="J41" s="117"/>
      <c r="K41" s="110"/>
      <c r="L41" s="117"/>
      <c r="M41" s="117"/>
      <c r="N41" s="117"/>
      <c r="O41" s="117"/>
      <c r="P41" s="110"/>
      <c r="Q41" s="117"/>
      <c r="R41" s="117"/>
      <c r="S41" s="117"/>
      <c r="T41" s="117"/>
      <c r="U41" s="117"/>
      <c r="V41" s="115"/>
      <c r="W41" s="127"/>
      <c r="Y41" s="1">
        <f t="shared" si="1"/>
        <v>0</v>
      </c>
      <c r="Z41" s="1" t="str">
        <f t="shared" si="2"/>
        <v/>
      </c>
    </row>
    <row r="42" spans="1:26" ht="14.25" customHeight="1" x14ac:dyDescent="0.35">
      <c r="A42" s="202"/>
      <c r="B42" s="198"/>
      <c r="C42" s="128"/>
      <c r="D42" s="103"/>
      <c r="E42" s="103"/>
      <c r="F42" s="104"/>
      <c r="G42" s="103"/>
      <c r="H42" s="103"/>
      <c r="I42" s="103"/>
      <c r="J42" s="103"/>
      <c r="K42" s="104"/>
      <c r="L42" s="103"/>
      <c r="M42" s="103"/>
      <c r="N42" s="103"/>
      <c r="O42" s="103"/>
      <c r="P42" s="104"/>
      <c r="Q42" s="103"/>
      <c r="R42" s="103"/>
      <c r="S42" s="103"/>
      <c r="T42" s="103"/>
      <c r="U42" s="103"/>
      <c r="V42" s="119"/>
      <c r="W42" s="105"/>
      <c r="Y42" s="1">
        <f t="shared" si="1"/>
        <v>0</v>
      </c>
      <c r="Z42" s="1" t="str">
        <f t="shared" si="2"/>
        <v/>
      </c>
    </row>
    <row r="43" spans="1:26" ht="14.25" customHeight="1" x14ac:dyDescent="0.35">
      <c r="A43" s="202"/>
      <c r="B43" s="197">
        <f>Neu!B24</f>
        <v>0</v>
      </c>
      <c r="C43" s="126"/>
      <c r="D43" s="117"/>
      <c r="E43" s="117"/>
      <c r="F43" s="110"/>
      <c r="G43" s="117"/>
      <c r="H43" s="117"/>
      <c r="I43" s="117"/>
      <c r="J43" s="117"/>
      <c r="K43" s="110"/>
      <c r="L43" s="117"/>
      <c r="M43" s="117"/>
      <c r="N43" s="117"/>
      <c r="O43" s="117"/>
      <c r="P43" s="110"/>
      <c r="Q43" s="117"/>
      <c r="R43" s="117"/>
      <c r="S43" s="117"/>
      <c r="T43" s="117"/>
      <c r="U43" s="117"/>
      <c r="V43" s="117"/>
      <c r="W43" s="130"/>
      <c r="Y43" s="1">
        <f t="shared" si="1"/>
        <v>0</v>
      </c>
      <c r="Z43" s="1" t="str">
        <f t="shared" si="2"/>
        <v/>
      </c>
    </row>
    <row r="44" spans="1:26" ht="14.25" customHeight="1" thickBot="1" x14ac:dyDescent="0.4">
      <c r="A44" s="114"/>
      <c r="B44" s="199"/>
      <c r="C44" s="131"/>
      <c r="D44" s="132"/>
      <c r="E44" s="132"/>
      <c r="F44" s="133"/>
      <c r="G44" s="132"/>
      <c r="H44" s="132"/>
      <c r="I44" s="132"/>
      <c r="J44" s="132"/>
      <c r="K44" s="133"/>
      <c r="L44" s="132"/>
      <c r="M44" s="132"/>
      <c r="N44" s="132"/>
      <c r="O44" s="132"/>
      <c r="P44" s="133"/>
      <c r="Q44" s="132"/>
      <c r="R44" s="132"/>
      <c r="S44" s="132"/>
      <c r="T44" s="132"/>
      <c r="U44" s="132"/>
      <c r="V44" s="132"/>
      <c r="W44" s="134"/>
      <c r="Z44" s="1" t="str">
        <f t="shared" si="2"/>
        <v/>
      </c>
    </row>
    <row r="45" spans="1:26" x14ac:dyDescent="0.35">
      <c r="V45" s="102" t="s">
        <v>166</v>
      </c>
      <c r="W45" s="1">
        <f>(MAX(Z:Z)+MIN(Z:Z))/2</f>
        <v>0</v>
      </c>
      <c r="Z45" s="1" t="str">
        <f t="shared" si="2"/>
        <v/>
      </c>
    </row>
    <row r="46" spans="1:26" x14ac:dyDescent="0.35">
      <c r="Z46" s="1" t="str">
        <f t="shared" si="2"/>
        <v/>
      </c>
    </row>
    <row r="47" spans="1:26" x14ac:dyDescent="0.35">
      <c r="Z47" s="1" t="str">
        <f t="shared" si="2"/>
        <v/>
      </c>
    </row>
    <row r="48" spans="1:2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AI1:AJ1"/>
    <mergeCell ref="AE1:AH1"/>
    <mergeCell ref="AA1:AB1"/>
    <mergeCell ref="B3:B4"/>
    <mergeCell ref="C1:W1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B43:B44"/>
    <mergeCell ref="B29:B30"/>
    <mergeCell ref="B31:B32"/>
    <mergeCell ref="B33:B34"/>
    <mergeCell ref="B35:B36"/>
    <mergeCell ref="B37:B38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zoomScale="90" zoomScaleNormal="90" workbookViewId="0">
      <selection activeCell="G15" sqref="F15:G15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07"/>
      <c r="B1" s="207"/>
      <c r="C1" s="207" t="s">
        <v>4</v>
      </c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</row>
    <row r="2" spans="1:23" ht="15" thickBot="1" x14ac:dyDescent="0.4">
      <c r="A2" s="207"/>
      <c r="B2" s="207"/>
      <c r="C2" s="141" t="str">
        <f>Neu!B4</f>
        <v>B4</v>
      </c>
      <c r="D2" s="142">
        <f>Neu!B5</f>
        <v>0</v>
      </c>
      <c r="E2" s="142">
        <f>Neu!B6</f>
        <v>0</v>
      </c>
      <c r="F2" s="142">
        <f>Neu!B7</f>
        <v>0</v>
      </c>
      <c r="G2" s="142">
        <f>Neu!B8</f>
        <v>0</v>
      </c>
      <c r="H2" s="142">
        <f>Neu!B9</f>
        <v>0</v>
      </c>
      <c r="I2" s="142">
        <f>Neu!B10</f>
        <v>0</v>
      </c>
      <c r="J2" s="142">
        <f>Neu!B11</f>
        <v>0</v>
      </c>
      <c r="K2" s="142">
        <f>Neu!B12</f>
        <v>0</v>
      </c>
      <c r="L2" s="142">
        <f>Neu!B13</f>
        <v>0</v>
      </c>
      <c r="M2" s="142">
        <f>Neu!B14</f>
        <v>0</v>
      </c>
      <c r="N2" s="142">
        <f>Neu!B15</f>
        <v>0</v>
      </c>
      <c r="O2" s="142">
        <f>Neu!B16</f>
        <v>0</v>
      </c>
      <c r="P2" s="142">
        <f>Neu!B17</f>
        <v>0</v>
      </c>
      <c r="Q2" s="142">
        <f>Neu!$B18</f>
        <v>0</v>
      </c>
      <c r="R2" s="142">
        <f>Neu!$B19</f>
        <v>0</v>
      </c>
      <c r="S2" s="142">
        <f>Neu!$B20</f>
        <v>0</v>
      </c>
      <c r="T2" s="142">
        <f>Neu!$B21</f>
        <v>0</v>
      </c>
      <c r="U2" s="142">
        <f>Neu!$B22</f>
        <v>0</v>
      </c>
      <c r="V2" s="142">
        <f>Neu!$B23</f>
        <v>0</v>
      </c>
      <c r="W2" s="143">
        <f>Neu!$B24</f>
        <v>0</v>
      </c>
    </row>
    <row r="3" spans="1:23" ht="29.15" customHeight="1" x14ac:dyDescent="0.35">
      <c r="A3" s="208" t="s">
        <v>5</v>
      </c>
      <c r="B3" s="2" t="str">
        <f>Neu!B4</f>
        <v>B4</v>
      </c>
      <c r="C3" s="82"/>
      <c r="D3" s="83">
        <f>C4</f>
        <v>0</v>
      </c>
      <c r="E3" s="83">
        <f>C5</f>
        <v>0</v>
      </c>
      <c r="F3" s="83">
        <f>C6</f>
        <v>0</v>
      </c>
      <c r="G3" s="83">
        <f>C7</f>
        <v>0</v>
      </c>
      <c r="H3" s="83">
        <f>C8</f>
        <v>0</v>
      </c>
      <c r="I3" s="83">
        <f>C9</f>
        <v>0</v>
      </c>
      <c r="J3" s="83">
        <f>C10</f>
        <v>0</v>
      </c>
      <c r="K3" s="83">
        <f>C11</f>
        <v>0</v>
      </c>
      <c r="L3" s="83">
        <f>C12</f>
        <v>0</v>
      </c>
      <c r="M3" s="83">
        <f>C13</f>
        <v>0</v>
      </c>
      <c r="N3" s="83">
        <f>C14</f>
        <v>0</v>
      </c>
      <c r="O3" s="83">
        <f>C14</f>
        <v>0</v>
      </c>
      <c r="P3" s="83">
        <f>C16</f>
        <v>0</v>
      </c>
      <c r="Q3" s="84">
        <f>C17</f>
        <v>0</v>
      </c>
      <c r="R3" s="84">
        <f>C18</f>
        <v>0</v>
      </c>
      <c r="S3" s="84">
        <f>C19</f>
        <v>0</v>
      </c>
      <c r="T3" s="84">
        <f>C20</f>
        <v>0</v>
      </c>
      <c r="U3" s="84">
        <f>C21</f>
        <v>0</v>
      </c>
      <c r="V3" s="84">
        <f>C22</f>
        <v>0</v>
      </c>
      <c r="W3" s="85">
        <f>C23</f>
        <v>0</v>
      </c>
    </row>
    <row r="4" spans="1:23" ht="29.15" customHeight="1" x14ac:dyDescent="0.35">
      <c r="A4" s="208"/>
      <c r="B4" s="3">
        <f>Neu!B5</f>
        <v>0</v>
      </c>
      <c r="C4" s="86"/>
      <c r="D4" s="78"/>
      <c r="E4" s="7">
        <f>D5</f>
        <v>0</v>
      </c>
      <c r="F4" s="7">
        <f>D6</f>
        <v>0</v>
      </c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9">
        <f>D17</f>
        <v>0</v>
      </c>
      <c r="R4" s="79">
        <f>D18</f>
        <v>0</v>
      </c>
      <c r="S4" s="77">
        <f>D19</f>
        <v>0</v>
      </c>
      <c r="T4" s="77">
        <f>D20</f>
        <v>0</v>
      </c>
      <c r="U4" s="77">
        <f>D21</f>
        <v>0</v>
      </c>
      <c r="V4" s="77">
        <f>D22</f>
        <v>0</v>
      </c>
      <c r="W4" s="6">
        <f>D23</f>
        <v>0</v>
      </c>
    </row>
    <row r="5" spans="1:23" ht="29.15" customHeight="1" x14ac:dyDescent="0.35">
      <c r="A5" s="208"/>
      <c r="B5" s="3">
        <f>Neu!B6</f>
        <v>0</v>
      </c>
      <c r="C5" s="86"/>
      <c r="D5" s="7"/>
      <c r="E5" s="78"/>
      <c r="F5" s="7">
        <f>E6</f>
        <v>0</v>
      </c>
      <c r="G5" s="7">
        <f>E7</f>
        <v>0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>
        <f>E15</f>
        <v>0</v>
      </c>
      <c r="P5" s="7">
        <f>E16</f>
        <v>0</v>
      </c>
      <c r="Q5" s="79">
        <f>E17</f>
        <v>0</v>
      </c>
      <c r="R5" s="79">
        <f>E18</f>
        <v>0</v>
      </c>
      <c r="S5" s="77">
        <f>E19</f>
        <v>0</v>
      </c>
      <c r="T5" s="77">
        <f>E20</f>
        <v>0</v>
      </c>
      <c r="U5" s="77">
        <f>E21</f>
        <v>0</v>
      </c>
      <c r="V5" s="77">
        <f>E22</f>
        <v>0</v>
      </c>
      <c r="W5" s="6">
        <f>E23</f>
        <v>0</v>
      </c>
    </row>
    <row r="6" spans="1:23" ht="29.15" customHeight="1" x14ac:dyDescent="0.35">
      <c r="A6" s="208"/>
      <c r="B6" s="3">
        <f>Neu!B7</f>
        <v>0</v>
      </c>
      <c r="C6" s="86"/>
      <c r="D6" s="7"/>
      <c r="E6" s="7"/>
      <c r="F6" s="78"/>
      <c r="G6" s="7">
        <f>F7</f>
        <v>0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>
        <f>F15</f>
        <v>0</v>
      </c>
      <c r="P6" s="7">
        <f>F16</f>
        <v>0</v>
      </c>
      <c r="Q6" s="79">
        <f>F17</f>
        <v>0</v>
      </c>
      <c r="R6" s="79">
        <f>F18</f>
        <v>0</v>
      </c>
      <c r="S6" s="77">
        <f>F19</f>
        <v>0</v>
      </c>
      <c r="T6" s="77">
        <f>F20</f>
        <v>0</v>
      </c>
      <c r="U6" s="77">
        <f>F21</f>
        <v>0</v>
      </c>
      <c r="V6" s="77">
        <f>F22</f>
        <v>0</v>
      </c>
      <c r="W6" s="6">
        <f>F23</f>
        <v>0</v>
      </c>
    </row>
    <row r="7" spans="1:23" ht="29.15" customHeight="1" x14ac:dyDescent="0.35">
      <c r="A7" s="208"/>
      <c r="B7" s="3">
        <f>Neu!B8</f>
        <v>0</v>
      </c>
      <c r="C7" s="86"/>
      <c r="D7" s="7"/>
      <c r="E7" s="7"/>
      <c r="F7" s="7"/>
      <c r="G7" s="78"/>
      <c r="H7" s="7">
        <f>G8</f>
        <v>0</v>
      </c>
      <c r="I7" s="7">
        <f>G9</f>
        <v>0</v>
      </c>
      <c r="J7" s="7">
        <f>G10</f>
        <v>0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>
        <f>G15</f>
        <v>0</v>
      </c>
      <c r="P7" s="7">
        <f>G16</f>
        <v>0</v>
      </c>
      <c r="Q7" s="79">
        <f>G17</f>
        <v>0</v>
      </c>
      <c r="R7" s="79">
        <f>G18</f>
        <v>0</v>
      </c>
      <c r="S7" s="77">
        <f>G19</f>
        <v>0</v>
      </c>
      <c r="T7" s="77">
        <f>G20</f>
        <v>0</v>
      </c>
      <c r="U7" s="77">
        <f>G21</f>
        <v>0</v>
      </c>
      <c r="V7" s="77">
        <f>G22</f>
        <v>0</v>
      </c>
      <c r="W7" s="6">
        <f>G23</f>
        <v>0</v>
      </c>
    </row>
    <row r="8" spans="1:23" ht="29.15" customHeight="1" x14ac:dyDescent="0.35">
      <c r="A8" s="208"/>
      <c r="B8" s="3">
        <f>Neu!B9</f>
        <v>0</v>
      </c>
      <c r="C8" s="86"/>
      <c r="D8" s="7"/>
      <c r="E8" s="7"/>
      <c r="F8" s="7"/>
      <c r="G8" s="7"/>
      <c r="H8" s="78"/>
      <c r="I8" s="7">
        <f>H9</f>
        <v>0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9">
        <f>H17</f>
        <v>0</v>
      </c>
      <c r="R8" s="79">
        <f>H18</f>
        <v>0</v>
      </c>
      <c r="S8" s="77">
        <f>H19</f>
        <v>0</v>
      </c>
      <c r="T8" s="77">
        <f>H20</f>
        <v>0</v>
      </c>
      <c r="U8" s="77">
        <f>H21</f>
        <v>0</v>
      </c>
      <c r="V8" s="77">
        <f>H22</f>
        <v>0</v>
      </c>
      <c r="W8" s="6">
        <f>H23</f>
        <v>0</v>
      </c>
    </row>
    <row r="9" spans="1:23" ht="29.15" customHeight="1" x14ac:dyDescent="0.35">
      <c r="A9" s="208"/>
      <c r="B9" s="3">
        <f>Neu!B10</f>
        <v>0</v>
      </c>
      <c r="C9" s="86"/>
      <c r="D9" s="7"/>
      <c r="E9" s="7"/>
      <c r="F9" s="7"/>
      <c r="G9" s="7"/>
      <c r="H9" s="7"/>
      <c r="I9" s="78"/>
      <c r="J9" s="7">
        <f>I10</f>
        <v>0</v>
      </c>
      <c r="K9" s="7">
        <f>I11</f>
        <v>0</v>
      </c>
      <c r="L9" s="7">
        <f>I12</f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9">
        <f>I17</f>
        <v>0</v>
      </c>
      <c r="R9" s="79">
        <f>I18</f>
        <v>0</v>
      </c>
      <c r="S9" s="77">
        <f>I19</f>
        <v>0</v>
      </c>
      <c r="T9" s="77">
        <f>I20</f>
        <v>0</v>
      </c>
      <c r="U9" s="77">
        <f>I21</f>
        <v>0</v>
      </c>
      <c r="V9" s="77">
        <f>I22</f>
        <v>0</v>
      </c>
      <c r="W9" s="6">
        <f>I23</f>
        <v>0</v>
      </c>
    </row>
    <row r="10" spans="1:23" ht="29.15" customHeight="1" x14ac:dyDescent="0.35">
      <c r="A10" s="208"/>
      <c r="B10" s="3">
        <f>Neu!B11</f>
        <v>0</v>
      </c>
      <c r="C10" s="86"/>
      <c r="D10" s="7"/>
      <c r="E10" s="7"/>
      <c r="F10" s="7"/>
      <c r="G10" s="7"/>
      <c r="H10" s="7"/>
      <c r="I10" s="7"/>
      <c r="J10" s="78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9">
        <f>J17</f>
        <v>0</v>
      </c>
      <c r="R10" s="79">
        <f>J18</f>
        <v>0</v>
      </c>
      <c r="S10" s="77">
        <f>J19</f>
        <v>0</v>
      </c>
      <c r="T10" s="77">
        <f>J20</f>
        <v>0</v>
      </c>
      <c r="U10" s="77">
        <f>J21</f>
        <v>0</v>
      </c>
      <c r="V10" s="77">
        <f>J22</f>
        <v>0</v>
      </c>
      <c r="W10" s="6">
        <f>J23</f>
        <v>0</v>
      </c>
    </row>
    <row r="11" spans="1:23" ht="29.15" customHeight="1" x14ac:dyDescent="0.35">
      <c r="A11" s="208"/>
      <c r="B11" s="3">
        <f>Neu!B12</f>
        <v>0</v>
      </c>
      <c r="C11" s="86"/>
      <c r="D11" s="7"/>
      <c r="E11" s="7"/>
      <c r="F11" s="7"/>
      <c r="G11" s="7"/>
      <c r="H11" s="7"/>
      <c r="I11" s="7"/>
      <c r="J11" s="7"/>
      <c r="K11" s="78"/>
      <c r="L11" s="7">
        <f>K12</f>
        <v>0</v>
      </c>
      <c r="M11" s="7">
        <f>K13</f>
        <v>0</v>
      </c>
      <c r="N11" s="7">
        <f>K14</f>
        <v>0</v>
      </c>
      <c r="O11" s="7">
        <f>K15</f>
        <v>0</v>
      </c>
      <c r="P11" s="7">
        <f>K16</f>
        <v>0</v>
      </c>
      <c r="Q11" s="79">
        <f>K17</f>
        <v>0</v>
      </c>
      <c r="R11" s="79">
        <f>K18</f>
        <v>0</v>
      </c>
      <c r="S11" s="77">
        <f>K19</f>
        <v>0</v>
      </c>
      <c r="T11" s="77">
        <f>K20</f>
        <v>0</v>
      </c>
      <c r="U11" s="77">
        <f>K21</f>
        <v>0</v>
      </c>
      <c r="V11" s="77">
        <f>K22</f>
        <v>0</v>
      </c>
      <c r="W11" s="6">
        <f>K23</f>
        <v>0</v>
      </c>
    </row>
    <row r="12" spans="1:23" ht="29.15" customHeight="1" x14ac:dyDescent="0.35">
      <c r="A12" s="208"/>
      <c r="B12" s="3">
        <f>Neu!B13</f>
        <v>0</v>
      </c>
      <c r="C12" s="86"/>
      <c r="D12" s="7"/>
      <c r="E12" s="7"/>
      <c r="F12" s="7"/>
      <c r="G12" s="7"/>
      <c r="H12" s="7"/>
      <c r="I12" s="7"/>
      <c r="J12" s="7"/>
      <c r="K12" s="7"/>
      <c r="L12" s="78"/>
      <c r="M12" s="7">
        <f>L13</f>
        <v>0</v>
      </c>
      <c r="N12" s="7">
        <f>L14</f>
        <v>0</v>
      </c>
      <c r="O12" s="7">
        <f>L15</f>
        <v>0</v>
      </c>
      <c r="P12" s="7">
        <f>L16</f>
        <v>0</v>
      </c>
      <c r="Q12" s="79">
        <f>L17</f>
        <v>0</v>
      </c>
      <c r="R12" s="79">
        <f>L18</f>
        <v>0</v>
      </c>
      <c r="S12" s="77">
        <f>L19</f>
        <v>0</v>
      </c>
      <c r="T12" s="77">
        <f>L20</f>
        <v>0</v>
      </c>
      <c r="U12" s="77">
        <f>L21</f>
        <v>0</v>
      </c>
      <c r="V12" s="77">
        <f>L22</f>
        <v>0</v>
      </c>
      <c r="W12" s="6">
        <f>L23</f>
        <v>0</v>
      </c>
    </row>
    <row r="13" spans="1:23" ht="29.15" customHeight="1" x14ac:dyDescent="0.35">
      <c r="A13" s="208"/>
      <c r="B13" s="3">
        <f>Neu!B14</f>
        <v>0</v>
      </c>
      <c r="C13" s="86"/>
      <c r="D13" s="7"/>
      <c r="E13" s="7"/>
      <c r="F13" s="7"/>
      <c r="G13" s="7"/>
      <c r="H13" s="7"/>
      <c r="I13" s="7"/>
      <c r="J13" s="7"/>
      <c r="K13" s="7"/>
      <c r="L13" s="7"/>
      <c r="M13" s="78"/>
      <c r="N13" s="7">
        <f>M14</f>
        <v>0</v>
      </c>
      <c r="O13" s="7">
        <f>M15</f>
        <v>0</v>
      </c>
      <c r="P13" s="7">
        <f>M16</f>
        <v>0</v>
      </c>
      <c r="Q13" s="79">
        <f>M17</f>
        <v>0</v>
      </c>
      <c r="R13" s="79">
        <f>M18</f>
        <v>0</v>
      </c>
      <c r="S13" s="77">
        <f>M19</f>
        <v>0</v>
      </c>
      <c r="T13" s="77">
        <f>M20</f>
        <v>0</v>
      </c>
      <c r="U13" s="77">
        <f>M21</f>
        <v>0</v>
      </c>
      <c r="V13" s="77">
        <f>M22</f>
        <v>0</v>
      </c>
      <c r="W13" s="6">
        <f>M23</f>
        <v>0</v>
      </c>
    </row>
    <row r="14" spans="1:23" ht="29.15" customHeight="1" x14ac:dyDescent="0.35">
      <c r="A14" s="208"/>
      <c r="B14" s="3">
        <f>Neu!B15</f>
        <v>0</v>
      </c>
      <c r="C14" s="86"/>
      <c r="D14" s="7"/>
      <c r="E14" s="7"/>
      <c r="F14" s="7"/>
      <c r="G14" s="7"/>
      <c r="H14" s="7"/>
      <c r="I14" s="7"/>
      <c r="J14" s="7"/>
      <c r="K14" s="7"/>
      <c r="L14" s="7"/>
      <c r="M14" s="7"/>
      <c r="N14" s="78"/>
      <c r="O14" s="7">
        <f>N15</f>
        <v>0</v>
      </c>
      <c r="P14" s="7">
        <f>N16</f>
        <v>0</v>
      </c>
      <c r="Q14" s="79">
        <f>N17</f>
        <v>0</v>
      </c>
      <c r="R14" s="79">
        <f>N18</f>
        <v>0</v>
      </c>
      <c r="S14" s="77">
        <f>N19</f>
        <v>0</v>
      </c>
      <c r="T14" s="77">
        <f>N20</f>
        <v>0</v>
      </c>
      <c r="U14" s="77">
        <f>N21</f>
        <v>0</v>
      </c>
      <c r="V14" s="77">
        <f>N22</f>
        <v>0</v>
      </c>
      <c r="W14" s="6">
        <f>N23</f>
        <v>0</v>
      </c>
    </row>
    <row r="15" spans="1:23" ht="29.15" customHeight="1" x14ac:dyDescent="0.35">
      <c r="A15" s="208"/>
      <c r="B15" s="3">
        <f>Neu!B16</f>
        <v>0</v>
      </c>
      <c r="C15" s="8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8"/>
      <c r="P15" s="7">
        <f>O16</f>
        <v>0</v>
      </c>
      <c r="Q15" s="79">
        <f>O17</f>
        <v>0</v>
      </c>
      <c r="R15" s="79">
        <f>O18</f>
        <v>0</v>
      </c>
      <c r="S15" s="77">
        <f>O19</f>
        <v>0</v>
      </c>
      <c r="T15" s="77">
        <f>O20</f>
        <v>0</v>
      </c>
      <c r="U15" s="77">
        <f>O21</f>
        <v>0</v>
      </c>
      <c r="V15" s="77">
        <f>O22</f>
        <v>0</v>
      </c>
      <c r="W15" s="6">
        <f>O23</f>
        <v>0</v>
      </c>
    </row>
    <row r="16" spans="1:23" ht="29.15" customHeight="1" x14ac:dyDescent="0.35">
      <c r="A16" s="208"/>
      <c r="B16" s="3">
        <f>Neu!B17</f>
        <v>0</v>
      </c>
      <c r="C16" s="86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8"/>
      <c r="Q16" s="79">
        <f>P17</f>
        <v>0</v>
      </c>
      <c r="R16" s="79">
        <f>P18</f>
        <v>0</v>
      </c>
      <c r="S16" s="77">
        <f>P19</f>
        <v>0</v>
      </c>
      <c r="T16" s="77">
        <f>P20</f>
        <v>0</v>
      </c>
      <c r="U16" s="77">
        <f>P21</f>
        <v>0</v>
      </c>
      <c r="V16" s="77">
        <f>P22</f>
        <v>0</v>
      </c>
      <c r="W16" s="6">
        <f>P23</f>
        <v>0</v>
      </c>
    </row>
    <row r="17" spans="1:23" ht="29.15" customHeight="1" x14ac:dyDescent="0.35">
      <c r="A17" s="208"/>
      <c r="B17" s="3">
        <f>Neu!B18</f>
        <v>0</v>
      </c>
      <c r="C17" s="87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1"/>
      <c r="R17" s="79">
        <f>Q18</f>
        <v>0</v>
      </c>
      <c r="S17" s="77">
        <f>Q19</f>
        <v>0</v>
      </c>
      <c r="T17" s="77">
        <f>Q20</f>
        <v>0</v>
      </c>
      <c r="U17" s="77">
        <f>Q21</f>
        <v>0</v>
      </c>
      <c r="V17" s="77">
        <f>Q22</f>
        <v>0</v>
      </c>
      <c r="W17" s="6">
        <f>Q23</f>
        <v>0</v>
      </c>
    </row>
    <row r="18" spans="1:23" ht="29.15" customHeight="1" x14ac:dyDescent="0.35">
      <c r="B18" s="3">
        <f>Neu!B19</f>
        <v>0</v>
      </c>
      <c r="C18" s="8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8"/>
      <c r="S18" s="77">
        <f>R19</f>
        <v>0</v>
      </c>
      <c r="T18" s="77">
        <f>R20</f>
        <v>0</v>
      </c>
      <c r="U18" s="77">
        <f>R21</f>
        <v>0</v>
      </c>
      <c r="V18" s="77">
        <f>R22</f>
        <v>0</v>
      </c>
      <c r="W18" s="6">
        <f>R23</f>
        <v>0</v>
      </c>
    </row>
    <row r="19" spans="1:23" ht="29.15" customHeight="1" x14ac:dyDescent="0.35">
      <c r="B19" s="3">
        <f>Neu!B20</f>
        <v>0</v>
      </c>
      <c r="C19" s="8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8"/>
      <c r="T19" s="77">
        <f>S20</f>
        <v>0</v>
      </c>
      <c r="U19" s="77">
        <f>S21</f>
        <v>0</v>
      </c>
      <c r="V19" s="77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8"/>
      <c r="U20" s="77">
        <f>T21</f>
        <v>0</v>
      </c>
      <c r="V20" s="77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8"/>
      <c r="V21" s="77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8"/>
      <c r="W22" s="6">
        <f>V23</f>
        <v>0</v>
      </c>
    </row>
    <row r="23" spans="1:23" ht="29.15" customHeight="1" thickBot="1" x14ac:dyDescent="0.4">
      <c r="B23" s="5">
        <f>Neu!B24</f>
        <v>0</v>
      </c>
      <c r="C23" s="8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9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B5" sqref="B5"/>
    </sheetView>
  </sheetViews>
  <sheetFormatPr defaultColWidth="9.1796875" defaultRowHeight="14.5" x14ac:dyDescent="0.35"/>
  <cols>
    <col min="1" max="1" width="35.453125" style="26" customWidth="1"/>
    <col min="2" max="2" width="10.81640625" style="27" customWidth="1"/>
    <col min="3" max="3" width="9.1796875" style="27"/>
    <col min="4" max="4" width="17.1796875" style="27" customWidth="1"/>
    <col min="5" max="16384" width="9.1796875" style="27"/>
  </cols>
  <sheetData>
    <row r="1" spans="1:4" x14ac:dyDescent="0.35">
      <c r="A1" s="28"/>
      <c r="B1" s="29" t="s">
        <v>15</v>
      </c>
      <c r="C1" s="29" t="s">
        <v>16</v>
      </c>
      <c r="D1" s="29" t="s">
        <v>17</v>
      </c>
    </row>
    <row r="2" spans="1:4" x14ac:dyDescent="0.35">
      <c r="A2" s="28" t="s">
        <v>18</v>
      </c>
      <c r="B2" s="35">
        <v>0</v>
      </c>
      <c r="C2" s="35">
        <v>50</v>
      </c>
      <c r="D2" s="35">
        <v>10</v>
      </c>
    </row>
    <row r="3" spans="1:4" x14ac:dyDescent="0.35">
      <c r="A3" s="28" t="s">
        <v>20</v>
      </c>
      <c r="B3" s="35">
        <v>0</v>
      </c>
      <c r="C3" s="35">
        <v>200</v>
      </c>
      <c r="D3" s="35">
        <v>10</v>
      </c>
    </row>
    <row r="4" spans="1:4" x14ac:dyDescent="0.35">
      <c r="A4" s="28" t="s">
        <v>19</v>
      </c>
      <c r="B4" s="35">
        <v>0</v>
      </c>
      <c r="C4" s="35">
        <v>200</v>
      </c>
      <c r="D4" s="35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excitability.smu</vt:lpstr>
      <vt:lpstr>IR.smu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2025-03-14T17:28:01Z</dcterms:modified>
</cp:coreProperties>
</file>