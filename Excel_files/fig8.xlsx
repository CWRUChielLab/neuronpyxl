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2"/>
    <sheet name="main.smu" sheetId="2" state="visible" r:id="rId3"/>
    <sheet name="cs_g" sheetId="3" state="visible" r:id="rId4"/>
    <sheet name="cs_E" sheetId="4" state="visible" r:id="rId5"/>
    <sheet name="cs_FAT" sheetId="5" state="visible" r:id="rId6"/>
    <sheet name="es" sheetId="6" state="visible" r:id="rId7"/>
    <sheet name="noise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<sst xmlns="http://schemas.openxmlformats.org/spreadsheetml/2006/main" count="346" uniqueCount="168">
  <si>
    <t xml:space="preserve">File</t>
  </si>
  <si>
    <t xml:space="preserve">leak</t>
  </si>
  <si>
    <t xml:space="preserve">Na</t>
  </si>
  <si>
    <t xml:space="preserve">K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</si>
  <si>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</si>
  <si>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</si>
  <si>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</si>
  <si>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</si>
  <si>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</si>
  <si>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</si>
  <si>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</si>
  <si>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</si>
  <si>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</si>
  <si>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</si>
  <si>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</si>
  <si>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</si>
  <si>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</si>
  <si>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</si>
  <si>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</si>
  <si>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</si>
  <si>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</si>
  <si>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</si>
  <si>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</si>
  <si>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</si>
  <si>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</si>
  <si>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</si>
  <si>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</si>
  <si>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</si>
  <si>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</si>
  <si>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</si>
  <si>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</si>
  <si>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</si>
  <si>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</si>
  <si>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</si>
  <si>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</si>
  <si>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</si>
  <si>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</si>
  <si>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</si>
  <si>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</si>
  <si>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</si>
  <si>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</si>
  <si>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</si>
  <si>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</si>
  <si>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</si>
  <si>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  initial: p2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</si>
  <si>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</si>
  <si>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</si>
  <si>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</si>
  <si>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</si>
  <si>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</si>
  <si>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</si>
  <si>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</si>
  <si>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</si>
  <si>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</si>
  <si>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</si>
  <si>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</si>
  <si>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</si>
  <si>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</si>
  <si>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Ca</t>
  </si>
  <si>
    <t xml:space="preserve">Ca2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</si>
  <si>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</si>
  <si>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</si>
  <si>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</si>
  <si>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</si>
  <si>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</si>
  <si>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</si>
  <si>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</si>
  <si>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</si>
  <si>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</si>
  <si>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</si>
  <si>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</si>
  <si>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</si>
  <si>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</si>
  <si>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synapse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</si>
  <si>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</si>
  <si>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</si>
  <si>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</si>
  <si>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</si>
  <si>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</si>
  <si>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</si>
  <si>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</si>
  <si>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</si>
  <si>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</si>
  <si>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</si>
  <si>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</si>
  <si>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</si>
  <si>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</si>
  <si>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</si>
  <si>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</si>
  <si>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</si>
  <si>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</si>
  <si>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</si>
  <si>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</si>
  <si>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</si>
  <si>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</si>
  <si>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</si>
  <si>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</si>
  <si>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</si>
  <si>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</si>
  <si>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</si>
  <si>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</si>
  <si>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</si>
  <si>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</si>
  <si>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</si>
  <si>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</si>
  <si>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</si>
  <si>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</si>
  <si>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</si>
  <si>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</si>
  <si>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</si>
  <si>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</si>
  <si>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</si>
  <si>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</si>
  <si>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</si>
  <si>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</si>
  <si>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</si>
  <si>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</si>
  <si>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</si>
  <si>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</si>
  <si>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</si>
  <si>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</si>
  <si>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</si>
  <si>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</si>
  <si>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</si>
  <si>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</si>
  <si>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</si>
  <si>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</si>
  <si>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</si>
  <si>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</si>
  <si>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</si>
  <si>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red</t>
  </si>
  <si>
    <t xml:space="preserve">V.A</t>
  </si>
  <si>
    <t xml:space="preserve">green</t>
  </si>
  <si>
    <t xml:space="preserve">V.B</t>
  </si>
  <si>
    <t xml:space="preserve">A.A.C.f_exc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</si>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</sst>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1"/>
    </font>
  </fonts>
  <fills count="9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9CCFF"/>
      </patternFill>
    </fill>
    <fill>
      <patternFill patternType="solid">
        <fgColor rgb="FFFFFFFF"/>
        <bgColor rgb="FFE2F0D9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6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5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6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ill>
        <patternFill>
          <bgColor rgb="FFDAE3F3"/>
        </patternFill>
      </fill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CD6D6"/>
      <rgbColor rgb="FFDAE3F3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C7CE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45360</xdr:colOff>
      <xdr:row>6</xdr:row>
      <xdr:rowOff>103320</xdr:rowOff>
    </xdr:to>
    <xdr:sp>
      <xdr:nvSpPr>
        <xdr:cNvPr id="0" name="TextBox 1"/>
        <xdr:cNvSpPr/>
      </xdr:nvSpPr>
      <xdr:spPr>
        <a:xfrm>
          <a:off x="20979720" y="928440"/>
          <a:ext cx="24001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H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B12" activeCellId="0" sqref="B12"/>
    </sheetView>
  </sheetViews>
  <sheetFormatPr defaultColWidth="9.17968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7" min="7" style="1" width="5.54"/>
    <col collapsed="false" customWidth="true" hidden="false" outlineLevel="0" max="8" min="8" style="1" width="6"/>
    <col collapsed="false" customWidth="true" hidden="false" outlineLevel="0" max="9" min="9" style="1" width="6.82"/>
    <col collapsed="false" customWidth="true" hidden="false" outlineLevel="0" max="10" min="10" style="1" width="6"/>
    <col collapsed="false" customWidth="true" hidden="false" outlineLevel="0" max="11" min="11" style="1" width="7"/>
    <col collapsed="false" customWidth="true" hidden="false" outlineLevel="0" max="13" min="12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5" min="55" style="1" width="5.18"/>
    <col collapsed="false" customWidth="true" hidden="false" outlineLevel="0" max="57" min="56" style="1" width="7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false" hidden="false" outlineLevel="0" max="781" min="61" style="1" width="9.18"/>
  </cols>
  <sheetData>
    <row r="1" customFormat="false" ht="13.8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</row>
    <row r="2" customFormat="false" ht="13.8" hidden="false" customHeight="false" outlineLevel="0" collapsed="false">
      <c r="E2" s="6" t="s">
        <v>4</v>
      </c>
      <c r="F2" s="6"/>
      <c r="G2" s="7" t="s">
        <v>4</v>
      </c>
      <c r="H2" s="7"/>
      <c r="I2" s="7"/>
      <c r="J2" s="8" t="s">
        <v>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 t="s">
        <v>6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 t="s">
        <v>4</v>
      </c>
      <c r="AI2" s="10"/>
      <c r="AJ2" s="10"/>
      <c r="AK2" s="8" t="s">
        <v>5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9" t="s">
        <v>6</v>
      </c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</row>
    <row r="3" customFormat="false" ht="13.8" hidden="false" customHeight="false" outlineLevel="0" collapsed="false">
      <c r="B3" s="11" t="s">
        <v>7</v>
      </c>
      <c r="C3" s="12" t="s">
        <v>8</v>
      </c>
      <c r="D3" s="13" t="s">
        <v>9</v>
      </c>
      <c r="E3" s="14" t="s">
        <v>10</v>
      </c>
      <c r="F3" s="15" t="s">
        <v>11</v>
      </c>
      <c r="G3" s="16" t="s">
        <v>10</v>
      </c>
      <c r="H3" s="17" t="s">
        <v>12</v>
      </c>
      <c r="I3" s="17" t="s">
        <v>11</v>
      </c>
      <c r="J3" s="17" t="s">
        <v>13</v>
      </c>
      <c r="K3" s="17" t="s">
        <v>14</v>
      </c>
      <c r="L3" s="17" t="s">
        <v>15</v>
      </c>
      <c r="M3" s="17" t="s">
        <v>12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17" t="s">
        <v>14</v>
      </c>
      <c r="X3" s="17" t="s">
        <v>15</v>
      </c>
      <c r="Y3" s="17" t="s">
        <v>12</v>
      </c>
      <c r="Z3" s="17" t="s">
        <v>16</v>
      </c>
      <c r="AA3" s="17" t="s">
        <v>17</v>
      </c>
      <c r="AB3" s="17" t="s">
        <v>18</v>
      </c>
      <c r="AC3" s="17" t="s">
        <v>19</v>
      </c>
      <c r="AD3" s="17" t="s">
        <v>20</v>
      </c>
      <c r="AE3" s="17" t="s">
        <v>21</v>
      </c>
      <c r="AF3" s="17" t="s">
        <v>22</v>
      </c>
      <c r="AG3" s="18" t="s">
        <v>23</v>
      </c>
      <c r="AH3" s="19" t="s">
        <v>10</v>
      </c>
      <c r="AI3" s="20" t="s">
        <v>12</v>
      </c>
      <c r="AJ3" s="20" t="s">
        <v>11</v>
      </c>
      <c r="AK3" s="20" t="s">
        <v>13</v>
      </c>
      <c r="AL3" s="20" t="s">
        <v>14</v>
      </c>
      <c r="AM3" s="20" t="s">
        <v>15</v>
      </c>
      <c r="AN3" s="20" t="s">
        <v>12</v>
      </c>
      <c r="AO3" s="20" t="s">
        <v>16</v>
      </c>
      <c r="AP3" s="20" t="s">
        <v>17</v>
      </c>
      <c r="AQ3" s="20" t="s">
        <v>18</v>
      </c>
      <c r="AR3" s="20" t="s">
        <v>19</v>
      </c>
      <c r="AS3" s="20" t="s">
        <v>20</v>
      </c>
      <c r="AT3" s="20" t="s">
        <v>21</v>
      </c>
      <c r="AU3" s="20" t="s">
        <v>22</v>
      </c>
      <c r="AV3" s="20" t="s">
        <v>23</v>
      </c>
      <c r="AW3" s="20" t="s">
        <v>24</v>
      </c>
      <c r="AX3" s="20" t="s">
        <v>14</v>
      </c>
      <c r="AY3" s="20" t="s">
        <v>15</v>
      </c>
      <c r="AZ3" s="20" t="s">
        <v>12</v>
      </c>
      <c r="BA3" s="20" t="s">
        <v>16</v>
      </c>
      <c r="BB3" s="20" t="s">
        <v>17</v>
      </c>
      <c r="BC3" s="20" t="s">
        <v>18</v>
      </c>
      <c r="BD3" s="20" t="s">
        <v>19</v>
      </c>
      <c r="BE3" s="20" t="s">
        <v>20</v>
      </c>
      <c r="BF3" s="20" t="s">
        <v>21</v>
      </c>
      <c r="BG3" s="20" t="s">
        <v>22</v>
      </c>
      <c r="BH3" s="21" t="s">
        <v>23</v>
      </c>
    </row>
    <row r="4" customFormat="false" ht="14.25" hidden="false" customHeight="false" outlineLevel="0" collapsed="false">
      <c r="A4" s="22" t="str">
        <f aca="false">Neu!B4</f>
        <v>A</v>
      </c>
      <c r="B4" s="23" t="s">
        <v>5</v>
      </c>
      <c r="C4" s="24"/>
      <c r="D4" s="25" t="n">
        <v>0.003</v>
      </c>
      <c r="E4" s="26" t="n">
        <v>0.1</v>
      </c>
      <c r="F4" s="27" t="n">
        <v>-70</v>
      </c>
      <c r="G4" s="26" t="n">
        <v>8</v>
      </c>
      <c r="H4" s="28" t="n">
        <v>3</v>
      </c>
      <c r="I4" s="28" t="n">
        <v>50</v>
      </c>
      <c r="J4" s="28" t="n">
        <v>0</v>
      </c>
      <c r="K4" s="28" t="n">
        <v>-49</v>
      </c>
      <c r="L4" s="28" t="n">
        <v>5</v>
      </c>
      <c r="M4" s="28" t="n">
        <v>1</v>
      </c>
      <c r="N4" s="28" t="n">
        <v>0.006</v>
      </c>
      <c r="O4" s="28" t="n">
        <v>0.001</v>
      </c>
      <c r="P4" s="28" t="n">
        <v>-55</v>
      </c>
      <c r="Q4" s="28" t="n">
        <v>4</v>
      </c>
      <c r="R4" s="28" t="n">
        <v>1</v>
      </c>
      <c r="S4" s="28"/>
      <c r="T4" s="28"/>
      <c r="U4" s="28"/>
      <c r="V4" s="28" t="n">
        <v>0</v>
      </c>
      <c r="W4" s="28" t="n">
        <v>-55</v>
      </c>
      <c r="X4" s="28" t="n">
        <v>5</v>
      </c>
      <c r="Y4" s="28" t="n">
        <v>1</v>
      </c>
      <c r="Z4" s="28" t="n">
        <v>0.02</v>
      </c>
      <c r="AA4" s="28" t="n">
        <v>0.005</v>
      </c>
      <c r="AB4" s="28" t="n">
        <v>-50</v>
      </c>
      <c r="AC4" s="28" t="n">
        <v>10</v>
      </c>
      <c r="AD4" s="28" t="n">
        <v>1</v>
      </c>
      <c r="AE4" s="28"/>
      <c r="AF4" s="28"/>
      <c r="AG4" s="29"/>
      <c r="AH4" s="30" t="n">
        <v>32</v>
      </c>
      <c r="AI4" s="31" t="n">
        <v>4</v>
      </c>
      <c r="AJ4" s="31" t="n">
        <v>-80</v>
      </c>
      <c r="AK4" s="31" t="n">
        <v>0</v>
      </c>
      <c r="AL4" s="31" t="n">
        <v>-35</v>
      </c>
      <c r="AM4" s="31" t="n">
        <v>9</v>
      </c>
      <c r="AN4" s="31" t="n">
        <v>1</v>
      </c>
      <c r="AO4" s="31" t="n">
        <v>0.08</v>
      </c>
      <c r="AP4" s="31" t="n">
        <v>0.008</v>
      </c>
      <c r="AQ4" s="31" t="n">
        <v>-20</v>
      </c>
      <c r="AR4" s="31" t="n">
        <v>10</v>
      </c>
      <c r="AS4" s="31" t="n">
        <v>1</v>
      </c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</row>
    <row r="5" customFormat="false" ht="14.25" hidden="false" customHeight="false" outlineLevel="0" collapsed="false">
      <c r="A5" s="22" t="s">
        <v>6</v>
      </c>
      <c r="B5" s="23" t="s">
        <v>6</v>
      </c>
      <c r="C5" s="24"/>
      <c r="D5" s="25" t="n">
        <v>0.003</v>
      </c>
      <c r="E5" s="32" t="n">
        <v>0.1</v>
      </c>
      <c r="F5" s="25" t="n">
        <v>-70</v>
      </c>
      <c r="G5" s="32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3"/>
      <c r="AH5" s="30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</row>
    <row r="6" customFormat="false" ht="14.25" hidden="false" customHeight="false" outlineLevel="0" collapsed="false">
      <c r="A6" s="22" t="n">
        <f aca="false">Neu!B6</f>
        <v>0</v>
      </c>
      <c r="B6" s="34"/>
      <c r="C6" s="24"/>
      <c r="D6" s="25"/>
      <c r="E6" s="32"/>
      <c r="F6" s="25"/>
      <c r="G6" s="32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3"/>
      <c r="AH6" s="30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</row>
    <row r="7" customFormat="false" ht="14.25" hidden="false" customHeight="false" outlineLevel="0" collapsed="false">
      <c r="A7" s="22" t="n">
        <f aca="false">Neu!B7</f>
        <v>0</v>
      </c>
      <c r="B7" s="34"/>
      <c r="C7" s="24"/>
      <c r="D7" s="25"/>
      <c r="E7" s="32"/>
      <c r="F7" s="25"/>
      <c r="G7" s="32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3"/>
      <c r="AH7" s="30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3"/>
    </row>
    <row r="8" customFormat="false" ht="14.25" hidden="false" customHeight="false" outlineLevel="0" collapsed="false">
      <c r="A8" s="22" t="n">
        <f aca="false">Neu!B8</f>
        <v>0</v>
      </c>
      <c r="B8" s="34"/>
      <c r="C8" s="24"/>
      <c r="D8" s="25"/>
      <c r="E8" s="32"/>
      <c r="F8" s="25"/>
      <c r="G8" s="32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3"/>
      <c r="AH8" s="30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3"/>
    </row>
    <row r="9" customFormat="false" ht="14.25" hidden="false" customHeight="false" outlineLevel="0" collapsed="false">
      <c r="A9" s="22" t="n">
        <f aca="false">Neu!B9</f>
        <v>0</v>
      </c>
      <c r="B9" s="34"/>
      <c r="C9" s="24"/>
      <c r="D9" s="25"/>
      <c r="E9" s="32"/>
      <c r="F9" s="25"/>
      <c r="G9" s="32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3"/>
      <c r="AH9" s="30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3"/>
    </row>
    <row r="10" customFormat="false" ht="14.25" hidden="false" customHeight="false" outlineLevel="0" collapsed="false">
      <c r="A10" s="22" t="n">
        <f aca="false">Neu!B10</f>
        <v>0</v>
      </c>
      <c r="B10" s="34"/>
      <c r="C10" s="24"/>
      <c r="D10" s="25"/>
      <c r="E10" s="32"/>
      <c r="F10" s="25"/>
      <c r="G10" s="32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3"/>
      <c r="AH10" s="30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3"/>
    </row>
    <row r="11" customFormat="false" ht="14.25" hidden="false" customHeight="false" outlineLevel="0" collapsed="false">
      <c r="A11" s="22" t="n">
        <f aca="false">Neu!B11</f>
        <v>0</v>
      </c>
      <c r="B11" s="34"/>
      <c r="C11" s="24"/>
      <c r="D11" s="25"/>
      <c r="E11" s="32"/>
      <c r="F11" s="25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3"/>
      <c r="AH11" s="30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3"/>
    </row>
    <row r="12" customFormat="false" ht="14.25" hidden="false" customHeight="false" outlineLevel="0" collapsed="false">
      <c r="A12" s="22" t="n">
        <f aca="false">Neu!B12</f>
        <v>0</v>
      </c>
      <c r="B12" s="34"/>
      <c r="C12" s="24"/>
      <c r="D12" s="25"/>
      <c r="E12" s="32"/>
      <c r="F12" s="25"/>
      <c r="G12" s="3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3"/>
      <c r="AH12" s="30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3"/>
    </row>
    <row r="13" customFormat="false" ht="14.25" hidden="false" customHeight="false" outlineLevel="0" collapsed="false">
      <c r="A13" s="22" t="n">
        <f aca="false">Neu!B13</f>
        <v>0</v>
      </c>
      <c r="B13" s="34"/>
      <c r="C13" s="24"/>
      <c r="D13" s="25"/>
      <c r="E13" s="32"/>
      <c r="F13" s="25"/>
      <c r="G13" s="3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3"/>
      <c r="AH13" s="30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3"/>
    </row>
    <row r="14" customFormat="false" ht="14.25" hidden="false" customHeight="false" outlineLevel="0" collapsed="false">
      <c r="A14" s="22" t="n">
        <f aca="false">Neu!B14</f>
        <v>0</v>
      </c>
      <c r="B14" s="34"/>
      <c r="C14" s="24"/>
      <c r="D14" s="25"/>
      <c r="E14" s="32"/>
      <c r="F14" s="25"/>
      <c r="G14" s="32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3"/>
      <c r="AH14" s="30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3"/>
    </row>
    <row r="15" customFormat="false" ht="14.25" hidden="false" customHeight="false" outlineLevel="0" collapsed="false">
      <c r="A15" s="22" t="n">
        <f aca="false">Neu!B15</f>
        <v>0</v>
      </c>
      <c r="B15" s="34"/>
      <c r="C15" s="24"/>
      <c r="D15" s="25"/>
      <c r="E15" s="32"/>
      <c r="F15" s="25"/>
      <c r="G15" s="3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3"/>
      <c r="AH15" s="30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3"/>
    </row>
    <row r="16" customFormat="false" ht="14.25" hidden="false" customHeight="false" outlineLevel="0" collapsed="false">
      <c r="A16" s="22" t="n">
        <f aca="false">Neu!B16</f>
        <v>0</v>
      </c>
      <c r="B16" s="34"/>
      <c r="C16" s="24"/>
      <c r="D16" s="25"/>
      <c r="E16" s="32"/>
      <c r="F16" s="25"/>
      <c r="G16" s="32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3"/>
      <c r="AH16" s="30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3"/>
    </row>
    <row r="17" customFormat="false" ht="14.25" hidden="false" customHeight="false" outlineLevel="0" collapsed="false">
      <c r="A17" s="22" t="n">
        <f aca="false">Neu!B17</f>
        <v>0</v>
      </c>
      <c r="B17" s="34"/>
      <c r="C17" s="24"/>
      <c r="D17" s="25"/>
      <c r="E17" s="32"/>
      <c r="F17" s="25"/>
      <c r="G17" s="3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3"/>
      <c r="AH17" s="30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3"/>
    </row>
    <row r="18" customFormat="false" ht="14.25" hidden="false" customHeight="false" outlineLevel="0" collapsed="false">
      <c r="A18" s="22" t="n">
        <f aca="false">Neu!B18</f>
        <v>0</v>
      </c>
      <c r="B18" s="34"/>
      <c r="C18" s="24"/>
      <c r="D18" s="25"/>
      <c r="E18" s="32"/>
      <c r="F18" s="25"/>
      <c r="G18" s="3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3"/>
      <c r="AH18" s="30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3"/>
    </row>
    <row r="19" customFormat="false" ht="14.25" hidden="false" customHeight="false" outlineLevel="0" collapsed="false">
      <c r="A19" s="22" t="n">
        <f aca="false">Neu!B19</f>
        <v>0</v>
      </c>
      <c r="B19" s="34"/>
      <c r="C19" s="24"/>
      <c r="D19" s="25"/>
      <c r="E19" s="32"/>
      <c r="F19" s="25"/>
      <c r="G19" s="3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3"/>
      <c r="AH19" s="30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3"/>
    </row>
    <row r="20" customFormat="false" ht="14.25" hidden="false" customHeight="false" outlineLevel="0" collapsed="false">
      <c r="A20" s="22" t="n">
        <f aca="false">Neu!B20</f>
        <v>0</v>
      </c>
      <c r="B20" s="34"/>
      <c r="C20" s="24"/>
      <c r="D20" s="25"/>
      <c r="E20" s="32"/>
      <c r="F20" s="25"/>
      <c r="G20" s="32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3"/>
      <c r="AH20" s="30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3"/>
    </row>
    <row r="21" customFormat="false" ht="14.25" hidden="false" customHeight="false" outlineLevel="0" collapsed="false">
      <c r="A21" s="22" t="n">
        <f aca="false">Neu!B21</f>
        <v>0</v>
      </c>
      <c r="B21" s="34"/>
      <c r="C21" s="24"/>
      <c r="D21" s="25"/>
      <c r="E21" s="32"/>
      <c r="F21" s="25"/>
      <c r="G21" s="32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3"/>
      <c r="AH21" s="30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3"/>
    </row>
    <row r="22" customFormat="false" ht="14.25" hidden="false" customHeight="false" outlineLevel="0" collapsed="false">
      <c r="A22" s="22" t="n">
        <f aca="false">Neu!B22</f>
        <v>0</v>
      </c>
      <c r="B22" s="34"/>
      <c r="C22" s="24"/>
      <c r="D22" s="25"/>
      <c r="E22" s="32"/>
      <c r="F22" s="25"/>
      <c r="G22" s="3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3"/>
      <c r="AH22" s="30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3"/>
    </row>
    <row r="23" customFormat="false" ht="14.25" hidden="false" customHeight="false" outlineLevel="0" collapsed="false">
      <c r="A23" s="22" t="n">
        <f aca="false">Neu!B23</f>
        <v>0</v>
      </c>
      <c r="B23" s="34"/>
      <c r="C23" s="24"/>
      <c r="D23" s="25"/>
      <c r="E23" s="32"/>
      <c r="F23" s="25"/>
      <c r="G23" s="32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3"/>
      <c r="AH23" s="30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3"/>
    </row>
    <row r="24" customFormat="false" ht="14.35" hidden="false" customHeight="false" outlineLevel="0" collapsed="false">
      <c r="A24" s="22" t="n">
        <f aca="false">Neu!B24</f>
        <v>0</v>
      </c>
      <c r="B24" s="35"/>
      <c r="C24" s="36"/>
      <c r="D24" s="36"/>
      <c r="E24" s="37"/>
      <c r="F24" s="38"/>
      <c r="G24" s="37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40"/>
      <c r="AH24" s="41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3"/>
    </row>
    <row r="25" customFormat="false" ht="13.8" hidden="false" customHeight="false" outlineLevel="0" collapsed="false">
      <c r="A25" s="44"/>
      <c r="D25" s="45"/>
      <c r="E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</row>
    <row r="26" customFormat="false" ht="13.8" hidden="false" customHeight="false" outlineLevel="0" collapsed="false">
      <c r="D26" s="45"/>
      <c r="E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</row>
    <row r="27" customFormat="false" ht="13.8" hidden="false" customHeight="false" outlineLevel="0" collapsed="false">
      <c r="D27" s="45"/>
      <c r="E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</row>
    <row r="28" customFormat="false" ht="13.8" hidden="false" customHeight="false" outlineLevel="0" collapsed="false"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customFormat="false" ht="13.8" hidden="false" customHeight="false" outlineLevel="0" collapsed="false">
      <c r="D29" s="46" t="s">
        <v>25</v>
      </c>
      <c r="O29" s="46" t="s">
        <v>26</v>
      </c>
      <c r="Z29" s="46" t="s">
        <v>27</v>
      </c>
      <c r="BD29" s="46" t="s">
        <v>28</v>
      </c>
    </row>
    <row r="30" customFormat="false" ht="13.8" hidden="false" customHeight="false" outlineLevel="0" collapsed="false">
      <c r="D30" s="47" t="s">
        <v>7</v>
      </c>
      <c r="E30" s="48" t="s">
        <v>29</v>
      </c>
      <c r="F30" s="49" t="s">
        <v>30</v>
      </c>
      <c r="G30" s="13" t="s">
        <v>31</v>
      </c>
      <c r="H30" s="48" t="s">
        <v>29</v>
      </c>
      <c r="I30" s="49" t="s">
        <v>30</v>
      </c>
      <c r="J30" s="13" t="s">
        <v>31</v>
      </c>
      <c r="K30" s="48" t="s">
        <v>29</v>
      </c>
      <c r="L30" s="49" t="s">
        <v>30</v>
      </c>
      <c r="M30" s="13" t="s">
        <v>31</v>
      </c>
      <c r="O30" s="50" t="s">
        <v>7</v>
      </c>
      <c r="P30" s="48" t="s">
        <v>32</v>
      </c>
      <c r="Q30" s="13" t="s">
        <v>29</v>
      </c>
      <c r="R30" s="48" t="s">
        <v>32</v>
      </c>
      <c r="S30" s="13" t="s">
        <v>29</v>
      </c>
      <c r="T30" s="48" t="s">
        <v>32</v>
      </c>
      <c r="U30" s="13" t="s">
        <v>29</v>
      </c>
      <c r="V30" s="48" t="s">
        <v>32</v>
      </c>
      <c r="W30" s="13" t="s">
        <v>29</v>
      </c>
      <c r="X30" s="45"/>
      <c r="Z30" s="51" t="s">
        <v>7</v>
      </c>
      <c r="AA30" s="48" t="s">
        <v>29</v>
      </c>
      <c r="AB30" s="49" t="s">
        <v>32</v>
      </c>
      <c r="AC30" s="49" t="s">
        <v>33</v>
      </c>
      <c r="AD30" s="49" t="s">
        <v>34</v>
      </c>
      <c r="AE30" s="49" t="s">
        <v>35</v>
      </c>
      <c r="AF30" s="49" t="s">
        <v>36</v>
      </c>
      <c r="AG30" s="13" t="s">
        <v>37</v>
      </c>
      <c r="AH30" s="48" t="s">
        <v>29</v>
      </c>
      <c r="AI30" s="49" t="s">
        <v>32</v>
      </c>
      <c r="AJ30" s="49" t="s">
        <v>33</v>
      </c>
      <c r="AK30" s="49" t="s">
        <v>34</v>
      </c>
      <c r="AL30" s="49" t="s">
        <v>35</v>
      </c>
      <c r="AM30" s="49" t="s">
        <v>36</v>
      </c>
      <c r="AN30" s="13" t="s">
        <v>37</v>
      </c>
      <c r="AO30" s="48" t="s">
        <v>29</v>
      </c>
      <c r="AP30" s="49" t="s">
        <v>32</v>
      </c>
      <c r="AQ30" s="49" t="s">
        <v>33</v>
      </c>
      <c r="AR30" s="49" t="s">
        <v>34</v>
      </c>
      <c r="AS30" s="49" t="s">
        <v>35</v>
      </c>
      <c r="AT30" s="49" t="s">
        <v>36</v>
      </c>
      <c r="AU30" s="13" t="s">
        <v>37</v>
      </c>
      <c r="AV30" s="48" t="s">
        <v>29</v>
      </c>
      <c r="AW30" s="49" t="s">
        <v>32</v>
      </c>
      <c r="AX30" s="49" t="s">
        <v>33</v>
      </c>
      <c r="AY30" s="49" t="s">
        <v>34</v>
      </c>
      <c r="AZ30" s="49" t="s">
        <v>35</v>
      </c>
      <c r="BA30" s="49" t="s">
        <v>36</v>
      </c>
      <c r="BB30" s="13" t="s">
        <v>37</v>
      </c>
      <c r="BD30" s="47" t="s">
        <v>7</v>
      </c>
      <c r="BE30" s="48" t="s">
        <v>38</v>
      </c>
    </row>
    <row r="31" customFormat="false" ht="14.25" hidden="false" customHeight="false" outlineLevel="0" collapsed="false">
      <c r="D31" s="52"/>
      <c r="E31" s="32"/>
      <c r="F31" s="31"/>
      <c r="G31" s="31"/>
      <c r="H31" s="32"/>
      <c r="I31" s="31"/>
      <c r="J31" s="33"/>
      <c r="K31" s="32"/>
      <c r="L31" s="31"/>
      <c r="M31" s="33"/>
      <c r="O31" s="52"/>
      <c r="P31" s="32"/>
      <c r="Q31" s="33"/>
      <c r="R31" s="32"/>
      <c r="S31" s="33"/>
      <c r="T31" s="32"/>
      <c r="U31" s="33"/>
      <c r="V31" s="32"/>
      <c r="W31" s="33"/>
      <c r="Z31" s="52" t="str">
        <f aca="false">Neu!$B4</f>
        <v>A</v>
      </c>
      <c r="AA31" s="32"/>
      <c r="AB31" s="31"/>
      <c r="AC31" s="31"/>
      <c r="AD31" s="53"/>
      <c r="AE31" s="31"/>
      <c r="AF31" s="31"/>
      <c r="AG31" s="33"/>
      <c r="AH31" s="32"/>
      <c r="AI31" s="31"/>
      <c r="AJ31" s="31"/>
      <c r="AK31" s="53"/>
      <c r="AL31" s="31"/>
      <c r="AM31" s="31"/>
      <c r="AN31" s="33"/>
      <c r="AO31" s="32"/>
      <c r="AP31" s="31"/>
      <c r="AQ31" s="31"/>
      <c r="AR31" s="31"/>
      <c r="AS31" s="31"/>
      <c r="AT31" s="31"/>
      <c r="AU31" s="33"/>
      <c r="AV31" s="32"/>
      <c r="AW31" s="31"/>
      <c r="AX31" s="31"/>
      <c r="AY31" s="31"/>
      <c r="AZ31" s="31"/>
      <c r="BA31" s="31"/>
      <c r="BB31" s="33"/>
      <c r="BD31" s="52" t="str">
        <f aca="false">Neu!$B4</f>
        <v>A</v>
      </c>
      <c r="BE31" s="32" t="n">
        <v>-70</v>
      </c>
    </row>
    <row r="32" customFormat="false" ht="14.25" hidden="false" customHeight="false" outlineLevel="0" collapsed="false">
      <c r="D32" s="54"/>
      <c r="E32" s="32"/>
      <c r="F32" s="31"/>
      <c r="G32" s="31"/>
      <c r="H32" s="32"/>
      <c r="I32" s="31"/>
      <c r="J32" s="33"/>
      <c r="K32" s="32"/>
      <c r="L32" s="31"/>
      <c r="M32" s="33"/>
      <c r="O32" s="54"/>
      <c r="P32" s="32"/>
      <c r="Q32" s="33"/>
      <c r="R32" s="32"/>
      <c r="S32" s="33"/>
      <c r="T32" s="32"/>
      <c r="U32" s="33"/>
      <c r="V32" s="32"/>
      <c r="W32" s="33"/>
      <c r="Z32" s="55" t="str">
        <f aca="false">Neu!$B5</f>
        <v>B</v>
      </c>
      <c r="AA32" s="32"/>
      <c r="AB32" s="31"/>
      <c r="AC32" s="31"/>
      <c r="AD32" s="53"/>
      <c r="AE32" s="31"/>
      <c r="AF32" s="31"/>
      <c r="AG32" s="33"/>
      <c r="AH32" s="32"/>
      <c r="AI32" s="31"/>
      <c r="AJ32" s="31"/>
      <c r="AK32" s="53"/>
      <c r="AL32" s="31"/>
      <c r="AM32" s="31"/>
      <c r="AN32" s="33"/>
      <c r="AO32" s="32"/>
      <c r="AP32" s="31"/>
      <c r="AQ32" s="31"/>
      <c r="AR32" s="31"/>
      <c r="AS32" s="31"/>
      <c r="AT32" s="31"/>
      <c r="AU32" s="33"/>
      <c r="AV32" s="32"/>
      <c r="AW32" s="31"/>
      <c r="AX32" s="31"/>
      <c r="AY32" s="31"/>
      <c r="AZ32" s="31"/>
      <c r="BA32" s="31"/>
      <c r="BB32" s="33"/>
      <c r="BD32" s="54" t="str">
        <f aca="false">Neu!$B5</f>
        <v>B</v>
      </c>
      <c r="BE32" s="32" t="n">
        <v>-70</v>
      </c>
    </row>
    <row r="33" customFormat="false" ht="14.25" hidden="false" customHeight="false" outlineLevel="0" collapsed="false">
      <c r="D33" s="54"/>
      <c r="E33" s="32"/>
      <c r="F33" s="31"/>
      <c r="G33" s="31"/>
      <c r="H33" s="32"/>
      <c r="I33" s="31"/>
      <c r="J33" s="33"/>
      <c r="K33" s="32"/>
      <c r="L33" s="31"/>
      <c r="M33" s="33"/>
      <c r="O33" s="54"/>
      <c r="P33" s="32"/>
      <c r="Q33" s="33"/>
      <c r="R33" s="32"/>
      <c r="S33" s="33"/>
      <c r="T33" s="32"/>
      <c r="U33" s="33"/>
      <c r="V33" s="32"/>
      <c r="W33" s="33"/>
      <c r="Z33" s="55"/>
      <c r="AA33" s="32"/>
      <c r="AB33" s="31"/>
      <c r="AC33" s="31"/>
      <c r="AD33" s="53"/>
      <c r="AE33" s="31"/>
      <c r="AF33" s="31"/>
      <c r="AG33" s="33"/>
      <c r="AH33" s="32"/>
      <c r="AI33" s="31"/>
      <c r="AJ33" s="31"/>
      <c r="AK33" s="53"/>
      <c r="AL33" s="31"/>
      <c r="AM33" s="31"/>
      <c r="AN33" s="33"/>
      <c r="AO33" s="32"/>
      <c r="AP33" s="31"/>
      <c r="AQ33" s="31"/>
      <c r="AR33" s="31"/>
      <c r="AS33" s="31"/>
      <c r="AT33" s="31"/>
      <c r="AU33" s="33"/>
      <c r="AV33" s="32"/>
      <c r="AW33" s="31"/>
      <c r="AX33" s="31"/>
      <c r="AY33" s="31"/>
      <c r="AZ33" s="31"/>
      <c r="BA33" s="31"/>
      <c r="BB33" s="33"/>
      <c r="BD33" s="54"/>
      <c r="BE33" s="32"/>
    </row>
    <row r="34" customFormat="false" ht="14.35" hidden="false" customHeight="false" outlineLevel="0" collapsed="false">
      <c r="D34" s="54"/>
      <c r="E34" s="30"/>
      <c r="F34" s="31"/>
      <c r="G34" s="33"/>
      <c r="H34" s="32"/>
      <c r="I34" s="31"/>
      <c r="J34" s="33"/>
      <c r="K34" s="32"/>
      <c r="L34" s="31"/>
      <c r="M34" s="33"/>
      <c r="O34" s="54"/>
      <c r="P34" s="32"/>
      <c r="Q34" s="33"/>
      <c r="R34" s="32"/>
      <c r="S34" s="33"/>
      <c r="T34" s="32"/>
      <c r="U34" s="33"/>
      <c r="V34" s="32"/>
      <c r="W34" s="33"/>
      <c r="Z34" s="55" t="n">
        <f aca="false">Neu!$B7</f>
        <v>0</v>
      </c>
      <c r="AA34" s="32"/>
      <c r="AB34" s="31"/>
      <c r="AC34" s="31"/>
      <c r="AD34" s="31"/>
      <c r="AE34" s="31"/>
      <c r="AF34" s="31"/>
      <c r="AG34" s="33"/>
      <c r="AH34" s="32"/>
      <c r="AI34" s="31"/>
      <c r="AJ34" s="31"/>
      <c r="AK34" s="31"/>
      <c r="AL34" s="31"/>
      <c r="AM34" s="31"/>
      <c r="AN34" s="33"/>
      <c r="AO34" s="32"/>
      <c r="AP34" s="31"/>
      <c r="AQ34" s="31"/>
      <c r="AR34" s="31"/>
      <c r="AS34" s="31"/>
      <c r="AT34" s="31"/>
      <c r="AU34" s="33"/>
      <c r="AV34" s="32"/>
      <c r="AW34" s="31"/>
      <c r="AX34" s="31"/>
      <c r="AY34" s="31"/>
      <c r="AZ34" s="31"/>
      <c r="BA34" s="31"/>
      <c r="BB34" s="33"/>
      <c r="BD34" s="54"/>
      <c r="BE34" s="30"/>
    </row>
    <row r="35" customFormat="false" ht="14.35" hidden="false" customHeight="false" outlineLevel="0" collapsed="false">
      <c r="D35" s="54" t="n">
        <f aca="false">Neu!$B8</f>
        <v>0</v>
      </c>
      <c r="E35" s="30"/>
      <c r="F35" s="31"/>
      <c r="G35" s="33"/>
      <c r="H35" s="32"/>
      <c r="I35" s="31"/>
      <c r="J35" s="33"/>
      <c r="K35" s="32"/>
      <c r="L35" s="31"/>
      <c r="M35" s="33"/>
      <c r="O35" s="54" t="n">
        <f aca="false">Neu!$B8</f>
        <v>0</v>
      </c>
      <c r="P35" s="32"/>
      <c r="Q35" s="33"/>
      <c r="R35" s="32"/>
      <c r="S35" s="33"/>
      <c r="T35" s="32"/>
      <c r="U35" s="33"/>
      <c r="V35" s="32"/>
      <c r="W35" s="33"/>
      <c r="Z35" s="55" t="n">
        <f aca="false">Neu!$B8</f>
        <v>0</v>
      </c>
      <c r="AA35" s="32"/>
      <c r="AB35" s="31"/>
      <c r="AC35" s="31"/>
      <c r="AD35" s="53"/>
      <c r="AE35" s="31"/>
      <c r="AF35" s="31"/>
      <c r="AG35" s="33"/>
      <c r="AH35" s="32"/>
      <c r="AI35" s="31"/>
      <c r="AJ35" s="31"/>
      <c r="AK35" s="53"/>
      <c r="AL35" s="31"/>
      <c r="AM35" s="31"/>
      <c r="AN35" s="33"/>
      <c r="AO35" s="32"/>
      <c r="AP35" s="31"/>
      <c r="AQ35" s="31"/>
      <c r="AR35" s="31"/>
      <c r="AS35" s="31"/>
      <c r="AT35" s="31"/>
      <c r="AU35" s="33"/>
      <c r="AV35" s="32"/>
      <c r="AW35" s="31"/>
      <c r="AX35" s="31"/>
      <c r="AY35" s="31"/>
      <c r="AZ35" s="31"/>
      <c r="BA35" s="31"/>
      <c r="BB35" s="33"/>
      <c r="BD35" s="54"/>
      <c r="BE35" s="30"/>
    </row>
    <row r="36" customFormat="false" ht="14.35" hidden="false" customHeight="false" outlineLevel="0" collapsed="false">
      <c r="D36" s="54" t="n">
        <f aca="false">Neu!$B9</f>
        <v>0</v>
      </c>
      <c r="E36" s="30"/>
      <c r="F36" s="31"/>
      <c r="G36" s="33"/>
      <c r="H36" s="32"/>
      <c r="I36" s="31"/>
      <c r="J36" s="33"/>
      <c r="K36" s="32"/>
      <c r="L36" s="31"/>
      <c r="M36" s="33"/>
      <c r="O36" s="54" t="n">
        <f aca="false">Neu!$B9</f>
        <v>0</v>
      </c>
      <c r="P36" s="32"/>
      <c r="Q36" s="33"/>
      <c r="R36" s="32"/>
      <c r="S36" s="33"/>
      <c r="T36" s="32"/>
      <c r="U36" s="33"/>
      <c r="V36" s="32"/>
      <c r="W36" s="33"/>
      <c r="Z36" s="55" t="n">
        <f aca="false">Neu!$B9</f>
        <v>0</v>
      </c>
      <c r="AA36" s="32"/>
      <c r="AB36" s="31"/>
      <c r="AC36" s="31"/>
      <c r="AD36" s="31"/>
      <c r="AE36" s="31"/>
      <c r="AF36" s="31"/>
      <c r="AG36" s="33"/>
      <c r="AH36" s="32"/>
      <c r="AI36" s="31"/>
      <c r="AJ36" s="31"/>
      <c r="AK36" s="31"/>
      <c r="AL36" s="31"/>
      <c r="AM36" s="31"/>
      <c r="AN36" s="33"/>
      <c r="AO36" s="32"/>
      <c r="AP36" s="31"/>
      <c r="AQ36" s="31"/>
      <c r="AR36" s="31"/>
      <c r="AS36" s="31"/>
      <c r="AT36" s="31"/>
      <c r="AU36" s="33"/>
      <c r="AV36" s="32"/>
      <c r="AW36" s="31"/>
      <c r="AX36" s="31"/>
      <c r="AY36" s="31"/>
      <c r="AZ36" s="31"/>
      <c r="BA36" s="31"/>
      <c r="BB36" s="33"/>
      <c r="BD36" s="54" t="n">
        <f aca="false">Neu!$B9</f>
        <v>0</v>
      </c>
      <c r="BE36" s="30"/>
    </row>
    <row r="37" customFormat="false" ht="14.35" hidden="false" customHeight="false" outlineLevel="0" collapsed="false">
      <c r="D37" s="54" t="n">
        <f aca="false">Neu!$B10</f>
        <v>0</v>
      </c>
      <c r="E37" s="30"/>
      <c r="F37" s="31"/>
      <c r="G37" s="33"/>
      <c r="H37" s="32"/>
      <c r="I37" s="31"/>
      <c r="J37" s="33"/>
      <c r="K37" s="32"/>
      <c r="L37" s="31"/>
      <c r="M37" s="33"/>
      <c r="O37" s="54" t="n">
        <f aca="false">Neu!$B10</f>
        <v>0</v>
      </c>
      <c r="P37" s="32"/>
      <c r="Q37" s="33"/>
      <c r="R37" s="32"/>
      <c r="S37" s="33"/>
      <c r="T37" s="32"/>
      <c r="U37" s="33"/>
      <c r="V37" s="32"/>
      <c r="W37" s="33"/>
      <c r="Z37" s="55" t="n">
        <f aca="false">Neu!$B10</f>
        <v>0</v>
      </c>
      <c r="AA37" s="32"/>
      <c r="AB37" s="31"/>
      <c r="AC37" s="31"/>
      <c r="AD37" s="53"/>
      <c r="AE37" s="31"/>
      <c r="AF37" s="31"/>
      <c r="AG37" s="33"/>
      <c r="AH37" s="32"/>
      <c r="AI37" s="31"/>
      <c r="AJ37" s="31"/>
      <c r="AK37" s="31"/>
      <c r="AL37" s="31"/>
      <c r="AM37" s="31"/>
      <c r="AN37" s="33"/>
      <c r="AO37" s="32"/>
      <c r="AP37" s="31"/>
      <c r="AQ37" s="31"/>
      <c r="AR37" s="31"/>
      <c r="AS37" s="31"/>
      <c r="AT37" s="31"/>
      <c r="AU37" s="33"/>
      <c r="AV37" s="32"/>
      <c r="AW37" s="31"/>
      <c r="AX37" s="31"/>
      <c r="AY37" s="31"/>
      <c r="AZ37" s="31"/>
      <c r="BA37" s="31"/>
      <c r="BB37" s="33"/>
      <c r="BD37" s="54" t="n">
        <f aca="false">Neu!$B10</f>
        <v>0</v>
      </c>
      <c r="BE37" s="30"/>
    </row>
    <row r="38" customFormat="false" ht="14.35" hidden="false" customHeight="false" outlineLevel="0" collapsed="false">
      <c r="D38" s="54" t="n">
        <f aca="false">Neu!$B11</f>
        <v>0</v>
      </c>
      <c r="E38" s="30"/>
      <c r="F38" s="31"/>
      <c r="G38" s="33"/>
      <c r="H38" s="32"/>
      <c r="I38" s="31"/>
      <c r="J38" s="33"/>
      <c r="K38" s="32"/>
      <c r="L38" s="31"/>
      <c r="M38" s="33"/>
      <c r="O38" s="54" t="n">
        <f aca="false">Neu!$B11</f>
        <v>0</v>
      </c>
      <c r="P38" s="32"/>
      <c r="Q38" s="33"/>
      <c r="R38" s="32"/>
      <c r="S38" s="33"/>
      <c r="T38" s="32"/>
      <c r="U38" s="33"/>
      <c r="V38" s="32"/>
      <c r="W38" s="33"/>
      <c r="Z38" s="55" t="n">
        <f aca="false">Neu!$B11</f>
        <v>0</v>
      </c>
      <c r="AA38" s="32"/>
      <c r="AB38" s="31"/>
      <c r="AC38" s="31"/>
      <c r="AD38" s="53"/>
      <c r="AE38" s="31"/>
      <c r="AF38" s="31"/>
      <c r="AG38" s="33"/>
      <c r="AH38" s="32"/>
      <c r="AI38" s="31"/>
      <c r="AJ38" s="31"/>
      <c r="AK38" s="31"/>
      <c r="AL38" s="31"/>
      <c r="AM38" s="31"/>
      <c r="AN38" s="33"/>
      <c r="AO38" s="32"/>
      <c r="AP38" s="31"/>
      <c r="AQ38" s="31"/>
      <c r="AR38" s="31"/>
      <c r="AS38" s="31"/>
      <c r="AT38" s="31"/>
      <c r="AU38" s="33"/>
      <c r="AV38" s="32"/>
      <c r="AW38" s="31"/>
      <c r="AX38" s="31"/>
      <c r="AY38" s="31"/>
      <c r="AZ38" s="31"/>
      <c r="BA38" s="31"/>
      <c r="BB38" s="33"/>
      <c r="BD38" s="54" t="n">
        <f aca="false">Neu!$B11</f>
        <v>0</v>
      </c>
      <c r="BE38" s="30"/>
    </row>
    <row r="39" customFormat="false" ht="14.35" hidden="false" customHeight="false" outlineLevel="0" collapsed="false">
      <c r="D39" s="54" t="n">
        <f aca="false">Neu!$B12</f>
        <v>0</v>
      </c>
      <c r="E39" s="30"/>
      <c r="F39" s="31"/>
      <c r="G39" s="33"/>
      <c r="H39" s="32"/>
      <c r="I39" s="31"/>
      <c r="J39" s="33"/>
      <c r="K39" s="32"/>
      <c r="L39" s="31"/>
      <c r="M39" s="33"/>
      <c r="O39" s="54" t="n">
        <f aca="false">Neu!$B12</f>
        <v>0</v>
      </c>
      <c r="P39" s="32"/>
      <c r="Q39" s="33"/>
      <c r="R39" s="32"/>
      <c r="S39" s="33"/>
      <c r="T39" s="32"/>
      <c r="U39" s="33"/>
      <c r="V39" s="32"/>
      <c r="W39" s="33"/>
      <c r="Z39" s="55" t="n">
        <f aca="false">Neu!$B12</f>
        <v>0</v>
      </c>
      <c r="AA39" s="32"/>
      <c r="AB39" s="31"/>
      <c r="AC39" s="31"/>
      <c r="AD39" s="53"/>
      <c r="AE39" s="31"/>
      <c r="AF39" s="31"/>
      <c r="AG39" s="33"/>
      <c r="AH39" s="32"/>
      <c r="AI39" s="31"/>
      <c r="AJ39" s="31"/>
      <c r="AK39" s="31"/>
      <c r="AL39" s="31"/>
      <c r="AM39" s="31"/>
      <c r="AN39" s="33"/>
      <c r="AO39" s="32"/>
      <c r="AP39" s="31"/>
      <c r="AQ39" s="31"/>
      <c r="AR39" s="31"/>
      <c r="AS39" s="31"/>
      <c r="AT39" s="31"/>
      <c r="AU39" s="33"/>
      <c r="AV39" s="32"/>
      <c r="AW39" s="31"/>
      <c r="AX39" s="31"/>
      <c r="AY39" s="31"/>
      <c r="AZ39" s="31"/>
      <c r="BA39" s="31"/>
      <c r="BB39" s="33"/>
      <c r="BD39" s="54" t="n">
        <f aca="false">Neu!$B12</f>
        <v>0</v>
      </c>
      <c r="BE39" s="30"/>
    </row>
    <row r="40" customFormat="false" ht="14.35" hidden="false" customHeight="false" outlineLevel="0" collapsed="false">
      <c r="D40" s="54" t="n">
        <f aca="false">Neu!$B13</f>
        <v>0</v>
      </c>
      <c r="E40" s="30"/>
      <c r="F40" s="31"/>
      <c r="G40" s="33"/>
      <c r="H40" s="32"/>
      <c r="I40" s="31"/>
      <c r="J40" s="33"/>
      <c r="K40" s="32"/>
      <c r="L40" s="31"/>
      <c r="M40" s="33"/>
      <c r="O40" s="54" t="n">
        <f aca="false">Neu!$B13</f>
        <v>0</v>
      </c>
      <c r="P40" s="32"/>
      <c r="Q40" s="33"/>
      <c r="R40" s="32"/>
      <c r="S40" s="33"/>
      <c r="T40" s="32"/>
      <c r="U40" s="33"/>
      <c r="V40" s="32"/>
      <c r="W40" s="33"/>
      <c r="Z40" s="55" t="n">
        <f aca="false">Neu!$B13</f>
        <v>0</v>
      </c>
      <c r="AA40" s="32"/>
      <c r="AB40" s="31"/>
      <c r="AC40" s="31"/>
      <c r="AD40" s="53"/>
      <c r="AE40" s="31"/>
      <c r="AF40" s="31"/>
      <c r="AG40" s="33"/>
      <c r="AH40" s="32"/>
      <c r="AI40" s="31"/>
      <c r="AJ40" s="31"/>
      <c r="AK40" s="31"/>
      <c r="AL40" s="31"/>
      <c r="AM40" s="31"/>
      <c r="AN40" s="33"/>
      <c r="AO40" s="32"/>
      <c r="AP40" s="31"/>
      <c r="AQ40" s="31"/>
      <c r="AR40" s="31"/>
      <c r="AS40" s="31"/>
      <c r="AT40" s="31"/>
      <c r="AU40" s="33"/>
      <c r="AV40" s="32"/>
      <c r="AW40" s="31"/>
      <c r="AX40" s="31"/>
      <c r="AY40" s="31"/>
      <c r="AZ40" s="31"/>
      <c r="BA40" s="31"/>
      <c r="BB40" s="33"/>
      <c r="BD40" s="54" t="n">
        <f aca="false">Neu!$B13</f>
        <v>0</v>
      </c>
      <c r="BE40" s="30"/>
    </row>
    <row r="41" customFormat="false" ht="14.35" hidden="false" customHeight="false" outlineLevel="0" collapsed="false">
      <c r="D41" s="54" t="n">
        <f aca="false">Neu!$B14</f>
        <v>0</v>
      </c>
      <c r="E41" s="30"/>
      <c r="F41" s="31"/>
      <c r="G41" s="33"/>
      <c r="H41" s="32"/>
      <c r="I41" s="31"/>
      <c r="J41" s="33"/>
      <c r="K41" s="32"/>
      <c r="L41" s="31"/>
      <c r="M41" s="33"/>
      <c r="O41" s="54" t="n">
        <f aca="false">Neu!$B14</f>
        <v>0</v>
      </c>
      <c r="P41" s="32"/>
      <c r="Q41" s="33"/>
      <c r="R41" s="32"/>
      <c r="S41" s="33"/>
      <c r="T41" s="32"/>
      <c r="U41" s="33"/>
      <c r="V41" s="32"/>
      <c r="W41" s="33"/>
      <c r="Z41" s="55" t="n">
        <f aca="false">Neu!$B14</f>
        <v>0</v>
      </c>
      <c r="AA41" s="32"/>
      <c r="AB41" s="31"/>
      <c r="AC41" s="31"/>
      <c r="AD41" s="53"/>
      <c r="AE41" s="31"/>
      <c r="AF41" s="31"/>
      <c r="AG41" s="33"/>
      <c r="AH41" s="32"/>
      <c r="AI41" s="31"/>
      <c r="AJ41" s="31"/>
      <c r="AK41" s="31"/>
      <c r="AL41" s="31"/>
      <c r="AM41" s="31"/>
      <c r="AN41" s="33"/>
      <c r="AO41" s="32"/>
      <c r="AP41" s="31"/>
      <c r="AQ41" s="31"/>
      <c r="AR41" s="31"/>
      <c r="AS41" s="31"/>
      <c r="AT41" s="31"/>
      <c r="AU41" s="33"/>
      <c r="AV41" s="32"/>
      <c r="AW41" s="31"/>
      <c r="AX41" s="31"/>
      <c r="AY41" s="31"/>
      <c r="AZ41" s="31"/>
      <c r="BA41" s="31"/>
      <c r="BB41" s="33"/>
      <c r="BD41" s="54" t="n">
        <f aca="false">Neu!$B14</f>
        <v>0</v>
      </c>
      <c r="BE41" s="30"/>
    </row>
    <row r="42" customFormat="false" ht="14.35" hidden="false" customHeight="false" outlineLevel="0" collapsed="false">
      <c r="D42" s="54" t="n">
        <f aca="false">Neu!$B15</f>
        <v>0</v>
      </c>
      <c r="E42" s="30"/>
      <c r="F42" s="31"/>
      <c r="G42" s="33"/>
      <c r="H42" s="32"/>
      <c r="I42" s="31"/>
      <c r="J42" s="33"/>
      <c r="K42" s="32"/>
      <c r="L42" s="31"/>
      <c r="M42" s="33"/>
      <c r="O42" s="54" t="n">
        <f aca="false">Neu!$B15</f>
        <v>0</v>
      </c>
      <c r="P42" s="32"/>
      <c r="Q42" s="33"/>
      <c r="R42" s="32"/>
      <c r="S42" s="33"/>
      <c r="T42" s="32"/>
      <c r="U42" s="33"/>
      <c r="V42" s="32"/>
      <c r="W42" s="33"/>
      <c r="Z42" s="55" t="n">
        <f aca="false">Neu!$B15</f>
        <v>0</v>
      </c>
      <c r="AA42" s="32"/>
      <c r="AB42" s="31"/>
      <c r="AC42" s="31"/>
      <c r="AD42" s="53"/>
      <c r="AE42" s="31"/>
      <c r="AF42" s="31"/>
      <c r="AG42" s="33"/>
      <c r="AH42" s="32"/>
      <c r="AI42" s="31"/>
      <c r="AJ42" s="31"/>
      <c r="AK42" s="31"/>
      <c r="AL42" s="31"/>
      <c r="AM42" s="31"/>
      <c r="AN42" s="33"/>
      <c r="AO42" s="32"/>
      <c r="AP42" s="31"/>
      <c r="AQ42" s="31"/>
      <c r="AR42" s="31"/>
      <c r="AS42" s="31"/>
      <c r="AT42" s="31"/>
      <c r="AU42" s="33"/>
      <c r="AV42" s="32"/>
      <c r="AW42" s="31"/>
      <c r="AX42" s="31"/>
      <c r="AY42" s="31"/>
      <c r="AZ42" s="31"/>
      <c r="BA42" s="31"/>
      <c r="BB42" s="33"/>
      <c r="BD42" s="54" t="n">
        <f aca="false">Neu!$B15</f>
        <v>0</v>
      </c>
      <c r="BE42" s="30"/>
    </row>
    <row r="43" customFormat="false" ht="14.35" hidden="false" customHeight="false" outlineLevel="0" collapsed="false">
      <c r="D43" s="54" t="n">
        <f aca="false">Neu!$B16</f>
        <v>0</v>
      </c>
      <c r="E43" s="30"/>
      <c r="F43" s="31"/>
      <c r="G43" s="33"/>
      <c r="H43" s="32"/>
      <c r="I43" s="31"/>
      <c r="J43" s="33"/>
      <c r="K43" s="32"/>
      <c r="L43" s="31"/>
      <c r="M43" s="33"/>
      <c r="O43" s="54" t="n">
        <f aca="false">Neu!$B16</f>
        <v>0</v>
      </c>
      <c r="P43" s="32"/>
      <c r="Q43" s="33"/>
      <c r="R43" s="32"/>
      <c r="S43" s="33"/>
      <c r="T43" s="32"/>
      <c r="U43" s="33"/>
      <c r="V43" s="32"/>
      <c r="W43" s="33"/>
      <c r="Z43" s="55" t="n">
        <f aca="false">Neu!$B16</f>
        <v>0</v>
      </c>
      <c r="AA43" s="32"/>
      <c r="AB43" s="31"/>
      <c r="AC43" s="31"/>
      <c r="AD43" s="53"/>
      <c r="AE43" s="31"/>
      <c r="AF43" s="31"/>
      <c r="AG43" s="33"/>
      <c r="AH43" s="32"/>
      <c r="AI43" s="31"/>
      <c r="AJ43" s="31"/>
      <c r="AK43" s="31"/>
      <c r="AL43" s="31"/>
      <c r="AM43" s="31"/>
      <c r="AN43" s="33"/>
      <c r="AO43" s="32"/>
      <c r="AP43" s="31"/>
      <c r="AQ43" s="31"/>
      <c r="AR43" s="31"/>
      <c r="AS43" s="31"/>
      <c r="AT43" s="31"/>
      <c r="AU43" s="33"/>
      <c r="AV43" s="32"/>
      <c r="AW43" s="31"/>
      <c r="AX43" s="31"/>
      <c r="AY43" s="31"/>
      <c r="AZ43" s="31"/>
      <c r="BA43" s="31"/>
      <c r="BB43" s="33"/>
      <c r="BD43" s="54" t="n">
        <f aca="false">Neu!$B16</f>
        <v>0</v>
      </c>
      <c r="BE43" s="30"/>
    </row>
    <row r="44" customFormat="false" ht="14.35" hidden="false" customHeight="false" outlineLevel="0" collapsed="false">
      <c r="D44" s="54" t="n">
        <f aca="false">Neu!$B17</f>
        <v>0</v>
      </c>
      <c r="E44" s="30"/>
      <c r="F44" s="31"/>
      <c r="G44" s="33"/>
      <c r="H44" s="32"/>
      <c r="I44" s="31"/>
      <c r="J44" s="33"/>
      <c r="K44" s="32"/>
      <c r="L44" s="31"/>
      <c r="M44" s="33"/>
      <c r="O44" s="54" t="n">
        <f aca="false">Neu!$B17</f>
        <v>0</v>
      </c>
      <c r="P44" s="32"/>
      <c r="Q44" s="33"/>
      <c r="R44" s="32"/>
      <c r="S44" s="33"/>
      <c r="T44" s="32"/>
      <c r="U44" s="33"/>
      <c r="V44" s="32"/>
      <c r="W44" s="33"/>
      <c r="Z44" s="55" t="n">
        <f aca="false">Neu!$B17</f>
        <v>0</v>
      </c>
      <c r="AA44" s="32"/>
      <c r="AB44" s="31"/>
      <c r="AC44" s="31"/>
      <c r="AD44" s="53"/>
      <c r="AE44" s="31"/>
      <c r="AF44" s="31"/>
      <c r="AG44" s="33"/>
      <c r="AH44" s="32"/>
      <c r="AI44" s="31"/>
      <c r="AJ44" s="31"/>
      <c r="AK44" s="31"/>
      <c r="AL44" s="31"/>
      <c r="AM44" s="31"/>
      <c r="AN44" s="33"/>
      <c r="AO44" s="32"/>
      <c r="AP44" s="31"/>
      <c r="AQ44" s="31"/>
      <c r="AR44" s="31"/>
      <c r="AS44" s="31"/>
      <c r="AT44" s="31"/>
      <c r="AU44" s="33"/>
      <c r="AV44" s="32"/>
      <c r="AW44" s="31"/>
      <c r="AX44" s="31"/>
      <c r="AY44" s="31"/>
      <c r="AZ44" s="31"/>
      <c r="BA44" s="31"/>
      <c r="BB44" s="33"/>
      <c r="BD44" s="54" t="n">
        <f aca="false">Neu!$B17</f>
        <v>0</v>
      </c>
      <c r="BE44" s="30"/>
    </row>
    <row r="45" customFormat="false" ht="14.35" hidden="false" customHeight="false" outlineLevel="0" collapsed="false">
      <c r="D45" s="54" t="n">
        <f aca="false">Neu!$B18</f>
        <v>0</v>
      </c>
      <c r="E45" s="30"/>
      <c r="F45" s="31"/>
      <c r="G45" s="33"/>
      <c r="H45" s="32"/>
      <c r="I45" s="31"/>
      <c r="J45" s="33"/>
      <c r="K45" s="32"/>
      <c r="L45" s="31"/>
      <c r="M45" s="33"/>
      <c r="O45" s="54" t="n">
        <f aca="false">Neu!$B18</f>
        <v>0</v>
      </c>
      <c r="P45" s="32"/>
      <c r="Q45" s="33"/>
      <c r="R45" s="32"/>
      <c r="S45" s="33"/>
      <c r="T45" s="32"/>
      <c r="U45" s="33"/>
      <c r="V45" s="32"/>
      <c r="W45" s="33"/>
      <c r="Z45" s="55" t="n">
        <f aca="false">Neu!$B18</f>
        <v>0</v>
      </c>
      <c r="AA45" s="32"/>
      <c r="AB45" s="31"/>
      <c r="AC45" s="31"/>
      <c r="AD45" s="53"/>
      <c r="AE45" s="31"/>
      <c r="AF45" s="31"/>
      <c r="AG45" s="33"/>
      <c r="AH45" s="32"/>
      <c r="AI45" s="31"/>
      <c r="AJ45" s="31"/>
      <c r="AK45" s="31"/>
      <c r="AL45" s="31"/>
      <c r="AM45" s="31"/>
      <c r="AN45" s="33"/>
      <c r="AO45" s="32"/>
      <c r="AP45" s="31"/>
      <c r="AQ45" s="31"/>
      <c r="AR45" s="31"/>
      <c r="AS45" s="31"/>
      <c r="AT45" s="31"/>
      <c r="AU45" s="33"/>
      <c r="AV45" s="32"/>
      <c r="AW45" s="31"/>
      <c r="AX45" s="31"/>
      <c r="AY45" s="31"/>
      <c r="AZ45" s="31"/>
      <c r="BA45" s="31"/>
      <c r="BB45" s="33"/>
      <c r="BD45" s="54" t="n">
        <f aca="false">Neu!$B18</f>
        <v>0</v>
      </c>
      <c r="BE45" s="30"/>
    </row>
    <row r="46" customFormat="false" ht="14.35" hidden="false" customHeight="false" outlineLevel="0" collapsed="false">
      <c r="D46" s="54" t="n">
        <f aca="false">Neu!$B19</f>
        <v>0</v>
      </c>
      <c r="E46" s="30"/>
      <c r="F46" s="31"/>
      <c r="G46" s="33"/>
      <c r="H46" s="32"/>
      <c r="I46" s="31"/>
      <c r="J46" s="33"/>
      <c r="K46" s="32"/>
      <c r="L46" s="31"/>
      <c r="M46" s="33"/>
      <c r="O46" s="54" t="n">
        <f aca="false">Neu!$B19</f>
        <v>0</v>
      </c>
      <c r="P46" s="32"/>
      <c r="Q46" s="33"/>
      <c r="R46" s="32"/>
      <c r="S46" s="33"/>
      <c r="T46" s="32"/>
      <c r="U46" s="33"/>
      <c r="V46" s="32"/>
      <c r="W46" s="33"/>
      <c r="Z46" s="55" t="n">
        <f aca="false">Neu!$B19</f>
        <v>0</v>
      </c>
      <c r="AA46" s="32"/>
      <c r="AB46" s="31"/>
      <c r="AC46" s="31"/>
      <c r="AD46" s="53"/>
      <c r="AE46" s="31"/>
      <c r="AF46" s="31"/>
      <c r="AG46" s="33"/>
      <c r="AH46" s="32"/>
      <c r="AI46" s="31"/>
      <c r="AJ46" s="31"/>
      <c r="AK46" s="31"/>
      <c r="AL46" s="31"/>
      <c r="AM46" s="31"/>
      <c r="AN46" s="33"/>
      <c r="AO46" s="32"/>
      <c r="AP46" s="31"/>
      <c r="AQ46" s="31"/>
      <c r="AR46" s="31"/>
      <c r="AS46" s="31"/>
      <c r="AT46" s="31"/>
      <c r="AU46" s="33"/>
      <c r="AV46" s="32"/>
      <c r="AW46" s="31"/>
      <c r="AX46" s="31"/>
      <c r="AY46" s="31"/>
      <c r="AZ46" s="31"/>
      <c r="BA46" s="31"/>
      <c r="BB46" s="33"/>
      <c r="BD46" s="54" t="n">
        <f aca="false">Neu!$B19</f>
        <v>0</v>
      </c>
      <c r="BE46" s="30"/>
    </row>
    <row r="47" customFormat="false" ht="14.35" hidden="false" customHeight="false" outlineLevel="0" collapsed="false">
      <c r="D47" s="54" t="n">
        <f aca="false">Neu!$B20</f>
        <v>0</v>
      </c>
      <c r="E47" s="30"/>
      <c r="F47" s="31"/>
      <c r="G47" s="33"/>
      <c r="H47" s="32"/>
      <c r="I47" s="31"/>
      <c r="J47" s="33"/>
      <c r="K47" s="32"/>
      <c r="L47" s="31"/>
      <c r="M47" s="33"/>
      <c r="O47" s="54" t="n">
        <f aca="false">Neu!$B20</f>
        <v>0</v>
      </c>
      <c r="P47" s="32"/>
      <c r="Q47" s="33"/>
      <c r="R47" s="32"/>
      <c r="S47" s="33"/>
      <c r="T47" s="32"/>
      <c r="U47" s="33"/>
      <c r="V47" s="32"/>
      <c r="W47" s="33"/>
      <c r="Z47" s="55" t="n">
        <f aca="false">Neu!$B20</f>
        <v>0</v>
      </c>
      <c r="AA47" s="32"/>
      <c r="AB47" s="31"/>
      <c r="AC47" s="31"/>
      <c r="AD47" s="53"/>
      <c r="AE47" s="31"/>
      <c r="AF47" s="31"/>
      <c r="AG47" s="33"/>
      <c r="AH47" s="32"/>
      <c r="AI47" s="31"/>
      <c r="AJ47" s="31"/>
      <c r="AK47" s="31"/>
      <c r="AL47" s="31"/>
      <c r="AM47" s="31"/>
      <c r="AN47" s="33"/>
      <c r="AO47" s="32"/>
      <c r="AP47" s="31"/>
      <c r="AQ47" s="31"/>
      <c r="AR47" s="31"/>
      <c r="AS47" s="31"/>
      <c r="AT47" s="31"/>
      <c r="AU47" s="33"/>
      <c r="AV47" s="32"/>
      <c r="AW47" s="31"/>
      <c r="AX47" s="31"/>
      <c r="AY47" s="31"/>
      <c r="AZ47" s="31"/>
      <c r="BA47" s="31"/>
      <c r="BB47" s="33"/>
      <c r="BD47" s="54" t="n">
        <f aca="false">Neu!$B20</f>
        <v>0</v>
      </c>
      <c r="BE47" s="30"/>
    </row>
    <row r="48" customFormat="false" ht="14.35" hidden="false" customHeight="false" outlineLevel="0" collapsed="false">
      <c r="D48" s="54" t="n">
        <f aca="false">Neu!$B21</f>
        <v>0</v>
      </c>
      <c r="E48" s="30"/>
      <c r="F48" s="31"/>
      <c r="G48" s="33"/>
      <c r="H48" s="32"/>
      <c r="I48" s="31"/>
      <c r="J48" s="33"/>
      <c r="K48" s="32"/>
      <c r="L48" s="31"/>
      <c r="M48" s="33"/>
      <c r="O48" s="54" t="n">
        <f aca="false">Neu!$B21</f>
        <v>0</v>
      </c>
      <c r="P48" s="32"/>
      <c r="Q48" s="33"/>
      <c r="R48" s="32"/>
      <c r="S48" s="33"/>
      <c r="T48" s="32"/>
      <c r="U48" s="33"/>
      <c r="V48" s="32"/>
      <c r="W48" s="33"/>
      <c r="Z48" s="55" t="n">
        <f aca="false">Neu!$B21</f>
        <v>0</v>
      </c>
      <c r="AA48" s="32"/>
      <c r="AB48" s="31"/>
      <c r="AC48" s="31"/>
      <c r="AD48" s="53"/>
      <c r="AE48" s="31"/>
      <c r="AF48" s="31"/>
      <c r="AG48" s="33"/>
      <c r="AH48" s="32"/>
      <c r="AI48" s="31"/>
      <c r="AJ48" s="31"/>
      <c r="AK48" s="31"/>
      <c r="AL48" s="31"/>
      <c r="AM48" s="31"/>
      <c r="AN48" s="33"/>
      <c r="AO48" s="32"/>
      <c r="AP48" s="31"/>
      <c r="AQ48" s="31"/>
      <c r="AR48" s="31"/>
      <c r="AS48" s="31"/>
      <c r="AT48" s="31"/>
      <c r="AU48" s="33"/>
      <c r="AV48" s="32"/>
      <c r="AW48" s="31"/>
      <c r="AX48" s="31"/>
      <c r="AY48" s="31"/>
      <c r="AZ48" s="31"/>
      <c r="BA48" s="31"/>
      <c r="BB48" s="33"/>
      <c r="BD48" s="54" t="n">
        <f aca="false">Neu!$B21</f>
        <v>0</v>
      </c>
      <c r="BE48" s="30"/>
    </row>
    <row r="49" customFormat="false" ht="14.35" hidden="false" customHeight="false" outlineLevel="0" collapsed="false">
      <c r="D49" s="54" t="n">
        <f aca="false">Neu!$B22</f>
        <v>0</v>
      </c>
      <c r="E49" s="30"/>
      <c r="F49" s="31"/>
      <c r="G49" s="33"/>
      <c r="H49" s="32"/>
      <c r="I49" s="31"/>
      <c r="J49" s="33"/>
      <c r="K49" s="32"/>
      <c r="L49" s="31"/>
      <c r="M49" s="33"/>
      <c r="O49" s="54" t="n">
        <f aca="false">Neu!$B22</f>
        <v>0</v>
      </c>
      <c r="P49" s="32"/>
      <c r="Q49" s="33"/>
      <c r="R49" s="32"/>
      <c r="S49" s="33"/>
      <c r="T49" s="32"/>
      <c r="U49" s="33"/>
      <c r="V49" s="32"/>
      <c r="W49" s="33"/>
      <c r="Z49" s="55" t="n">
        <f aca="false">Neu!$B22</f>
        <v>0</v>
      </c>
      <c r="AA49" s="32"/>
      <c r="AB49" s="31"/>
      <c r="AC49" s="31"/>
      <c r="AD49" s="53"/>
      <c r="AE49" s="31"/>
      <c r="AF49" s="31"/>
      <c r="AG49" s="33"/>
      <c r="AH49" s="32"/>
      <c r="AI49" s="31"/>
      <c r="AJ49" s="31"/>
      <c r="AK49" s="31"/>
      <c r="AL49" s="31"/>
      <c r="AM49" s="31"/>
      <c r="AN49" s="33"/>
      <c r="AO49" s="32"/>
      <c r="AP49" s="31"/>
      <c r="AQ49" s="31"/>
      <c r="AR49" s="31"/>
      <c r="AS49" s="31"/>
      <c r="AT49" s="31"/>
      <c r="AU49" s="33"/>
      <c r="AV49" s="32"/>
      <c r="AW49" s="31"/>
      <c r="AX49" s="31"/>
      <c r="AY49" s="31"/>
      <c r="AZ49" s="31"/>
      <c r="BA49" s="31"/>
      <c r="BB49" s="33"/>
      <c r="BD49" s="54" t="n">
        <f aca="false">Neu!$B22</f>
        <v>0</v>
      </c>
      <c r="BE49" s="30"/>
    </row>
    <row r="50" customFormat="false" ht="14.35" hidden="false" customHeight="false" outlineLevel="0" collapsed="false">
      <c r="D50" s="54" t="n">
        <f aca="false">Neu!$B23</f>
        <v>0</v>
      </c>
      <c r="E50" s="30"/>
      <c r="F50" s="31"/>
      <c r="G50" s="33"/>
      <c r="H50" s="32"/>
      <c r="I50" s="31"/>
      <c r="J50" s="33"/>
      <c r="K50" s="32"/>
      <c r="L50" s="31"/>
      <c r="M50" s="33"/>
      <c r="O50" s="54" t="n">
        <f aca="false">Neu!$B23</f>
        <v>0</v>
      </c>
      <c r="P50" s="32"/>
      <c r="Q50" s="33"/>
      <c r="R50" s="32"/>
      <c r="S50" s="33"/>
      <c r="T50" s="32"/>
      <c r="U50" s="33"/>
      <c r="V50" s="32"/>
      <c r="W50" s="33"/>
      <c r="Z50" s="55" t="n">
        <f aca="false">Neu!$B23</f>
        <v>0</v>
      </c>
      <c r="AA50" s="32"/>
      <c r="AB50" s="31"/>
      <c r="AC50" s="31"/>
      <c r="AD50" s="53"/>
      <c r="AE50" s="31"/>
      <c r="AF50" s="31"/>
      <c r="AG50" s="33"/>
      <c r="AH50" s="32"/>
      <c r="AI50" s="31"/>
      <c r="AJ50" s="31"/>
      <c r="AK50" s="31"/>
      <c r="AL50" s="31"/>
      <c r="AM50" s="31"/>
      <c r="AN50" s="33"/>
      <c r="AO50" s="32"/>
      <c r="AP50" s="31"/>
      <c r="AQ50" s="31"/>
      <c r="AR50" s="31"/>
      <c r="AS50" s="31"/>
      <c r="AT50" s="31"/>
      <c r="AU50" s="33"/>
      <c r="AV50" s="32"/>
      <c r="AW50" s="31"/>
      <c r="AX50" s="31"/>
      <c r="AY50" s="31"/>
      <c r="AZ50" s="31"/>
      <c r="BA50" s="31"/>
      <c r="BB50" s="33"/>
      <c r="BD50" s="54" t="n">
        <f aca="false">Neu!$B23</f>
        <v>0</v>
      </c>
      <c r="BE50" s="30"/>
    </row>
    <row r="51" customFormat="false" ht="14.35" hidden="false" customHeight="false" outlineLevel="0" collapsed="false">
      <c r="D51" s="56" t="n">
        <f aca="false">Neu!$B24</f>
        <v>0</v>
      </c>
      <c r="E51" s="57"/>
      <c r="F51" s="39"/>
      <c r="G51" s="40"/>
      <c r="H51" s="37"/>
      <c r="I51" s="39"/>
      <c r="J51" s="40"/>
      <c r="K51" s="37"/>
      <c r="L51" s="39"/>
      <c r="M51" s="40"/>
      <c r="O51" s="56" t="n">
        <f aca="false">Neu!$B24</f>
        <v>0</v>
      </c>
      <c r="P51" s="37"/>
      <c r="Q51" s="40"/>
      <c r="R51" s="37"/>
      <c r="S51" s="40"/>
      <c r="T51" s="37"/>
      <c r="U51" s="40"/>
      <c r="V51" s="37"/>
      <c r="W51" s="40"/>
      <c r="Z51" s="56" t="n">
        <f aca="false">Neu!$B24</f>
        <v>0</v>
      </c>
      <c r="AA51" s="37"/>
      <c r="AB51" s="39"/>
      <c r="AC51" s="39"/>
      <c r="AD51" s="58"/>
      <c r="AE51" s="39"/>
      <c r="AF51" s="39"/>
      <c r="AG51" s="40"/>
      <c r="AH51" s="37"/>
      <c r="AI51" s="39"/>
      <c r="AJ51" s="39"/>
      <c r="AK51" s="39"/>
      <c r="AL51" s="39"/>
      <c r="AM51" s="39"/>
      <c r="AN51" s="40"/>
      <c r="AO51" s="37"/>
      <c r="AP51" s="39"/>
      <c r="AQ51" s="39"/>
      <c r="AR51" s="39"/>
      <c r="AS51" s="39"/>
      <c r="AT51" s="39"/>
      <c r="AU51" s="40"/>
      <c r="AV51" s="37"/>
      <c r="AW51" s="39"/>
      <c r="AX51" s="39"/>
      <c r="AY51" s="39"/>
      <c r="AZ51" s="39"/>
      <c r="BA51" s="39"/>
      <c r="BB51" s="40"/>
      <c r="BD51" s="56" t="n">
        <f aca="false">Neu!$B24</f>
        <v>0</v>
      </c>
      <c r="BE51" s="57"/>
    </row>
    <row r="52" customFormat="false" ht="14.25" hidden="false" customHeight="false" outlineLevel="0" collapsed="false">
      <c r="F52" s="1" t="n">
        <v>40</v>
      </c>
      <c r="I52" s="1" t="n">
        <v>0.3</v>
      </c>
      <c r="J52" s="1" t="n">
        <v>9</v>
      </c>
      <c r="AC52" s="45"/>
      <c r="AD52" s="59"/>
      <c r="AE52" s="45" t="n">
        <v>0.7</v>
      </c>
      <c r="AF52" s="45"/>
      <c r="AG52" s="45"/>
      <c r="AL52" s="1" t="n">
        <v>1.5</v>
      </c>
    </row>
    <row r="53" customFormat="false" ht="14.25" hidden="false" customHeight="false" outlineLevel="0" collapsed="false">
      <c r="AE53" s="1" t="n">
        <v>0.1</v>
      </c>
      <c r="AL53" s="1" t="n">
        <v>0.5</v>
      </c>
    </row>
    <row r="54" customFormat="false" ht="14.25" hidden="false" customHeight="false" outlineLevel="0" collapsed="false">
      <c r="F54" s="1" t="s">
        <v>39</v>
      </c>
      <c r="AC54" s="2" t="s">
        <v>40</v>
      </c>
      <c r="AD54" s="1" t="s">
        <v>41</v>
      </c>
      <c r="AG54" s="1" t="s">
        <v>42</v>
      </c>
      <c r="AM54" s="60" t="s">
        <v>43</v>
      </c>
      <c r="AN54" s="1" t="s">
        <v>44</v>
      </c>
    </row>
    <row r="55" customFormat="false" ht="14.25" hidden="false" customHeight="false" outlineLevel="0" collapsed="false">
      <c r="AC55" s="2" t="s">
        <v>45</v>
      </c>
      <c r="AD55" s="1" t="s">
        <v>46</v>
      </c>
      <c r="AG55" s="1" t="s">
        <v>47</v>
      </c>
      <c r="AM55" s="60" t="s">
        <v>48</v>
      </c>
      <c r="AN55" s="1" t="s">
        <v>49</v>
      </c>
    </row>
    <row r="56" customFormat="false" ht="14.25" hidden="false" customHeight="false" outlineLevel="0" collapsed="false">
      <c r="AC56" s="60" t="s">
        <v>50</v>
      </c>
      <c r="AD56" s="1" t="s">
        <v>51</v>
      </c>
      <c r="AG56" s="1" t="s">
        <v>52</v>
      </c>
      <c r="AM56" s="60" t="s">
        <v>50</v>
      </c>
      <c r="AN56" s="1" t="s">
        <v>53</v>
      </c>
    </row>
    <row r="57" customFormat="false" ht="14.25" hidden="false" customHeight="false" outlineLevel="0" collapsed="false">
      <c r="C57" s="1" t="s">
        <v>13</v>
      </c>
      <c r="D57" s="1" t="s">
        <v>54</v>
      </c>
      <c r="AM57" s="60" t="s">
        <v>55</v>
      </c>
      <c r="AN57" s="1" t="s">
        <v>56</v>
      </c>
    </row>
    <row r="58" customFormat="false" ht="14.25" hidden="false" customHeight="false" outlineLevel="0" collapsed="false">
      <c r="C58" s="1" t="s">
        <v>14</v>
      </c>
      <c r="D58" s="1" t="s">
        <v>57</v>
      </c>
      <c r="J58" s="32" t="s">
        <v>58</v>
      </c>
      <c r="K58" s="31" t="n">
        <f aca="false">N58</f>
        <v>0.03</v>
      </c>
      <c r="L58" s="31" t="n">
        <f aca="false">O58</f>
        <v>20</v>
      </c>
      <c r="M58" s="32" t="s">
        <v>59</v>
      </c>
      <c r="N58" s="31" t="n">
        <v>0.03</v>
      </c>
      <c r="O58" s="33" t="n">
        <v>20</v>
      </c>
      <c r="AM58" s="60" t="s">
        <v>60</v>
      </c>
      <c r="AN58" s="1" t="s">
        <v>61</v>
      </c>
    </row>
    <row r="59" customFormat="false" ht="14.25" hidden="false" customHeight="false" outlineLevel="0" collapsed="false">
      <c r="C59" s="1" t="s">
        <v>15</v>
      </c>
      <c r="D59" s="1" t="s">
        <v>62</v>
      </c>
      <c r="J59" s="32" t="s">
        <v>58</v>
      </c>
      <c r="K59" s="31" t="n">
        <f aca="false">N59</f>
        <v>0.03</v>
      </c>
      <c r="L59" s="31" t="n">
        <f aca="false">O59</f>
        <v>20</v>
      </c>
      <c r="M59" s="32" t="s">
        <v>59</v>
      </c>
      <c r="N59" s="31" t="n">
        <v>0.03</v>
      </c>
      <c r="O59" s="33" t="n">
        <v>20</v>
      </c>
      <c r="AM59" s="61"/>
    </row>
    <row r="60" customFormat="false" ht="14.25" hidden="false" customHeight="false" outlineLevel="0" collapsed="false">
      <c r="C60" s="1" t="s">
        <v>12</v>
      </c>
      <c r="D60" s="1" t="s">
        <v>63</v>
      </c>
      <c r="J60" s="32" t="s">
        <v>58</v>
      </c>
      <c r="K60" s="31" t="n">
        <f aca="false">N60</f>
        <v>0.015</v>
      </c>
      <c r="L60" s="31" t="n">
        <f aca="false">O60</f>
        <v>16</v>
      </c>
      <c r="M60" s="32" t="s">
        <v>59</v>
      </c>
      <c r="N60" s="31" t="n">
        <v>0.015</v>
      </c>
      <c r="O60" s="33" t="n">
        <v>16</v>
      </c>
    </row>
    <row r="61" customFormat="false" ht="14.25" hidden="false" customHeight="false" outlineLevel="0" collapsed="false">
      <c r="C61" s="1" t="s">
        <v>16</v>
      </c>
      <c r="D61" s="1" t="s">
        <v>64</v>
      </c>
    </row>
    <row r="62" customFormat="false" ht="14.25" hidden="false" customHeight="false" outlineLevel="0" collapsed="false">
      <c r="C62" s="1" t="s">
        <v>17</v>
      </c>
      <c r="D62" s="1" t="s">
        <v>65</v>
      </c>
    </row>
  </sheetData>
  <mergeCells count="10">
    <mergeCell ref="E1:F1"/>
    <mergeCell ref="G1:AG1"/>
    <mergeCell ref="AH1:BH1"/>
    <mergeCell ref="E2:F2"/>
    <mergeCell ref="G2:I2"/>
    <mergeCell ref="J2:U2"/>
    <mergeCell ref="V2:AG2"/>
    <mergeCell ref="AH2:AJ2"/>
    <mergeCell ref="AK2:AV2"/>
    <mergeCell ref="AW2:BH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25:E27">
    <cfRule type="expression" priority="4" aboveAverage="0" equalAverage="0" bottom="0" percent="0" rank="0" text="" dxfId="2">
      <formula>LEN(TRIM(E25))&gt;0</formula>
    </cfRule>
  </conditionalFormatting>
  <conditionalFormatting sqref="E4:BH24">
    <cfRule type="expression" priority="5" aboveAverage="0" equalAverage="0" bottom="0" percent="0" rank="0" text="" dxfId="3">
      <formula>LEN(TRIM(E4))&gt;0</formula>
    </cfRule>
  </conditionalFormatting>
  <conditionalFormatting sqref="G25:AD28">
    <cfRule type="expression" priority="6" aboveAverage="0" equalAverage="0" bottom="0" percent="0" rank="0" text="" dxfId="4">
      <formula>LEN(TRIM(G25))&gt;0</formula>
    </cfRule>
  </conditionalFormatting>
  <conditionalFormatting sqref="O31:O51">
    <cfRule type="cellIs" priority="7" operator="equal" aboveAverage="0" equalAverage="0" bottom="0" percent="0" rank="0" text="" dxfId="5">
      <formula>0</formula>
    </cfRule>
  </conditionalFormatting>
  <conditionalFormatting sqref="Z31:Z51">
    <cfRule type="cellIs" priority="8" operator="equal" aboveAverage="0" equalAverage="0" bottom="0" percent="0" rank="0" text="" dxfId="6">
      <formula>0</formula>
    </cfRule>
  </conditionalFormatting>
  <conditionalFormatting sqref="AG25:BH27">
    <cfRule type="expression" priority="9" aboveAverage="0" equalAverage="0" bottom="0" percent="0" rank="0" text="" dxfId="7">
      <formula>LEN(TRIM(AG25))&gt;0</formula>
    </cfRule>
  </conditionalFormatting>
  <conditionalFormatting sqref="BD31:BD51">
    <cfRule type="cellIs" priority="10" operator="equal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F43" activeCellId="0" sqref="F43"/>
    </sheetView>
  </sheetViews>
  <sheetFormatPr defaultColWidth="9.17968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2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7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2" min="22" style="45" width="17.72"/>
    <col collapsed="false" customWidth="true" hidden="false" outlineLevel="0" max="24" min="23" style="45" width="8.45"/>
    <col collapsed="false" customWidth="true" hidden="false" outlineLevel="0" max="25" min="25" style="45" width="11.17"/>
    <col collapsed="false" customWidth="true" hidden="false" outlineLevel="0" max="26" min="26" style="45" width="7.82"/>
    <col collapsed="false" customWidth="true" hidden="false" outlineLevel="0" max="27" min="27" style="45" width="15.72"/>
    <col collapsed="false" customWidth="true" hidden="false" outlineLevel="0" max="31" min="28" style="45" width="7.82"/>
    <col collapsed="false" customWidth="false" hidden="false" outlineLevel="0" max="1024" min="32" style="45" width="9.18"/>
  </cols>
  <sheetData>
    <row r="1" customFormat="false" ht="14.25" hidden="false" customHeight="false" outlineLevel="0" collapsed="false">
      <c r="F1" s="62" t="s">
        <v>66</v>
      </c>
      <c r="G1" s="62"/>
      <c r="H1" s="62"/>
      <c r="I1" s="62"/>
      <c r="J1" s="62"/>
      <c r="K1" s="62"/>
      <c r="L1" s="2" t="s">
        <v>67</v>
      </c>
      <c r="M1" s="8" t="s">
        <v>68</v>
      </c>
      <c r="N1" s="63" t="s">
        <v>69</v>
      </c>
      <c r="T1" s="63" t="s">
        <v>70</v>
      </c>
    </row>
    <row r="2" customFormat="false" ht="14.25" hidden="false" customHeight="false" outlineLevel="0" collapsed="false">
      <c r="A2" s="64" t="s">
        <v>71</v>
      </c>
      <c r="B2" s="65" t="s">
        <v>72</v>
      </c>
      <c r="C2" s="31" t="s">
        <v>73</v>
      </c>
      <c r="D2" s="65" t="s">
        <v>74</v>
      </c>
      <c r="E2" s="31" t="n">
        <v>1</v>
      </c>
      <c r="F2" s="66" t="s">
        <v>75</v>
      </c>
      <c r="G2" s="63" t="s">
        <v>76</v>
      </c>
      <c r="M2" s="8" t="s">
        <v>77</v>
      </c>
      <c r="N2" s="63" t="s">
        <v>78</v>
      </c>
      <c r="Q2" s="8" t="s">
        <v>79</v>
      </c>
      <c r="R2" s="63" t="s">
        <v>80</v>
      </c>
      <c r="T2" s="8" t="s">
        <v>81</v>
      </c>
      <c r="U2" s="45" t="s">
        <v>82</v>
      </c>
    </row>
    <row r="3" customFormat="false" ht="14.25" hidden="false" customHeight="false" outlineLevel="0" collapsed="false">
      <c r="B3" s="65" t="s">
        <v>83</v>
      </c>
      <c r="C3" s="31" t="n">
        <v>13</v>
      </c>
      <c r="D3" s="65" t="s">
        <v>84</v>
      </c>
      <c r="E3" s="31" t="n">
        <v>1</v>
      </c>
      <c r="F3" s="2" t="s">
        <v>85</v>
      </c>
      <c r="G3" s="63" t="s">
        <v>86</v>
      </c>
      <c r="I3" s="64" t="s">
        <v>87</v>
      </c>
      <c r="J3" s="63" t="s">
        <v>88</v>
      </c>
      <c r="M3" s="8" t="s">
        <v>89</v>
      </c>
      <c r="N3" s="63" t="s">
        <v>90</v>
      </c>
      <c r="Q3" s="8" t="s">
        <v>91</v>
      </c>
      <c r="R3" s="63" t="s">
        <v>92</v>
      </c>
      <c r="T3" s="8" t="s">
        <v>93</v>
      </c>
      <c r="U3" s="45" t="s">
        <v>94</v>
      </c>
    </row>
    <row r="4" customFormat="false" ht="14.25" hidden="false" customHeight="false" outlineLevel="0" collapsed="false">
      <c r="B4" s="65" t="s">
        <v>95</v>
      </c>
      <c r="C4" s="31" t="n">
        <v>5E-005</v>
      </c>
      <c r="D4" s="65" t="s">
        <v>96</v>
      </c>
      <c r="E4" s="31" t="n">
        <v>1</v>
      </c>
      <c r="F4" s="66" t="s">
        <v>97</v>
      </c>
      <c r="G4" s="63" t="s">
        <v>98</v>
      </c>
      <c r="I4" s="64" t="s">
        <v>73</v>
      </c>
      <c r="J4" s="67" t="s">
        <v>99</v>
      </c>
      <c r="M4" s="8" t="s">
        <v>5</v>
      </c>
      <c r="N4" s="63" t="s">
        <v>100</v>
      </c>
      <c r="Q4" s="8" t="s">
        <v>101</v>
      </c>
      <c r="R4" s="63" t="s">
        <v>102</v>
      </c>
      <c r="T4" s="8" t="s">
        <v>103</v>
      </c>
      <c r="U4" s="45" t="s">
        <v>104</v>
      </c>
    </row>
    <row r="5" customFormat="false" ht="14.25" hidden="false" customHeight="false" outlineLevel="0" collapsed="false">
      <c r="B5" s="68" t="s">
        <v>105</v>
      </c>
      <c r="F5" s="2" t="s">
        <v>85</v>
      </c>
      <c r="G5" s="63" t="s">
        <v>106</v>
      </c>
      <c r="I5" s="45" t="s">
        <v>85</v>
      </c>
      <c r="J5" s="67" t="s">
        <v>107</v>
      </c>
      <c r="M5" s="8" t="s">
        <v>6</v>
      </c>
      <c r="N5" s="63" t="s">
        <v>108</v>
      </c>
      <c r="Q5" s="8" t="s">
        <v>109</v>
      </c>
      <c r="R5" s="63" t="s">
        <v>110</v>
      </c>
      <c r="T5" s="8" t="s">
        <v>111</v>
      </c>
      <c r="U5" s="45" t="s">
        <v>112</v>
      </c>
    </row>
    <row r="6" customFormat="false" ht="15" hidden="false" customHeight="false" outlineLevel="0" collapsed="false">
      <c r="A6" s="69" t="s">
        <v>113</v>
      </c>
      <c r="J6" s="67" t="s">
        <v>114</v>
      </c>
      <c r="M6" s="17" t="s">
        <v>115</v>
      </c>
      <c r="N6" s="63" t="s">
        <v>116</v>
      </c>
    </row>
    <row r="7" customFormat="false" ht="15" hidden="false" customHeight="false" outlineLevel="0" collapsed="false">
      <c r="B7" s="70" t="s">
        <v>117</v>
      </c>
      <c r="C7" s="70"/>
      <c r="D7" s="70"/>
      <c r="E7" s="70"/>
      <c r="F7" s="70"/>
      <c r="G7" s="71" t="s">
        <v>118</v>
      </c>
      <c r="H7" s="71"/>
      <c r="I7" s="71"/>
      <c r="J7" s="71"/>
      <c r="K7" s="71"/>
      <c r="L7" s="3" t="s">
        <v>119</v>
      </c>
      <c r="M7" s="3"/>
      <c r="N7" s="3"/>
      <c r="O7" s="3"/>
      <c r="P7" s="3"/>
      <c r="Q7" s="3" t="s">
        <v>120</v>
      </c>
      <c r="R7" s="3"/>
      <c r="S7" s="3"/>
      <c r="T7" s="3"/>
      <c r="U7" s="3"/>
      <c r="V7" s="3" t="s">
        <v>121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122</v>
      </c>
      <c r="B8" s="72" t="s">
        <v>123</v>
      </c>
      <c r="C8" s="8" t="s">
        <v>124</v>
      </c>
      <c r="D8" s="8" t="s">
        <v>125</v>
      </c>
      <c r="E8" s="8" t="s">
        <v>126</v>
      </c>
      <c r="F8" s="73" t="s">
        <v>127</v>
      </c>
      <c r="G8" s="74" t="s">
        <v>123</v>
      </c>
      <c r="H8" s="8" t="s">
        <v>124</v>
      </c>
      <c r="I8" s="8" t="s">
        <v>128</v>
      </c>
      <c r="J8" s="8" t="s">
        <v>129</v>
      </c>
      <c r="K8" s="9" t="s">
        <v>127</v>
      </c>
      <c r="L8" s="7" t="s">
        <v>123</v>
      </c>
      <c r="M8" s="8" t="s">
        <v>124</v>
      </c>
      <c r="N8" s="8" t="s">
        <v>128</v>
      </c>
      <c r="O8" s="8" t="s">
        <v>129</v>
      </c>
      <c r="P8" s="9" t="s">
        <v>127</v>
      </c>
      <c r="Q8" s="7" t="s">
        <v>123</v>
      </c>
      <c r="R8" s="8" t="s">
        <v>124</v>
      </c>
      <c r="S8" s="8" t="s">
        <v>128</v>
      </c>
      <c r="T8" s="8" t="s">
        <v>129</v>
      </c>
      <c r="U8" s="9" t="s">
        <v>127</v>
      </c>
      <c r="V8" s="7" t="s">
        <v>123</v>
      </c>
      <c r="W8" s="8" t="s">
        <v>124</v>
      </c>
      <c r="X8" s="8" t="s">
        <v>128</v>
      </c>
      <c r="Y8" s="8" t="s">
        <v>129</v>
      </c>
      <c r="Z8" s="9" t="s">
        <v>127</v>
      </c>
    </row>
    <row r="9" customFormat="false" ht="14.25" hidden="false" customHeight="false" outlineLevel="0" collapsed="false">
      <c r="A9" s="75" t="n">
        <v>1</v>
      </c>
      <c r="B9" s="76" t="s">
        <v>117</v>
      </c>
      <c r="C9" s="31" t="n">
        <v>13</v>
      </c>
      <c r="D9" s="31" t="n">
        <v>0</v>
      </c>
      <c r="E9" s="31" t="n">
        <v>13</v>
      </c>
      <c r="F9" s="77" t="s">
        <v>130</v>
      </c>
      <c r="G9" s="32" t="s">
        <v>131</v>
      </c>
      <c r="H9" s="31" t="n">
        <v>5</v>
      </c>
      <c r="I9" s="31" t="n">
        <v>-90</v>
      </c>
      <c r="J9" s="31" t="n">
        <v>-40</v>
      </c>
      <c r="K9" s="77" t="s">
        <v>130</v>
      </c>
      <c r="L9" s="32"/>
      <c r="M9" s="31"/>
      <c r="N9" s="31"/>
      <c r="O9" s="31"/>
      <c r="P9" s="77"/>
      <c r="Q9" s="32"/>
      <c r="R9" s="31"/>
      <c r="S9" s="31"/>
      <c r="T9" s="31"/>
      <c r="U9" s="33"/>
      <c r="V9" s="32"/>
      <c r="W9" s="31"/>
      <c r="X9" s="31"/>
      <c r="Y9" s="31"/>
      <c r="Z9" s="33"/>
    </row>
    <row r="10" customFormat="false" ht="14.25" hidden="false" customHeight="false" outlineLevel="0" collapsed="false">
      <c r="A10" s="75" t="n">
        <v>1</v>
      </c>
      <c r="B10" s="76" t="s">
        <v>117</v>
      </c>
      <c r="C10" s="31" t="n">
        <v>13</v>
      </c>
      <c r="D10" s="31" t="n">
        <v>0</v>
      </c>
      <c r="E10" s="31" t="n">
        <v>13</v>
      </c>
      <c r="F10" s="77" t="s">
        <v>132</v>
      </c>
      <c r="G10" s="32" t="s">
        <v>133</v>
      </c>
      <c r="H10" s="31" t="n">
        <v>5</v>
      </c>
      <c r="I10" s="31" t="n">
        <v>-90</v>
      </c>
      <c r="J10" s="31" t="n">
        <v>-40</v>
      </c>
      <c r="K10" s="77" t="s">
        <v>132</v>
      </c>
      <c r="L10" s="32"/>
      <c r="M10" s="31"/>
      <c r="N10" s="31"/>
      <c r="O10" s="31"/>
      <c r="P10" s="77"/>
      <c r="Q10" s="32"/>
      <c r="R10" s="31"/>
      <c r="S10" s="31"/>
      <c r="T10" s="31"/>
      <c r="U10" s="77"/>
      <c r="V10" s="32"/>
      <c r="W10" s="31"/>
      <c r="X10" s="31"/>
      <c r="Y10" s="31"/>
      <c r="Z10" s="77"/>
    </row>
    <row r="11" customFormat="false" ht="14.25" hidden="false" customHeight="false" outlineLevel="0" collapsed="false">
      <c r="A11" s="75"/>
      <c r="B11" s="76"/>
      <c r="C11" s="31"/>
      <c r="D11" s="31"/>
      <c r="E11" s="31"/>
      <c r="F11" s="77"/>
      <c r="G11" s="32"/>
      <c r="H11" s="31"/>
      <c r="I11" s="31"/>
      <c r="J11" s="31"/>
      <c r="K11" s="77"/>
      <c r="L11" s="32"/>
      <c r="M11" s="31"/>
      <c r="N11" s="31"/>
      <c r="O11" s="31"/>
      <c r="P11" s="77"/>
      <c r="Q11" s="32"/>
      <c r="R11" s="31"/>
      <c r="S11" s="31"/>
      <c r="T11" s="31"/>
      <c r="U11" s="77"/>
      <c r="V11" s="32"/>
      <c r="W11" s="31"/>
      <c r="X11" s="31"/>
      <c r="Y11" s="31"/>
      <c r="Z11" s="33"/>
    </row>
    <row r="12" customFormat="false" ht="14.25" hidden="false" customHeight="false" outlineLevel="0" collapsed="false">
      <c r="A12" s="75"/>
      <c r="B12" s="76"/>
      <c r="C12" s="31"/>
      <c r="D12" s="31"/>
      <c r="E12" s="31"/>
      <c r="F12" s="77"/>
      <c r="G12" s="32" t="s">
        <v>134</v>
      </c>
      <c r="H12" s="31"/>
      <c r="I12" s="31"/>
      <c r="J12" s="31"/>
      <c r="K12" s="77"/>
      <c r="L12" s="32"/>
      <c r="M12" s="31"/>
      <c r="N12" s="31"/>
      <c r="O12" s="31"/>
      <c r="P12" s="77"/>
      <c r="Q12" s="32"/>
      <c r="R12" s="31"/>
      <c r="S12" s="31"/>
      <c r="T12" s="31"/>
      <c r="U12" s="77"/>
      <c r="V12" s="32"/>
      <c r="W12" s="31"/>
      <c r="X12" s="31"/>
      <c r="Y12" s="31"/>
      <c r="Z12" s="77"/>
    </row>
    <row r="13" customFormat="false" ht="14.25" hidden="false" customHeight="false" outlineLevel="0" collapsed="false">
      <c r="A13" s="75"/>
      <c r="B13" s="76"/>
      <c r="C13" s="31"/>
      <c r="D13" s="31"/>
      <c r="E13" s="31"/>
      <c r="F13" s="77"/>
      <c r="G13" s="32"/>
      <c r="H13" s="31"/>
      <c r="I13" s="31"/>
      <c r="J13" s="31"/>
      <c r="K13" s="77"/>
      <c r="L13" s="32"/>
      <c r="M13" s="31"/>
      <c r="N13" s="31"/>
      <c r="O13" s="31"/>
      <c r="P13" s="77"/>
      <c r="Q13" s="32"/>
      <c r="R13" s="31"/>
      <c r="S13" s="31"/>
      <c r="T13" s="31"/>
      <c r="U13" s="77"/>
      <c r="V13" s="32"/>
      <c r="W13" s="31"/>
      <c r="X13" s="31"/>
      <c r="Y13" s="31"/>
      <c r="Z13" s="77"/>
    </row>
    <row r="14" customFormat="false" ht="14.25" hidden="false" customHeight="false" outlineLevel="0" collapsed="false">
      <c r="A14" s="75"/>
      <c r="B14" s="76"/>
      <c r="C14" s="31"/>
      <c r="D14" s="31"/>
      <c r="E14" s="31"/>
      <c r="F14" s="77"/>
      <c r="G14" s="32"/>
      <c r="H14" s="31"/>
      <c r="I14" s="31"/>
      <c r="J14" s="31"/>
      <c r="K14" s="77"/>
      <c r="L14" s="32"/>
      <c r="M14" s="31"/>
      <c r="N14" s="31"/>
      <c r="O14" s="31"/>
      <c r="P14" s="77"/>
      <c r="Q14" s="32"/>
      <c r="R14" s="31"/>
      <c r="S14" s="31"/>
      <c r="T14" s="31"/>
      <c r="U14" s="77"/>
      <c r="V14" s="32"/>
      <c r="W14" s="31"/>
      <c r="X14" s="31"/>
      <c r="Y14" s="31"/>
      <c r="Z14" s="77"/>
    </row>
    <row r="15" customFormat="false" ht="14.25" hidden="false" customHeight="false" outlineLevel="0" collapsed="false">
      <c r="A15" s="75"/>
      <c r="B15" s="76"/>
      <c r="C15" s="31"/>
      <c r="D15" s="31"/>
      <c r="E15" s="31"/>
      <c r="F15" s="77"/>
      <c r="G15" s="32"/>
      <c r="H15" s="31"/>
      <c r="I15" s="31"/>
      <c r="J15" s="31"/>
      <c r="K15" s="77"/>
      <c r="L15" s="32"/>
      <c r="M15" s="31"/>
      <c r="N15" s="31"/>
      <c r="O15" s="31"/>
      <c r="P15" s="77"/>
      <c r="Q15" s="32"/>
      <c r="R15" s="31"/>
      <c r="S15" s="31"/>
      <c r="T15" s="31"/>
      <c r="U15" s="33"/>
      <c r="V15" s="32"/>
      <c r="W15" s="31"/>
      <c r="X15" s="31"/>
      <c r="Y15" s="31"/>
      <c r="Z15" s="33"/>
    </row>
    <row r="16" customFormat="false" ht="14.25" hidden="false" customHeight="false" outlineLevel="0" collapsed="false">
      <c r="A16" s="75"/>
      <c r="B16" s="76"/>
      <c r="C16" s="31"/>
      <c r="D16" s="31"/>
      <c r="E16" s="31"/>
      <c r="F16" s="77"/>
      <c r="G16" s="32"/>
      <c r="H16" s="31"/>
      <c r="I16" s="31"/>
      <c r="J16" s="31"/>
      <c r="K16" s="77"/>
      <c r="L16" s="32"/>
      <c r="M16" s="31"/>
      <c r="N16" s="31"/>
      <c r="O16" s="31"/>
      <c r="P16" s="77"/>
      <c r="Q16" s="32"/>
      <c r="R16" s="31"/>
      <c r="S16" s="31"/>
      <c r="T16" s="31"/>
      <c r="U16" s="33"/>
      <c r="V16" s="32"/>
      <c r="W16" s="31"/>
      <c r="X16" s="31"/>
      <c r="Y16" s="31"/>
      <c r="Z16" s="33"/>
    </row>
    <row r="17" customFormat="false" ht="14.25" hidden="false" customHeight="false" outlineLevel="0" collapsed="false">
      <c r="A17" s="75"/>
      <c r="B17" s="76"/>
      <c r="C17" s="31"/>
      <c r="D17" s="31"/>
      <c r="E17" s="31"/>
      <c r="F17" s="77"/>
      <c r="G17" s="32"/>
      <c r="H17" s="31"/>
      <c r="I17" s="31"/>
      <c r="J17" s="31"/>
      <c r="K17" s="77"/>
      <c r="L17" s="32"/>
      <c r="M17" s="31"/>
      <c r="N17" s="31"/>
      <c r="O17" s="31"/>
      <c r="P17" s="77"/>
      <c r="Q17" s="32"/>
      <c r="R17" s="31"/>
      <c r="S17" s="31"/>
      <c r="T17" s="31"/>
      <c r="U17" s="33"/>
      <c r="V17" s="32"/>
      <c r="W17" s="31"/>
      <c r="X17" s="31"/>
      <c r="Y17" s="31"/>
      <c r="Z17" s="33"/>
    </row>
    <row r="18" customFormat="false" ht="14.25" hidden="false" customHeight="false" outlineLevel="0" collapsed="false">
      <c r="A18" s="75"/>
      <c r="B18" s="76"/>
      <c r="C18" s="31"/>
      <c r="D18" s="31"/>
      <c r="E18" s="31"/>
      <c r="F18" s="77"/>
      <c r="G18" s="32"/>
      <c r="H18" s="31"/>
      <c r="I18" s="31"/>
      <c r="J18" s="31"/>
      <c r="K18" s="77"/>
      <c r="L18" s="32"/>
      <c r="M18" s="31"/>
      <c r="N18" s="31"/>
      <c r="O18" s="31"/>
      <c r="P18" s="77"/>
      <c r="Q18" s="32"/>
      <c r="R18" s="31"/>
      <c r="S18" s="31"/>
      <c r="T18" s="31"/>
      <c r="U18" s="33"/>
      <c r="V18" s="32"/>
      <c r="W18" s="31"/>
      <c r="X18" s="31"/>
      <c r="Y18" s="31"/>
      <c r="Z18" s="33"/>
    </row>
    <row r="19" customFormat="false" ht="14.25" hidden="false" customHeight="false" outlineLevel="0" collapsed="false">
      <c r="A19" s="75"/>
      <c r="B19" s="76"/>
      <c r="C19" s="31"/>
      <c r="D19" s="31"/>
      <c r="E19" s="31"/>
      <c r="F19" s="77"/>
      <c r="G19" s="78"/>
      <c r="H19" s="31"/>
      <c r="I19" s="31"/>
      <c r="J19" s="31"/>
      <c r="K19" s="77"/>
      <c r="L19" s="32"/>
      <c r="M19" s="31"/>
      <c r="N19" s="31"/>
      <c r="O19" s="31"/>
      <c r="P19" s="33"/>
      <c r="Q19" s="32"/>
      <c r="R19" s="31"/>
      <c r="S19" s="31"/>
      <c r="T19" s="31"/>
      <c r="U19" s="33"/>
      <c r="V19" s="32"/>
      <c r="W19" s="31"/>
      <c r="X19" s="31"/>
      <c r="Y19" s="31"/>
      <c r="Z19" s="33"/>
    </row>
    <row r="20" customFormat="false" ht="14.25" hidden="false" customHeight="false" outlineLevel="0" collapsed="false">
      <c r="A20" s="75"/>
      <c r="B20" s="76"/>
      <c r="C20" s="31"/>
      <c r="D20" s="31"/>
      <c r="E20" s="31"/>
      <c r="F20" s="77"/>
      <c r="G20" s="78"/>
      <c r="H20" s="31"/>
      <c r="I20" s="31"/>
      <c r="J20" s="31"/>
      <c r="K20" s="33"/>
      <c r="L20" s="32"/>
      <c r="M20" s="31"/>
      <c r="N20" s="31"/>
      <c r="O20" s="31"/>
      <c r="P20" s="33"/>
      <c r="Q20" s="32"/>
      <c r="R20" s="31"/>
      <c r="S20" s="31"/>
      <c r="T20" s="31"/>
      <c r="U20" s="33"/>
      <c r="V20" s="32"/>
      <c r="W20" s="31"/>
      <c r="X20" s="31"/>
      <c r="Y20" s="31"/>
      <c r="Z20" s="33"/>
    </row>
    <row r="21" customFormat="false" ht="14.25" hidden="false" customHeight="false" outlineLevel="0" collapsed="false">
      <c r="A21" s="75"/>
      <c r="B21" s="76"/>
      <c r="C21" s="31"/>
      <c r="D21" s="31"/>
      <c r="E21" s="31"/>
      <c r="F21" s="77"/>
      <c r="G21" s="78"/>
      <c r="H21" s="31"/>
      <c r="I21" s="31"/>
      <c r="J21" s="31"/>
      <c r="K21" s="33"/>
      <c r="L21" s="32"/>
      <c r="M21" s="31"/>
      <c r="N21" s="31"/>
      <c r="O21" s="31"/>
      <c r="P21" s="33"/>
      <c r="Q21" s="32"/>
      <c r="R21" s="31"/>
      <c r="S21" s="31"/>
      <c r="T21" s="31"/>
      <c r="U21" s="33"/>
      <c r="V21" s="32"/>
      <c r="W21" s="31"/>
      <c r="X21" s="31"/>
      <c r="Y21" s="31"/>
      <c r="Z21" s="33"/>
    </row>
    <row r="22" customFormat="false" ht="14.25" hidden="false" customHeight="false" outlineLevel="0" collapsed="false">
      <c r="A22" s="75"/>
      <c r="B22" s="76"/>
      <c r="C22" s="31"/>
      <c r="D22" s="31"/>
      <c r="E22" s="31"/>
      <c r="F22" s="77"/>
      <c r="G22" s="78"/>
      <c r="H22" s="31"/>
      <c r="I22" s="31"/>
      <c r="J22" s="31"/>
      <c r="K22" s="33"/>
      <c r="L22" s="32"/>
      <c r="M22" s="31"/>
      <c r="N22" s="31"/>
      <c r="O22" s="31"/>
      <c r="P22" s="33"/>
      <c r="Q22" s="32"/>
      <c r="R22" s="31"/>
      <c r="S22" s="31"/>
      <c r="T22" s="31"/>
      <c r="U22" s="33"/>
      <c r="V22" s="32"/>
      <c r="W22" s="31"/>
      <c r="X22" s="31"/>
      <c r="Y22" s="31"/>
      <c r="Z22" s="33"/>
    </row>
    <row r="23" customFormat="false" ht="15" hidden="false" customHeight="false" outlineLevel="0" collapsed="false">
      <c r="A23" s="79"/>
      <c r="B23" s="80"/>
      <c r="C23" s="39"/>
      <c r="D23" s="39"/>
      <c r="E23" s="39"/>
      <c r="F23" s="38"/>
      <c r="G23" s="81"/>
      <c r="H23" s="39"/>
      <c r="I23" s="39"/>
      <c r="J23" s="39"/>
      <c r="K23" s="40"/>
      <c r="L23" s="37"/>
      <c r="M23" s="39"/>
      <c r="N23" s="39"/>
      <c r="O23" s="39"/>
      <c r="P23" s="40"/>
      <c r="Q23" s="37"/>
      <c r="R23" s="39"/>
      <c r="S23" s="39"/>
      <c r="T23" s="39"/>
      <c r="U23" s="40"/>
      <c r="V23" s="37"/>
      <c r="W23" s="39"/>
      <c r="X23" s="39"/>
      <c r="Y23" s="39"/>
      <c r="Z23" s="40"/>
    </row>
    <row r="25" customFormat="false" ht="14.25" hidden="false" customHeight="false" outlineLevel="0" collapsed="false">
      <c r="A25" s="62" t="s">
        <v>135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136</v>
      </c>
      <c r="M25" s="62"/>
    </row>
    <row r="26" customFormat="false" ht="15" hidden="false" customHeight="true" outlineLevel="0" collapsed="false">
      <c r="B26" s="8" t="s">
        <v>137</v>
      </c>
      <c r="C26" s="8"/>
      <c r="D26" s="8"/>
      <c r="E26" s="8"/>
      <c r="G26" s="8" t="s">
        <v>138</v>
      </c>
      <c r="H26" s="8"/>
      <c r="I26" s="8"/>
      <c r="J26" s="8"/>
      <c r="L26" s="32" t="s">
        <v>139</v>
      </c>
      <c r="M26" s="82" t="s">
        <v>140</v>
      </c>
      <c r="N26" s="82"/>
      <c r="O26" s="82"/>
      <c r="P26" s="82"/>
      <c r="Q26" s="82"/>
    </row>
    <row r="27" customFormat="false" ht="14.25" hidden="false" customHeight="false" outlineLevel="0" collapsed="false">
      <c r="B27" s="8" t="s">
        <v>141</v>
      </c>
      <c r="C27" s="8" t="s">
        <v>125</v>
      </c>
      <c r="D27" s="8" t="s">
        <v>126</v>
      </c>
      <c r="E27" s="8" t="s">
        <v>142</v>
      </c>
      <c r="G27" s="8" t="s">
        <v>141</v>
      </c>
      <c r="H27" s="8" t="s">
        <v>125</v>
      </c>
      <c r="I27" s="8" t="s">
        <v>126</v>
      </c>
      <c r="J27" s="8" t="s">
        <v>143</v>
      </c>
      <c r="L27" s="32"/>
      <c r="M27" s="82"/>
      <c r="N27" s="82"/>
      <c r="O27" s="82"/>
      <c r="P27" s="82"/>
      <c r="Q27" s="82"/>
    </row>
    <row r="28" customFormat="false" ht="14.25" hidden="false" customHeight="false" outlineLevel="0" collapsed="false">
      <c r="B28" s="31" t="s">
        <v>5</v>
      </c>
      <c r="C28" s="31" t="n">
        <v>0.25</v>
      </c>
      <c r="D28" s="31" t="n">
        <v>0.4</v>
      </c>
      <c r="E28" s="31" t="n">
        <v>1</v>
      </c>
      <c r="G28" s="31"/>
      <c r="H28" s="31"/>
      <c r="I28" s="31"/>
      <c r="J28" s="31"/>
      <c r="L28" s="32"/>
      <c r="M28" s="1"/>
    </row>
    <row r="29" customFormat="false" ht="14.25" hidden="false" customHeight="false" outlineLevel="0" collapsed="false">
      <c r="B29" s="31" t="s">
        <v>5</v>
      </c>
      <c r="C29" s="31" t="n">
        <v>0.75</v>
      </c>
      <c r="D29" s="31" t="n">
        <v>0.9</v>
      </c>
      <c r="E29" s="31" t="n">
        <v>1</v>
      </c>
      <c r="G29" s="31"/>
      <c r="H29" s="31"/>
      <c r="I29" s="31"/>
      <c r="J29" s="31"/>
      <c r="L29" s="32"/>
      <c r="M29" s="1"/>
    </row>
    <row r="30" customFormat="false" ht="14.25" hidden="false" customHeight="false" outlineLevel="0" collapsed="false">
      <c r="B30" s="31" t="s">
        <v>5</v>
      </c>
      <c r="C30" s="31" t="n">
        <v>1.25</v>
      </c>
      <c r="D30" s="31" t="n">
        <v>1.4</v>
      </c>
      <c r="E30" s="31" t="n">
        <v>1</v>
      </c>
      <c r="G30" s="31"/>
      <c r="H30" s="31"/>
      <c r="I30" s="31"/>
      <c r="J30" s="31"/>
      <c r="L30" s="32"/>
      <c r="M30" s="1"/>
    </row>
    <row r="31" customFormat="false" ht="14.25" hidden="false" customHeight="false" outlineLevel="0" collapsed="false">
      <c r="B31" s="31" t="s">
        <v>5</v>
      </c>
      <c r="C31" s="31" t="n">
        <v>1.75</v>
      </c>
      <c r="D31" s="31" t="n">
        <v>1.9</v>
      </c>
      <c r="E31" s="31" t="n">
        <v>1</v>
      </c>
      <c r="G31" s="31"/>
      <c r="H31" s="31"/>
      <c r="I31" s="31"/>
      <c r="J31" s="31"/>
      <c r="L31" s="32"/>
      <c r="M31" s="1"/>
    </row>
    <row r="32" customFormat="false" ht="14.25" hidden="false" customHeight="false" outlineLevel="0" collapsed="false">
      <c r="B32" s="31" t="s">
        <v>5</v>
      </c>
      <c r="C32" s="31" t="n">
        <v>2.25</v>
      </c>
      <c r="D32" s="31" t="n">
        <v>2.4</v>
      </c>
      <c r="E32" s="31" t="n">
        <v>1</v>
      </c>
      <c r="G32" s="31"/>
      <c r="H32" s="31"/>
      <c r="I32" s="31"/>
      <c r="J32" s="31"/>
      <c r="L32" s="32"/>
      <c r="M32" s="1"/>
    </row>
    <row r="33" customFormat="false" ht="14.25" hidden="false" customHeight="false" outlineLevel="0" collapsed="false">
      <c r="B33" s="31" t="s">
        <v>5</v>
      </c>
      <c r="C33" s="31" t="n">
        <v>2.75</v>
      </c>
      <c r="D33" s="31" t="n">
        <v>2.9</v>
      </c>
      <c r="E33" s="31" t="n">
        <v>1</v>
      </c>
      <c r="G33" s="31"/>
      <c r="H33" s="31"/>
      <c r="I33" s="31"/>
      <c r="J33" s="31"/>
      <c r="L33" s="32"/>
      <c r="M33" s="1"/>
    </row>
    <row r="34" customFormat="false" ht="14.25" hidden="false" customHeight="false" outlineLevel="0" collapsed="false">
      <c r="B34" s="31" t="s">
        <v>5</v>
      </c>
      <c r="C34" s="31" t="n">
        <v>3.25</v>
      </c>
      <c r="D34" s="31" t="n">
        <v>3.4</v>
      </c>
      <c r="E34" s="31" t="n">
        <v>1</v>
      </c>
      <c r="G34" s="31"/>
      <c r="H34" s="31"/>
      <c r="I34" s="31"/>
      <c r="J34" s="31"/>
      <c r="L34" s="32"/>
      <c r="M34" s="1"/>
    </row>
    <row r="35" customFormat="false" ht="14.25" hidden="false" customHeight="false" outlineLevel="0" collapsed="false">
      <c r="B35" s="31" t="s">
        <v>5</v>
      </c>
      <c r="C35" s="31" t="n">
        <v>3.75</v>
      </c>
      <c r="D35" s="31" t="n">
        <v>3.9</v>
      </c>
      <c r="E35" s="31" t="n">
        <v>1</v>
      </c>
      <c r="G35" s="31"/>
      <c r="H35" s="31"/>
      <c r="I35" s="31"/>
      <c r="J35" s="31"/>
      <c r="L35" s="32"/>
      <c r="M35" s="1"/>
    </row>
    <row r="36" customFormat="false" ht="14.25" hidden="false" customHeight="false" outlineLevel="0" collapsed="false">
      <c r="B36" s="31" t="s">
        <v>5</v>
      </c>
      <c r="C36" s="31" t="n">
        <v>4.25</v>
      </c>
      <c r="D36" s="31" t="n">
        <v>4.35</v>
      </c>
      <c r="E36" s="31" t="n">
        <v>1</v>
      </c>
      <c r="G36" s="31"/>
      <c r="H36" s="31"/>
      <c r="I36" s="31"/>
      <c r="J36" s="31"/>
      <c r="L36" s="32"/>
      <c r="M36" s="1"/>
    </row>
    <row r="37" customFormat="false" ht="14.25" hidden="false" customHeight="false" outlineLevel="0" collapsed="false">
      <c r="B37" s="31" t="s">
        <v>5</v>
      </c>
      <c r="C37" s="31" t="n">
        <v>4.75</v>
      </c>
      <c r="D37" s="31" t="n">
        <v>4.85</v>
      </c>
      <c r="E37" s="31" t="n">
        <v>1</v>
      </c>
      <c r="G37" s="31"/>
      <c r="H37" s="31"/>
      <c r="I37" s="31"/>
      <c r="J37" s="31"/>
      <c r="L37" s="24"/>
      <c r="M37" s="1"/>
    </row>
    <row r="38" customFormat="false" ht="14.25" hidden="false" customHeight="false" outlineLevel="0" collapsed="false">
      <c r="B38" s="31" t="s">
        <v>5</v>
      </c>
      <c r="C38" s="31" t="n">
        <v>5.25</v>
      </c>
      <c r="D38" s="31" t="n">
        <v>5.35</v>
      </c>
      <c r="E38" s="31" t="n">
        <v>1</v>
      </c>
      <c r="G38" s="31"/>
      <c r="H38" s="31"/>
      <c r="I38" s="31"/>
      <c r="J38" s="31"/>
      <c r="L38" s="24"/>
      <c r="M38" s="1"/>
    </row>
    <row r="39" customFormat="false" ht="14.25" hidden="false" customHeight="false" outlineLevel="0" collapsed="false">
      <c r="B39" s="31" t="s">
        <v>5</v>
      </c>
      <c r="C39" s="31" t="n">
        <v>5.75</v>
      </c>
      <c r="D39" s="31" t="n">
        <v>5.85</v>
      </c>
      <c r="E39" s="31" t="n">
        <v>1</v>
      </c>
      <c r="G39" s="31"/>
      <c r="H39" s="31"/>
      <c r="I39" s="31"/>
      <c r="J39" s="31"/>
      <c r="L39" s="24"/>
      <c r="M39" s="1"/>
    </row>
    <row r="40" customFormat="false" ht="14.25" hidden="false" customHeight="false" outlineLevel="0" collapsed="false">
      <c r="B40" s="31" t="s">
        <v>6</v>
      </c>
      <c r="C40" s="31" t="n">
        <v>0</v>
      </c>
      <c r="D40" s="31" t="n">
        <v>0.5</v>
      </c>
      <c r="E40" s="31" t="n">
        <v>-3</v>
      </c>
      <c r="G40" s="31"/>
      <c r="H40" s="31"/>
      <c r="I40" s="31"/>
      <c r="J40" s="31"/>
      <c r="L40" s="24"/>
      <c r="M40" s="1"/>
    </row>
    <row r="41" customFormat="false" ht="14.25" hidden="false" customHeight="false" outlineLevel="0" collapsed="false">
      <c r="B41" s="31" t="s">
        <v>6</v>
      </c>
      <c r="C41" s="31" t="n">
        <v>0.5</v>
      </c>
      <c r="D41" s="31" t="n">
        <v>1</v>
      </c>
      <c r="E41" s="31" t="n">
        <v>-2</v>
      </c>
      <c r="G41" s="31"/>
      <c r="H41" s="31"/>
      <c r="I41" s="31"/>
      <c r="J41" s="31"/>
      <c r="L41" s="24"/>
      <c r="M41" s="1"/>
    </row>
    <row r="42" customFormat="false" ht="14.25" hidden="false" customHeight="false" outlineLevel="0" collapsed="false">
      <c r="B42" s="31" t="s">
        <v>6</v>
      </c>
      <c r="C42" s="31" t="n">
        <v>1</v>
      </c>
      <c r="D42" s="31" t="n">
        <v>1.5</v>
      </c>
      <c r="E42" s="31" t="n">
        <v>-1</v>
      </c>
      <c r="G42" s="31"/>
      <c r="H42" s="31"/>
      <c r="I42" s="31"/>
      <c r="J42" s="31"/>
      <c r="L42" s="24"/>
      <c r="M42" s="1"/>
    </row>
    <row r="43" customFormat="false" ht="14.25" hidden="false" customHeight="false" outlineLevel="0" collapsed="false">
      <c r="B43" s="31" t="s">
        <v>6</v>
      </c>
      <c r="C43" s="31" t="n">
        <v>1.5</v>
      </c>
      <c r="D43" s="31" t="n">
        <v>2</v>
      </c>
      <c r="E43" s="31" t="n">
        <v>0</v>
      </c>
      <c r="G43" s="31"/>
      <c r="H43" s="31"/>
      <c r="I43" s="31"/>
      <c r="J43" s="31"/>
      <c r="L43" s="24"/>
      <c r="M43" s="1"/>
    </row>
    <row r="44" customFormat="false" ht="14.25" hidden="false" customHeight="false" outlineLevel="0" collapsed="false">
      <c r="B44" s="31" t="s">
        <v>6</v>
      </c>
      <c r="C44" s="31" t="n">
        <v>2</v>
      </c>
      <c r="D44" s="31" t="n">
        <v>2.5</v>
      </c>
      <c r="E44" s="31" t="n">
        <v>1</v>
      </c>
      <c r="G44" s="31"/>
      <c r="H44" s="31"/>
      <c r="I44" s="31"/>
      <c r="J44" s="31"/>
      <c r="L44" s="24"/>
      <c r="M44" s="1"/>
    </row>
    <row r="45" customFormat="false" ht="14.25" hidden="false" customHeight="false" outlineLevel="0" collapsed="false">
      <c r="B45" s="31" t="s">
        <v>6</v>
      </c>
      <c r="C45" s="31" t="n">
        <v>2.5</v>
      </c>
      <c r="D45" s="31" t="n">
        <v>3</v>
      </c>
      <c r="E45" s="31" t="n">
        <v>2</v>
      </c>
      <c r="G45" s="31"/>
      <c r="H45" s="31"/>
      <c r="I45" s="31"/>
      <c r="J45" s="31"/>
    </row>
    <row r="46" customFormat="false" ht="14.25" hidden="false" customHeight="false" outlineLevel="0" collapsed="false">
      <c r="B46" s="31" t="s">
        <v>6</v>
      </c>
      <c r="C46" s="31" t="n">
        <v>3</v>
      </c>
      <c r="D46" s="31" t="n">
        <v>3.5</v>
      </c>
      <c r="E46" s="31" t="n">
        <v>3</v>
      </c>
      <c r="G46" s="31"/>
      <c r="H46" s="31"/>
      <c r="I46" s="31"/>
      <c r="J46" s="31"/>
    </row>
    <row r="47" customFormat="false" ht="14.25" hidden="false" customHeight="false" outlineLevel="0" collapsed="false">
      <c r="B47" s="31" t="s">
        <v>6</v>
      </c>
      <c r="C47" s="31" t="n">
        <v>3.5</v>
      </c>
      <c r="D47" s="31" t="n">
        <v>4</v>
      </c>
      <c r="E47" s="31" t="n">
        <v>4</v>
      </c>
      <c r="G47" s="31"/>
      <c r="H47" s="31"/>
      <c r="I47" s="31"/>
      <c r="J47" s="31"/>
    </row>
    <row r="48" customFormat="false" ht="14.25" hidden="false" customHeight="false" outlineLevel="0" collapsed="false">
      <c r="B48" s="31" t="s">
        <v>6</v>
      </c>
      <c r="C48" s="31" t="n">
        <v>4</v>
      </c>
      <c r="D48" s="31" t="n">
        <v>4.5</v>
      </c>
      <c r="E48" s="31" t="n">
        <v>5</v>
      </c>
      <c r="G48" s="31"/>
      <c r="H48" s="31"/>
      <c r="I48" s="31"/>
      <c r="J48" s="31"/>
    </row>
    <row r="49" customFormat="false" ht="14.25" hidden="false" customHeight="false" outlineLevel="0" collapsed="false">
      <c r="B49" s="31" t="s">
        <v>6</v>
      </c>
      <c r="C49" s="31" t="n">
        <v>4.5</v>
      </c>
      <c r="D49" s="31" t="n">
        <v>5</v>
      </c>
      <c r="E49" s="31" t="n">
        <v>6</v>
      </c>
      <c r="G49" s="31"/>
      <c r="H49" s="31"/>
      <c r="I49" s="31"/>
      <c r="J49" s="31"/>
    </row>
    <row r="50" customFormat="false" ht="14.25" hidden="false" customHeight="false" outlineLevel="0" collapsed="false">
      <c r="B50" s="31" t="s">
        <v>6</v>
      </c>
      <c r="C50" s="31" t="n">
        <v>5</v>
      </c>
      <c r="D50" s="31" t="n">
        <v>5.5</v>
      </c>
      <c r="E50" s="31" t="n">
        <v>7</v>
      </c>
      <c r="G50" s="31"/>
      <c r="H50" s="31"/>
      <c r="I50" s="31"/>
      <c r="J50" s="31"/>
    </row>
    <row r="51" customFormat="false" ht="14.25" hidden="false" customHeight="false" outlineLevel="0" collapsed="false">
      <c r="B51" s="31" t="s">
        <v>6</v>
      </c>
      <c r="C51" s="31" t="n">
        <v>5.5</v>
      </c>
      <c r="D51" s="31" t="n">
        <v>6</v>
      </c>
      <c r="E51" s="31" t="n">
        <v>8</v>
      </c>
      <c r="G51" s="31"/>
      <c r="H51" s="31"/>
      <c r="I51" s="31"/>
      <c r="J51" s="31"/>
    </row>
    <row r="52" customFormat="false" ht="14.25" hidden="false" customHeight="false" outlineLevel="0" collapsed="false">
      <c r="B52" s="0"/>
      <c r="C52" s="0"/>
      <c r="D52" s="0"/>
      <c r="E52" s="0"/>
      <c r="G52" s="31"/>
      <c r="H52" s="31"/>
      <c r="I52" s="31"/>
      <c r="J52" s="31"/>
    </row>
    <row r="53" customFormat="false" ht="14.25" hidden="false" customHeight="false" outlineLevel="0" collapsed="false">
      <c r="B53" s="31"/>
      <c r="C53" s="31"/>
      <c r="D53" s="31"/>
      <c r="E53" s="31"/>
      <c r="G53" s="31"/>
      <c r="H53" s="31"/>
      <c r="I53" s="31"/>
      <c r="J53" s="31"/>
    </row>
    <row r="54" customFormat="false" ht="14.25" hidden="false" customHeight="false" outlineLevel="0" collapsed="false">
      <c r="B54" s="31"/>
      <c r="C54" s="31"/>
      <c r="D54" s="31"/>
      <c r="E54" s="31"/>
      <c r="G54" s="31"/>
      <c r="H54" s="31"/>
      <c r="I54" s="31"/>
      <c r="J54" s="31"/>
    </row>
    <row r="55" customFormat="false" ht="14.25" hidden="false" customHeight="false" outlineLevel="0" collapsed="false">
      <c r="B55" s="31"/>
      <c r="C55" s="31"/>
      <c r="D55" s="31"/>
      <c r="E55" s="31"/>
      <c r="G55" s="31"/>
      <c r="H55" s="31"/>
      <c r="I55" s="31"/>
      <c r="J55" s="31"/>
    </row>
    <row r="56" customFormat="false" ht="14.25" hidden="false" customHeight="false" outlineLevel="0" collapsed="false">
      <c r="B56" s="31"/>
      <c r="C56" s="31"/>
      <c r="D56" s="31"/>
      <c r="E56" s="31"/>
      <c r="G56" s="31"/>
      <c r="H56" s="31"/>
      <c r="I56" s="31"/>
      <c r="J56" s="31"/>
    </row>
    <row r="57" customFormat="false" ht="14.25" hidden="false" customHeight="false" outlineLevel="0" collapsed="false">
      <c r="B57" s="31"/>
      <c r="C57" s="31"/>
      <c r="D57" s="31"/>
      <c r="E57" s="31"/>
      <c r="G57" s="31"/>
      <c r="H57" s="31"/>
      <c r="I57" s="31"/>
      <c r="J57" s="31"/>
    </row>
    <row r="58" customFormat="false" ht="14.25" hidden="false" customHeight="false" outlineLevel="0" collapsed="false">
      <c r="B58" s="31"/>
      <c r="C58" s="31"/>
      <c r="D58" s="31"/>
      <c r="E58" s="31"/>
      <c r="G58" s="31"/>
      <c r="H58" s="31"/>
      <c r="I58" s="31"/>
      <c r="J58" s="31"/>
    </row>
    <row r="59" customFormat="false" ht="14.25" hidden="false" customHeight="false" outlineLevel="0" collapsed="false">
      <c r="B59" s="31"/>
      <c r="C59" s="31"/>
      <c r="D59" s="31"/>
      <c r="E59" s="31"/>
      <c r="G59" s="31"/>
      <c r="H59" s="31"/>
      <c r="I59" s="31"/>
      <c r="J59" s="31"/>
    </row>
    <row r="60" customFormat="false" ht="14.25" hidden="false" customHeight="false" outlineLevel="0" collapsed="false">
      <c r="B60" s="31"/>
      <c r="C60" s="31"/>
      <c r="D60" s="31"/>
      <c r="E60" s="31"/>
      <c r="G60" s="31"/>
      <c r="H60" s="31"/>
      <c r="I60" s="31"/>
      <c r="J60" s="31"/>
    </row>
    <row r="61" customFormat="false" ht="14.25" hidden="false" customHeight="false" outlineLevel="0" collapsed="false">
      <c r="B61" s="31"/>
      <c r="C61" s="31"/>
      <c r="D61" s="31"/>
      <c r="E61" s="31"/>
      <c r="G61" s="31"/>
      <c r="H61" s="31"/>
      <c r="I61" s="31"/>
      <c r="J61" s="31"/>
    </row>
    <row r="62" customFormat="false" ht="14.25" hidden="false" customHeight="false" outlineLevel="0" collapsed="false">
      <c r="B62" s="31"/>
      <c r="C62" s="31"/>
      <c r="D62" s="31"/>
      <c r="E62" s="31"/>
      <c r="G62" s="31"/>
      <c r="H62" s="31"/>
      <c r="I62" s="31"/>
      <c r="J62" s="31"/>
    </row>
    <row r="63" customFormat="false" ht="14.25" hidden="false" customHeight="false" outlineLevel="0" collapsed="false">
      <c r="B63" s="31"/>
      <c r="C63" s="31"/>
      <c r="D63" s="31"/>
      <c r="E63" s="31"/>
      <c r="G63" s="31"/>
      <c r="H63" s="31"/>
      <c r="I63" s="31"/>
      <c r="J63" s="31"/>
    </row>
    <row r="64" customFormat="false" ht="14.25" hidden="false" customHeight="false" outlineLevel="0" collapsed="false">
      <c r="B64" s="31"/>
      <c r="C64" s="31"/>
      <c r="D64" s="31"/>
      <c r="E64" s="31"/>
      <c r="G64" s="31"/>
      <c r="H64" s="31"/>
      <c r="I64" s="31"/>
      <c r="J64" s="31"/>
    </row>
    <row r="65" customFormat="false" ht="14.25" hidden="false" customHeight="false" outlineLevel="0" collapsed="false">
      <c r="B65" s="31"/>
      <c r="C65" s="31"/>
      <c r="D65" s="31"/>
      <c r="E65" s="31"/>
      <c r="G65" s="31"/>
      <c r="H65" s="31"/>
      <c r="I65" s="31"/>
      <c r="J65" s="31"/>
    </row>
    <row r="66" customFormat="false" ht="14.25" hidden="false" customHeight="false" outlineLevel="0" collapsed="false">
      <c r="B66" s="31"/>
      <c r="C66" s="31"/>
      <c r="D66" s="31"/>
      <c r="E66" s="31"/>
      <c r="G66" s="31"/>
      <c r="H66" s="31"/>
      <c r="I66" s="31"/>
      <c r="J66" s="31"/>
    </row>
    <row r="67" customFormat="false" ht="14.25" hidden="false" customHeight="false" outlineLevel="0" collapsed="false">
      <c r="B67" s="31"/>
      <c r="C67" s="31"/>
      <c r="D67" s="31"/>
      <c r="E67" s="31"/>
      <c r="G67" s="31"/>
      <c r="H67" s="31"/>
      <c r="I67" s="31"/>
      <c r="J67" s="31"/>
    </row>
    <row r="68" customFormat="false" ht="14.25" hidden="false" customHeight="false" outlineLevel="0" collapsed="false">
      <c r="B68" s="31"/>
      <c r="C68" s="31"/>
      <c r="D68" s="31"/>
      <c r="E68" s="31"/>
      <c r="G68" s="31"/>
      <c r="H68" s="31"/>
      <c r="I68" s="31"/>
      <c r="J68" s="31"/>
    </row>
    <row r="69" customFormat="false" ht="14.25" hidden="false" customHeight="false" outlineLevel="0" collapsed="false">
      <c r="B69" s="31"/>
      <c r="C69" s="31"/>
      <c r="D69" s="31"/>
      <c r="E69" s="31"/>
      <c r="G69" s="31"/>
      <c r="H69" s="31"/>
      <c r="I69" s="31"/>
      <c r="J69" s="31"/>
    </row>
    <row r="70" customFormat="false" ht="14.25" hidden="false" customHeight="false" outlineLevel="0" collapsed="false">
      <c r="B70" s="31"/>
      <c r="C70" s="31"/>
      <c r="D70" s="31"/>
      <c r="E70" s="31"/>
      <c r="G70" s="31"/>
      <c r="H70" s="31"/>
      <c r="I70" s="31"/>
      <c r="J70" s="31"/>
    </row>
    <row r="71" customFormat="false" ht="14.25" hidden="false" customHeight="false" outlineLevel="0" collapsed="false">
      <c r="B71" s="31"/>
      <c r="C71" s="31"/>
      <c r="D71" s="31"/>
      <c r="E71" s="31"/>
      <c r="G71" s="31"/>
      <c r="H71" s="31"/>
      <c r="I71" s="31"/>
      <c r="J71" s="31"/>
    </row>
    <row r="72" customFormat="false" ht="14.25" hidden="false" customHeight="false" outlineLevel="0" collapsed="false">
      <c r="B72" s="31"/>
      <c r="C72" s="31"/>
      <c r="D72" s="31"/>
      <c r="E72" s="31"/>
      <c r="G72" s="31"/>
      <c r="H72" s="31"/>
      <c r="I72" s="31"/>
      <c r="J72" s="31"/>
    </row>
    <row r="73" customFormat="false" ht="14.25" hidden="false" customHeight="false" outlineLevel="0" collapsed="false">
      <c r="B73" s="31"/>
      <c r="C73" s="31"/>
      <c r="D73" s="31"/>
      <c r="E73" s="31"/>
      <c r="G73" s="31"/>
      <c r="H73" s="31"/>
      <c r="I73" s="31"/>
      <c r="J73" s="31"/>
    </row>
    <row r="74" customFormat="false" ht="14.25" hidden="false" customHeight="false" outlineLevel="0" collapsed="false">
      <c r="B74" s="31"/>
      <c r="C74" s="31"/>
      <c r="D74" s="31"/>
      <c r="E74" s="31"/>
      <c r="G74" s="31"/>
      <c r="H74" s="31"/>
      <c r="I74" s="31"/>
      <c r="J74" s="31"/>
    </row>
    <row r="75" customFormat="false" ht="14.25" hidden="false" customHeight="false" outlineLevel="0" collapsed="false">
      <c r="B75" s="31"/>
      <c r="C75" s="31"/>
      <c r="D75" s="31"/>
      <c r="E75" s="31"/>
      <c r="G75" s="31"/>
      <c r="H75" s="31"/>
      <c r="I75" s="31"/>
      <c r="J75" s="31"/>
    </row>
    <row r="76" customFormat="false" ht="14.25" hidden="false" customHeight="false" outlineLevel="0" collapsed="false">
      <c r="B76" s="31"/>
      <c r="C76" s="31"/>
      <c r="D76" s="31"/>
      <c r="E76" s="31"/>
      <c r="G76" s="31"/>
      <c r="H76" s="31"/>
      <c r="I76" s="31"/>
      <c r="J76" s="31"/>
    </row>
    <row r="77" customFormat="false" ht="14.25" hidden="false" customHeight="false" outlineLevel="0" collapsed="false">
      <c r="B77" s="31"/>
      <c r="C77" s="31"/>
      <c r="D77" s="31"/>
      <c r="E77" s="31"/>
      <c r="G77" s="31"/>
      <c r="H77" s="31"/>
      <c r="I77" s="31"/>
      <c r="J77" s="31"/>
    </row>
    <row r="78" customFormat="false" ht="14.25" hidden="false" customHeight="false" outlineLevel="0" collapsed="false">
      <c r="B78" s="31"/>
      <c r="C78" s="31"/>
      <c r="D78" s="31"/>
      <c r="E78" s="31"/>
      <c r="G78" s="31"/>
      <c r="H78" s="31"/>
      <c r="I78" s="31"/>
      <c r="J78" s="31"/>
    </row>
    <row r="79" customFormat="false" ht="14.25" hidden="false" customHeight="false" outlineLevel="0" collapsed="false">
      <c r="B79" s="31"/>
      <c r="C79" s="31"/>
      <c r="D79" s="31"/>
      <c r="E79" s="31"/>
      <c r="G79" s="31"/>
      <c r="H79" s="31"/>
      <c r="I79" s="31"/>
      <c r="J79" s="31"/>
    </row>
    <row r="80" customFormat="false" ht="14.25" hidden="false" customHeight="false" outlineLevel="0" collapsed="false">
      <c r="B80" s="31"/>
      <c r="C80" s="31"/>
      <c r="D80" s="31"/>
      <c r="E80" s="31"/>
      <c r="G80" s="31"/>
      <c r="H80" s="31"/>
      <c r="I80" s="31"/>
      <c r="J80" s="31"/>
    </row>
    <row r="81" customFormat="false" ht="14.25" hidden="false" customHeight="false" outlineLevel="0" collapsed="false">
      <c r="B81" s="31"/>
      <c r="C81" s="31"/>
      <c r="D81" s="31"/>
      <c r="E81" s="31"/>
      <c r="G81" s="31"/>
      <c r="H81" s="31"/>
      <c r="I81" s="31"/>
      <c r="J81" s="31"/>
    </row>
    <row r="82" customFormat="false" ht="14.25" hidden="false" customHeight="false" outlineLevel="0" collapsed="false">
      <c r="B82" s="31"/>
      <c r="C82" s="31"/>
      <c r="D82" s="31"/>
      <c r="E82" s="31"/>
      <c r="G82" s="31"/>
      <c r="H82" s="31"/>
      <c r="I82" s="31"/>
      <c r="J82" s="31"/>
    </row>
    <row r="83" customFormat="false" ht="14.25" hidden="false" customHeight="false" outlineLevel="0" collapsed="false">
      <c r="B83" s="31"/>
      <c r="C83" s="31"/>
      <c r="D83" s="31"/>
      <c r="E83" s="31"/>
      <c r="G83" s="31"/>
      <c r="H83" s="31"/>
      <c r="I83" s="31"/>
      <c r="J83" s="31"/>
    </row>
    <row r="84" customFormat="false" ht="14.25" hidden="false" customHeight="false" outlineLevel="0" collapsed="false">
      <c r="B84" s="31"/>
      <c r="C84" s="31"/>
      <c r="D84" s="31"/>
      <c r="E84" s="31"/>
      <c r="G84" s="31"/>
      <c r="H84" s="31"/>
      <c r="I84" s="31"/>
      <c r="J84" s="31"/>
    </row>
    <row r="85" customFormat="false" ht="14.25" hidden="false" customHeight="false" outlineLevel="0" collapsed="false">
      <c r="B85" s="31"/>
      <c r="C85" s="31"/>
      <c r="D85" s="31"/>
      <c r="E85" s="31"/>
      <c r="G85" s="31"/>
      <c r="H85" s="31"/>
      <c r="I85" s="31"/>
      <c r="J85" s="31"/>
    </row>
    <row r="86" customFormat="false" ht="14.25" hidden="false" customHeight="false" outlineLevel="0" collapsed="false">
      <c r="B86" s="31"/>
      <c r="C86" s="31"/>
      <c r="D86" s="31"/>
      <c r="E86" s="31"/>
      <c r="G86" s="31"/>
      <c r="H86" s="31"/>
      <c r="I86" s="31"/>
      <c r="J86" s="31"/>
    </row>
    <row r="87" customFormat="false" ht="14.25" hidden="false" customHeight="false" outlineLevel="0" collapsed="false">
      <c r="B87" s="31"/>
      <c r="C87" s="31"/>
      <c r="D87" s="31"/>
      <c r="E87" s="31"/>
      <c r="G87" s="31"/>
      <c r="H87" s="31"/>
      <c r="I87" s="31"/>
      <c r="J87" s="3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9">
      <formula>MAX($E$9:$E$23)</formula>
    </cfRule>
  </conditionalFormatting>
  <conditionalFormatting sqref="H14">
    <cfRule type="expression" priority="3" aboveAverage="0" equalAverage="0" bottom="0" percent="0" rank="0" text="" dxfId="10">
      <formula>LEN(TRIM(H14))=0</formula>
    </cfRule>
    <cfRule type="cellIs" priority="4" operator="equal" aboveAverage="0" equalAverage="0" bottom="0" percent="0" rank="0" text="" dxfId="11">
      <formula>0</formula>
    </cfRule>
  </conditionalFormatting>
  <conditionalFormatting sqref="H14:H15">
    <cfRule type="expression" priority="5" aboveAverage="0" equalAverage="0" bottom="0" percent="0" rank="0" text="" dxfId="12">
      <formula>LEN(TRIM(H14))=0</formula>
    </cfRule>
    <cfRule type="cellIs" priority="6" operator="equal" aboveAverage="0" equalAverage="0" bottom="0" percent="0" rank="0" text="" dxfId="13">
      <formula>0</formula>
    </cfRule>
  </conditionalFormatting>
  <conditionalFormatting sqref="H15:H16">
    <cfRule type="expression" priority="7" aboveAverage="0" equalAverage="0" bottom="0" percent="0" rank="0" text="" dxfId="14">
      <formula>LEN(TRIM(H15))=0</formula>
    </cfRule>
    <cfRule type="cellIs" priority="8" operator="equal" aboveAverage="0" equalAverage="0" bottom="0" percent="0" rank="0" text="" dxfId="15">
      <formula>0</formula>
    </cfRule>
  </conditionalFormatting>
  <conditionalFormatting sqref="H16:H17">
    <cfRule type="expression" priority="9" aboveAverage="0" equalAverage="0" bottom="0" percent="0" rank="0" text="" dxfId="16">
      <formula>LEN(TRIM(H16))=0</formula>
    </cfRule>
    <cfRule type="cellIs" priority="10" operator="equal" aboveAverage="0" equalAverage="0" bottom="0" percent="0" rank="0" text="" dxfId="17">
      <formula>0</formula>
    </cfRule>
  </conditionalFormatting>
  <conditionalFormatting sqref="H17:H18">
    <cfRule type="expression" priority="11" aboveAverage="0" equalAverage="0" bottom="0" percent="0" rank="0" text="" dxfId="18">
      <formula>LEN(TRIM(H17))=0</formula>
    </cfRule>
    <cfRule type="cellIs" priority="12" operator="equal" aboveAverage="0" equalAverage="0" bottom="0" percent="0" rank="0" text="" dxfId="19">
      <formula>0</formula>
    </cfRule>
  </conditionalFormatting>
  <conditionalFormatting sqref="H18">
    <cfRule type="expression" priority="13" aboveAverage="0" equalAverage="0" bottom="0" percent="0" rank="0" text="" dxfId="20">
      <formula>LEN(TRIM(H18))=0</formula>
    </cfRule>
    <cfRule type="cellIs" priority="14" operator="equal" aboveAverage="0" equalAverage="0" bottom="0" percent="0" rank="0" text="" dxfId="21">
      <formula>0</formula>
    </cfRule>
  </conditionalFormatting>
  <conditionalFormatting sqref="M9">
    <cfRule type="expression" priority="15" aboveAverage="0" equalAverage="0" bottom="0" percent="0" rank="0" text="" dxfId="22">
      <formula>LEN(TRIM(M9))=0</formula>
    </cfRule>
    <cfRule type="cellIs" priority="16" operator="equal" aboveAverage="0" equalAverage="0" bottom="0" percent="0" rank="0" text="" dxfId="23">
      <formula>0</formula>
    </cfRule>
    <cfRule type="expression" priority="17" aboveAverage="0" equalAverage="0" bottom="0" percent="0" rank="0" text="" dxfId="24">
      <formula>LEN(TRIM(M9))=0</formula>
    </cfRule>
    <cfRule type="cellIs" priority="18" operator="equal" aboveAverage="0" equalAverage="0" bottom="0" percent="0" rank="0" text="" dxfId="25">
      <formula>0</formula>
    </cfRule>
  </conditionalFormatting>
  <conditionalFormatting sqref="M11">
    <cfRule type="expression" priority="19" aboveAverage="0" equalAverage="0" bottom="0" percent="0" rank="0" text="" dxfId="26">
      <formula>LEN(TRIM(M11))=0</formula>
    </cfRule>
    <cfRule type="cellIs" priority="20" operator="equal" aboveAverage="0" equalAverage="0" bottom="0" percent="0" rank="0" text="" dxfId="27">
      <formula>0</formula>
    </cfRule>
  </conditionalFormatting>
  <conditionalFormatting sqref="M11:M12">
    <cfRule type="expression" priority="21" aboveAverage="0" equalAverage="0" bottom="0" percent="0" rank="0" text="" dxfId="28">
      <formula>LEN(TRIM(M11))=0</formula>
    </cfRule>
    <cfRule type="cellIs" priority="22" operator="equal" aboveAverage="0" equalAverage="0" bottom="0" percent="0" rank="0" text="" dxfId="29">
      <formula>0</formula>
    </cfRule>
  </conditionalFormatting>
  <conditionalFormatting sqref="M12">
    <cfRule type="expression" priority="23" aboveAverage="0" equalAverage="0" bottom="0" percent="0" rank="0" text="" dxfId="30">
      <formula>LEN(TRIM(M12))=0</formula>
    </cfRule>
    <cfRule type="cellIs" priority="24" operator="equal" aboveAverage="0" equalAverage="0" bottom="0" percent="0" rank="0" text="" dxfId="31">
      <formula>0</formula>
    </cfRule>
    <cfRule type="expression" priority="25" aboveAverage="0" equalAverage="0" bottom="0" percent="0" rank="0" text="" dxfId="32">
      <formula>LEN(TRIM(M12))=0</formula>
    </cfRule>
    <cfRule type="cellIs" priority="26" operator="equal" aboveAverage="0" equalAverage="0" bottom="0" percent="0" rank="0" text="" dxfId="33">
      <formula>0</formula>
    </cfRule>
    <cfRule type="expression" priority="27" aboveAverage="0" equalAverage="0" bottom="0" percent="0" rank="0" text="" dxfId="34">
      <formula>LEN(TRIM(M12))=0</formula>
    </cfRule>
    <cfRule type="cellIs" priority="28" operator="equal" aboveAverage="0" equalAverage="0" bottom="0" percent="0" rank="0" text="" dxfId="35">
      <formula>0</formula>
    </cfRule>
  </conditionalFormatting>
  <conditionalFormatting sqref="M13">
    <cfRule type="expression" priority="29" aboveAverage="0" equalAverage="0" bottom="0" percent="0" rank="0" text="" dxfId="36">
      <formula>LEN(TRIM(M13))=0</formula>
    </cfRule>
    <cfRule type="cellIs" priority="30" operator="equal" aboveAverage="0" equalAverage="0" bottom="0" percent="0" rank="0" text="" dxfId="37">
      <formula>0</formula>
    </cfRule>
  </conditionalFormatting>
  <conditionalFormatting sqref="M13:M14">
    <cfRule type="expression" priority="31" aboveAverage="0" equalAverage="0" bottom="0" percent="0" rank="0" text="" dxfId="38">
      <formula>LEN(TRIM(M13))=0</formula>
    </cfRule>
    <cfRule type="cellIs" priority="32" operator="equal" aboveAverage="0" equalAverage="0" bottom="0" percent="0" rank="0" text="" dxfId="39">
      <formula>0</formula>
    </cfRule>
  </conditionalFormatting>
  <conditionalFormatting sqref="M14:M15">
    <cfRule type="expression" priority="33" aboveAverage="0" equalAverage="0" bottom="0" percent="0" rank="0" text="" dxfId="40">
      <formula>LEN(TRIM(M14))=0</formula>
    </cfRule>
    <cfRule type="cellIs" priority="34" operator="equal" aboveAverage="0" equalAverage="0" bottom="0" percent="0" rank="0" text="" dxfId="41">
      <formula>0</formula>
    </cfRule>
  </conditionalFormatting>
  <conditionalFormatting sqref="M15:M16">
    <cfRule type="expression" priority="35" aboveAverage="0" equalAverage="0" bottom="0" percent="0" rank="0" text="" dxfId="42">
      <formula>LEN(TRIM(M15))=0</formula>
    </cfRule>
    <cfRule type="cellIs" priority="36" operator="equal" aboveAverage="0" equalAverage="0" bottom="0" percent="0" rank="0" text="" dxfId="43">
      <formula>0</formula>
    </cfRule>
  </conditionalFormatting>
  <conditionalFormatting sqref="M16:M17">
    <cfRule type="expression" priority="37" aboveAverage="0" equalAverage="0" bottom="0" percent="0" rank="0" text="" dxfId="44">
      <formula>LEN(TRIM(M16))=0</formula>
    </cfRule>
    <cfRule type="cellIs" priority="38" operator="equal" aboveAverage="0" equalAverage="0" bottom="0" percent="0" rank="0" text="" dxfId="45">
      <formula>0</formula>
    </cfRule>
  </conditionalFormatting>
  <conditionalFormatting sqref="M17:M18">
    <cfRule type="expression" priority="39" aboveAverage="0" equalAverage="0" bottom="0" percent="0" rank="0" text="" dxfId="46">
      <formula>LEN(TRIM(M17))=0</formula>
    </cfRule>
    <cfRule type="cellIs" priority="40" operator="equal" aboveAverage="0" equalAverage="0" bottom="0" percent="0" rank="0" text="" dxfId="47">
      <formula>0</formula>
    </cfRule>
  </conditionalFormatting>
  <conditionalFormatting sqref="M18">
    <cfRule type="expression" priority="41" aboveAverage="0" equalAverage="0" bottom="0" percent="0" rank="0" text="" dxfId="48">
      <formula>LEN(TRIM(M18))=0</formula>
    </cfRule>
    <cfRule type="cellIs" priority="42" operator="equal" aboveAverage="0" equalAverage="0" bottom="0" percent="0" rank="0" text="" dxfId="49">
      <formula>0</formula>
    </cfRule>
  </conditionalFormatting>
  <conditionalFormatting sqref="R10">
    <cfRule type="expression" priority="43" aboveAverage="0" equalAverage="0" bottom="0" percent="0" rank="0" text="" dxfId="50">
      <formula>LEN(TRIM(R10))=0</formula>
    </cfRule>
    <cfRule type="cellIs" priority="44" operator="equal" aboveAverage="0" equalAverage="0" bottom="0" percent="0" rank="0" text="" dxfId="51">
      <formula>0</formula>
    </cfRule>
  </conditionalFormatting>
  <conditionalFormatting sqref="R10:R11">
    <cfRule type="expression" priority="45" aboveAverage="0" equalAverage="0" bottom="0" percent="0" rank="0" text="" dxfId="52">
      <formula>LEN(TRIM(R10))=0</formula>
    </cfRule>
    <cfRule type="cellIs" priority="46" operator="equal" aboveAverage="0" equalAverage="0" bottom="0" percent="0" rank="0" text="" dxfId="53">
      <formula>0</formula>
    </cfRule>
  </conditionalFormatting>
  <conditionalFormatting sqref="R11:R12">
    <cfRule type="expression" priority="47" aboveAverage="0" equalAverage="0" bottom="0" percent="0" rank="0" text="" dxfId="54">
      <formula>LEN(TRIM(R11))=0</formula>
    </cfRule>
    <cfRule type="cellIs" priority="48" operator="equal" aboveAverage="0" equalAverage="0" bottom="0" percent="0" rank="0" text="" dxfId="55">
      <formula>0</formula>
    </cfRule>
  </conditionalFormatting>
  <conditionalFormatting sqref="R12">
    <cfRule type="expression" priority="49" aboveAverage="0" equalAverage="0" bottom="0" percent="0" rank="0" text="" dxfId="56">
      <formula>LEN(TRIM(R12))=0</formula>
    </cfRule>
    <cfRule type="cellIs" priority="50" operator="equal" aboveAverage="0" equalAverage="0" bottom="0" percent="0" rank="0" text="" dxfId="57">
      <formula>0</formula>
    </cfRule>
    <cfRule type="expression" priority="51" aboveAverage="0" equalAverage="0" bottom="0" percent="0" rank="0" text="" dxfId="58">
      <formula>LEN(TRIM(R12))=0</formula>
    </cfRule>
    <cfRule type="cellIs" priority="52" operator="equal" aboveAverage="0" equalAverage="0" bottom="0" percent="0" rank="0" text="" dxfId="59">
      <formula>0</formula>
    </cfRule>
    <cfRule type="expression" priority="53" aboveAverage="0" equalAverage="0" bottom="0" percent="0" rank="0" text="" dxfId="60">
      <formula>LEN(TRIM(R12))=0</formula>
    </cfRule>
    <cfRule type="cellIs" priority="54" operator="equal" aboveAverage="0" equalAverage="0" bottom="0" percent="0" rank="0" text="" dxfId="61">
      <formula>0</formula>
    </cfRule>
  </conditionalFormatting>
  <conditionalFormatting sqref="R13">
    <cfRule type="expression" priority="55" aboveAverage="0" equalAverage="0" bottom="0" percent="0" rank="0" text="" dxfId="62">
      <formula>LEN(TRIM(R13))=0</formula>
    </cfRule>
    <cfRule type="cellIs" priority="56" operator="equal" aboveAverage="0" equalAverage="0" bottom="0" percent="0" rank="0" text="" dxfId="63">
      <formula>0</formula>
    </cfRule>
  </conditionalFormatting>
  <conditionalFormatting sqref="R13:R14">
    <cfRule type="expression" priority="57" aboveAverage="0" equalAverage="0" bottom="0" percent="0" rank="0" text="" dxfId="64">
      <formula>LEN(TRIM(R13))=0</formula>
    </cfRule>
    <cfRule type="cellIs" priority="58" operator="equal" aboveAverage="0" equalAverage="0" bottom="0" percent="0" rank="0" text="" dxfId="65">
      <formula>0</formula>
    </cfRule>
  </conditionalFormatting>
  <conditionalFormatting sqref="R14">
    <cfRule type="expression" priority="59" aboveAverage="0" equalAverage="0" bottom="0" percent="0" rank="0" text="" dxfId="66">
      <formula>LEN(TRIM(R14))=0</formula>
    </cfRule>
    <cfRule type="cellIs" priority="60" operator="equal" aboveAverage="0" equalAverage="0" bottom="0" percent="0" rank="0" text="" dxfId="67">
      <formula>0</formula>
    </cfRule>
  </conditionalFormatting>
  <conditionalFormatting sqref="W10">
    <cfRule type="expression" priority="61" aboveAverage="0" equalAverage="0" bottom="0" percent="0" rank="0" text="" dxfId="68">
      <formula>LEN(TRIM(W10))=0</formula>
    </cfRule>
    <cfRule type="cellIs" priority="62" operator="equal" aboveAverage="0" equalAverage="0" bottom="0" percent="0" rank="0" text="" dxfId="69">
      <formula>0</formula>
    </cfRule>
    <cfRule type="expression" priority="63" aboveAverage="0" equalAverage="0" bottom="0" percent="0" rank="0" text="" dxfId="70">
      <formula>LEN(TRIM(W10))=0</formula>
    </cfRule>
    <cfRule type="cellIs" priority="64" operator="equal" aboveAverage="0" equalAverage="0" bottom="0" percent="0" rank="0" text="" dxfId="71">
      <formula>0</formula>
    </cfRule>
  </conditionalFormatting>
  <conditionalFormatting sqref="W13:W14">
    <cfRule type="expression" priority="65" aboveAverage="0" equalAverage="0" bottom="0" percent="0" rank="0" text="" dxfId="72">
      <formula>LEN(TRIM(W13))=0</formula>
    </cfRule>
    <cfRule type="cellIs" priority="66" operator="equal" aboveAverage="0" equalAverage="0" bottom="0" percent="0" rank="0" text="" dxfId="73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9.1796875" defaultRowHeight="14.25" zeroHeight="false" outlineLevelRow="0" outlineLevelCol="0"/>
  <cols>
    <col collapsed="false" customWidth="true" hidden="false" outlineLevel="0" max="1" min="1" style="83" width="4.18"/>
    <col collapsed="false" customWidth="false" hidden="false" outlineLevel="0" max="2" min="2" style="83" width="9.18"/>
    <col collapsed="false" customWidth="true" hidden="false" outlineLevel="0" max="23" min="3" style="83" width="6.73"/>
    <col collapsed="false" customWidth="false" hidden="false" outlineLevel="0" max="1024" min="24" style="83" width="9.18"/>
  </cols>
  <sheetData>
    <row r="1" customFormat="false" ht="15" hidden="false" customHeight="false" outlineLevel="0" collapsed="false">
      <c r="A1" s="84"/>
      <c r="B1" s="84"/>
      <c r="C1" s="85" t="s">
        <v>144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customFormat="false" ht="15" hidden="false" customHeight="false" outlineLevel="0" collapsed="false">
      <c r="A2" s="84"/>
      <c r="B2" s="84"/>
      <c r="C2" s="86" t="str">
        <f aca="false">Neu!$B4</f>
        <v>A</v>
      </c>
      <c r="D2" s="87" t="s">
        <v>6</v>
      </c>
      <c r="E2" s="87"/>
      <c r="F2" s="87" t="n">
        <f aca="false">Neu!$B7</f>
        <v>0</v>
      </c>
      <c r="G2" s="87" t="n">
        <f aca="false">Neu!$B8</f>
        <v>0</v>
      </c>
      <c r="H2" s="87" t="n">
        <f aca="false">Neu!$B9</f>
        <v>0</v>
      </c>
      <c r="I2" s="87" t="n">
        <f aca="false">Neu!$B10</f>
        <v>0</v>
      </c>
      <c r="J2" s="87" t="n">
        <f aca="false">Neu!$B11</f>
        <v>0</v>
      </c>
      <c r="K2" s="87" t="n">
        <f aca="false">Neu!$B12</f>
        <v>0</v>
      </c>
      <c r="L2" s="87" t="n">
        <f aca="false">Neu!$B13</f>
        <v>0</v>
      </c>
      <c r="M2" s="87" t="n">
        <f aca="false">Neu!$B14</f>
        <v>0</v>
      </c>
      <c r="N2" s="87" t="n">
        <f aca="false">Neu!$B15</f>
        <v>0</v>
      </c>
      <c r="O2" s="87" t="n">
        <f aca="false">Neu!$B16</f>
        <v>0</v>
      </c>
      <c r="P2" s="87" t="n">
        <f aca="false">Neu!$B17</f>
        <v>0</v>
      </c>
      <c r="Q2" s="87" t="n">
        <f aca="false">Neu!$B18</f>
        <v>0</v>
      </c>
      <c r="R2" s="87" t="n">
        <f aca="false">Neu!$B19</f>
        <v>0</v>
      </c>
      <c r="S2" s="87" t="n">
        <f aca="false">Neu!$B20</f>
        <v>0</v>
      </c>
      <c r="T2" s="87" t="n">
        <f aca="false">Neu!$B21</f>
        <v>0</v>
      </c>
      <c r="U2" s="87" t="n">
        <f aca="false">Neu!$B22</f>
        <v>0</v>
      </c>
      <c r="V2" s="87" t="n">
        <f aca="false">Neu!$B23</f>
        <v>0</v>
      </c>
      <c r="W2" s="88" t="n">
        <f aca="false">Neu!$B24</f>
        <v>0</v>
      </c>
    </row>
    <row r="3" customFormat="false" ht="14.25" hidden="false" customHeight="true" outlineLevel="0" collapsed="false">
      <c r="A3" s="89" t="s">
        <v>145</v>
      </c>
      <c r="B3" s="52" t="str">
        <f aca="false">Neu!B4</f>
        <v>A</v>
      </c>
      <c r="C3" s="90"/>
      <c r="D3" s="91" t="n">
        <v>0.01</v>
      </c>
      <c r="E3" s="91"/>
      <c r="F3" s="91"/>
      <c r="G3" s="91"/>
      <c r="H3" s="92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91"/>
      <c r="U3" s="91"/>
      <c r="V3" s="91"/>
      <c r="W3" s="93"/>
      <c r="X3" s="94" t="s">
        <v>146</v>
      </c>
      <c r="Y3" s="83" t="s">
        <v>147</v>
      </c>
      <c r="Z3" s="95"/>
      <c r="AA3" s="95"/>
      <c r="AB3" s="95"/>
      <c r="AC3" s="95"/>
      <c r="AD3" s="95"/>
    </row>
    <row r="4" customFormat="false" ht="14.25" hidden="false" customHeight="true" outlineLevel="0" collapsed="false">
      <c r="A4" s="89"/>
      <c r="B4" s="52"/>
      <c r="C4" s="96"/>
      <c r="D4" s="97"/>
      <c r="E4" s="97"/>
      <c r="F4" s="97"/>
      <c r="G4" s="97"/>
      <c r="H4" s="98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97"/>
      <c r="U4" s="97"/>
      <c r="V4" s="97"/>
      <c r="W4" s="99"/>
      <c r="X4" s="94" t="s">
        <v>148</v>
      </c>
      <c r="Y4" s="100" t="n">
        <f aca="false">MAX($C$3:$W$44)-(ROW(Y4)-4)*0.5</f>
        <v>0.05</v>
      </c>
      <c r="Z4" s="95"/>
      <c r="AA4" s="95"/>
      <c r="AB4" s="95"/>
      <c r="AC4" s="95"/>
      <c r="AD4" s="95"/>
    </row>
    <row r="5" customFormat="false" ht="14.25" hidden="false" customHeight="true" outlineLevel="0" collapsed="false">
      <c r="A5" s="89"/>
      <c r="B5" s="101" t="s">
        <v>6</v>
      </c>
      <c r="C5" s="102" t="n">
        <v>0.05</v>
      </c>
      <c r="D5" s="103"/>
      <c r="E5" s="104"/>
      <c r="F5" s="104"/>
      <c r="G5" s="104"/>
      <c r="H5" s="105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5"/>
      <c r="T5" s="104"/>
      <c r="U5" s="104"/>
      <c r="V5" s="104"/>
      <c r="W5" s="106"/>
      <c r="X5" s="95"/>
      <c r="Y5" s="100" t="n">
        <f aca="false">MAX($C$3:$W$44)-(ROW(Y5)-4)*0.5</f>
        <v>-0.45</v>
      </c>
      <c r="Z5" s="95"/>
      <c r="AA5" s="95"/>
      <c r="AB5" s="95"/>
      <c r="AC5" s="95"/>
      <c r="AD5" s="95"/>
    </row>
    <row r="6" customFormat="false" ht="14.25" hidden="false" customHeight="true" outlineLevel="0" collapsed="false">
      <c r="A6" s="89"/>
      <c r="B6" s="101"/>
      <c r="C6" s="107"/>
      <c r="D6" s="108"/>
      <c r="E6" s="109"/>
      <c r="F6" s="109"/>
      <c r="G6" s="109"/>
      <c r="H6" s="110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10"/>
      <c r="T6" s="109"/>
      <c r="U6" s="109"/>
      <c r="V6" s="109"/>
      <c r="W6" s="111"/>
      <c r="X6" s="95"/>
      <c r="Y6" s="100" t="n">
        <f aca="false">MAX($C$3:$W$44)-(ROW(Y6)-4)*0.5</f>
        <v>-0.95</v>
      </c>
      <c r="Z6" s="95"/>
      <c r="AA6" s="95"/>
      <c r="AB6" s="95"/>
      <c r="AC6" s="95"/>
      <c r="AD6" s="95"/>
    </row>
    <row r="7" customFormat="false" ht="14.25" hidden="false" customHeight="true" outlineLevel="0" collapsed="false">
      <c r="A7" s="89"/>
      <c r="B7" s="101"/>
      <c r="C7" s="102"/>
      <c r="D7" s="104"/>
      <c r="E7" s="103"/>
      <c r="F7" s="104"/>
      <c r="G7" s="104"/>
      <c r="H7" s="105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5"/>
      <c r="T7" s="104"/>
      <c r="U7" s="104"/>
      <c r="V7" s="104"/>
      <c r="W7" s="106"/>
      <c r="X7" s="95"/>
      <c r="Y7" s="100" t="n">
        <f aca="false">MAX($C$3:$W$44)-(ROW(Y7)-4)*0.5</f>
        <v>-1.45</v>
      </c>
      <c r="Z7" s="95"/>
      <c r="AA7" s="95"/>
      <c r="AB7" s="95"/>
      <c r="AC7" s="95"/>
      <c r="AD7" s="95"/>
    </row>
    <row r="8" customFormat="false" ht="14.25" hidden="false" customHeight="true" outlineLevel="0" collapsed="false">
      <c r="A8" s="89"/>
      <c r="B8" s="101"/>
      <c r="C8" s="107"/>
      <c r="D8" s="109"/>
      <c r="E8" s="108"/>
      <c r="F8" s="109"/>
      <c r="G8" s="109"/>
      <c r="H8" s="110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10"/>
      <c r="T8" s="109"/>
      <c r="U8" s="109"/>
      <c r="V8" s="109"/>
      <c r="W8" s="111"/>
      <c r="X8" s="95"/>
      <c r="Y8" s="100" t="n">
        <f aca="false">MAX($C$3:$W$44)-(ROW(Y8)-4)*0.5</f>
        <v>-1.95</v>
      </c>
      <c r="Z8" s="95"/>
      <c r="AA8" s="95"/>
      <c r="AB8" s="95"/>
      <c r="AC8" s="95"/>
      <c r="AD8" s="95"/>
    </row>
    <row r="9" customFormat="false" ht="14.25" hidden="false" customHeight="true" outlineLevel="0" collapsed="false">
      <c r="A9" s="89"/>
      <c r="B9" s="101" t="n">
        <f aca="false">Neu!B7</f>
        <v>0</v>
      </c>
      <c r="C9" s="102"/>
      <c r="D9" s="104"/>
      <c r="E9" s="104"/>
      <c r="F9" s="103"/>
      <c r="G9" s="104"/>
      <c r="H9" s="105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/>
      <c r="T9" s="104"/>
      <c r="U9" s="104"/>
      <c r="V9" s="104"/>
      <c r="W9" s="106"/>
      <c r="X9" s="95"/>
      <c r="Y9" s="100" t="n">
        <f aca="false">MAX($C$3:$W$44)-(ROW(Y9)-4)*0.5</f>
        <v>-2.45</v>
      </c>
      <c r="Z9" s="95"/>
      <c r="AA9" s="95"/>
      <c r="AB9" s="95"/>
      <c r="AC9" s="95"/>
      <c r="AD9" s="95"/>
    </row>
    <row r="10" customFormat="false" ht="14.25" hidden="false" customHeight="true" outlineLevel="0" collapsed="false">
      <c r="A10" s="89"/>
      <c r="B10" s="101"/>
      <c r="C10" s="107"/>
      <c r="D10" s="109"/>
      <c r="E10" s="109"/>
      <c r="F10" s="108"/>
      <c r="G10" s="109"/>
      <c r="H10" s="110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10"/>
      <c r="T10" s="109"/>
      <c r="U10" s="109"/>
      <c r="V10" s="109"/>
      <c r="W10" s="111"/>
      <c r="X10" s="95"/>
      <c r="Y10" s="100" t="n">
        <f aca="false">MAX($C$3:$W$44)-(ROW(Y10)-4)*0.5</f>
        <v>-2.95</v>
      </c>
      <c r="Z10" s="95"/>
      <c r="AA10" s="95"/>
      <c r="AB10" s="95"/>
      <c r="AC10" s="95"/>
      <c r="AD10" s="95"/>
    </row>
    <row r="11" customFormat="false" ht="14.25" hidden="false" customHeight="true" outlineLevel="0" collapsed="false">
      <c r="A11" s="89"/>
      <c r="B11" s="101" t="n">
        <f aca="false">Neu!B8</f>
        <v>0</v>
      </c>
      <c r="C11" s="102"/>
      <c r="D11" s="104"/>
      <c r="E11" s="104"/>
      <c r="F11" s="104"/>
      <c r="G11" s="103"/>
      <c r="H11" s="105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5"/>
      <c r="T11" s="104"/>
      <c r="U11" s="104"/>
      <c r="V11" s="104"/>
      <c r="W11" s="106"/>
      <c r="X11" s="95"/>
      <c r="Y11" s="100" t="n">
        <f aca="false">MAX($C$3:$W$44)-(ROW(Y11)-4)*0.5</f>
        <v>-3.45</v>
      </c>
      <c r="Z11" s="95"/>
      <c r="AA11" s="95"/>
      <c r="AB11" s="95"/>
      <c r="AC11" s="95"/>
      <c r="AD11" s="95"/>
    </row>
    <row r="12" customFormat="false" ht="14.25" hidden="false" customHeight="true" outlineLevel="0" collapsed="false">
      <c r="A12" s="89"/>
      <c r="B12" s="101"/>
      <c r="C12" s="107"/>
      <c r="D12" s="109"/>
      <c r="E12" s="109"/>
      <c r="F12" s="109"/>
      <c r="G12" s="108"/>
      <c r="H12" s="110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10"/>
      <c r="T12" s="109"/>
      <c r="U12" s="109"/>
      <c r="V12" s="109"/>
      <c r="W12" s="111"/>
      <c r="X12" s="95"/>
      <c r="Y12" s="100" t="n">
        <f aca="false">MAX($C$3:$W$44)-(ROW(Y12)-4)*0.5</f>
        <v>-3.95</v>
      </c>
      <c r="Z12" s="95"/>
      <c r="AA12" s="95"/>
      <c r="AB12" s="95"/>
      <c r="AC12" s="95"/>
      <c r="AD12" s="95"/>
    </row>
    <row r="13" customFormat="false" ht="14.25" hidden="false" customHeight="true" outlineLevel="0" collapsed="false">
      <c r="A13" s="89"/>
      <c r="B13" s="101" t="n">
        <f aca="false">Neu!B9</f>
        <v>0</v>
      </c>
      <c r="C13" s="102"/>
      <c r="D13" s="104"/>
      <c r="E13" s="104"/>
      <c r="F13" s="104"/>
      <c r="G13" s="104"/>
      <c r="H13" s="112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5"/>
      <c r="T13" s="104"/>
      <c r="U13" s="104"/>
      <c r="V13" s="104"/>
      <c r="W13" s="106"/>
      <c r="X13" s="95"/>
      <c r="Y13" s="100" t="n">
        <f aca="false">MAX($C$3:$W$44)-(ROW(Y13)-4)*0.5</f>
        <v>-4.45</v>
      </c>
      <c r="Z13" s="95"/>
      <c r="AA13" s="95"/>
      <c r="AB13" s="95"/>
      <c r="AC13" s="95"/>
      <c r="AD13" s="95"/>
    </row>
    <row r="14" customFormat="false" ht="14.25" hidden="false" customHeight="true" outlineLevel="0" collapsed="false">
      <c r="A14" s="89"/>
      <c r="B14" s="101"/>
      <c r="C14" s="113"/>
      <c r="D14" s="97"/>
      <c r="E14" s="97"/>
      <c r="F14" s="97"/>
      <c r="G14" s="97"/>
      <c r="H14" s="114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8"/>
      <c r="T14" s="97"/>
      <c r="U14" s="97"/>
      <c r="V14" s="97"/>
      <c r="W14" s="99"/>
      <c r="X14" s="95"/>
      <c r="Y14" s="100" t="n">
        <f aca="false">MAX($C$3:$W$44)-(ROW(Y14)-4)*0.5</f>
        <v>-4.95</v>
      </c>
      <c r="Z14" s="95"/>
      <c r="AA14" s="95"/>
      <c r="AB14" s="95"/>
      <c r="AC14" s="95"/>
      <c r="AD14" s="95"/>
    </row>
    <row r="15" customFormat="false" ht="14.25" hidden="false" customHeight="true" outlineLevel="0" collapsed="false">
      <c r="A15" s="89"/>
      <c r="B15" s="101" t="n">
        <f aca="false">Neu!B10</f>
        <v>0</v>
      </c>
      <c r="C15" s="102"/>
      <c r="D15" s="104"/>
      <c r="E15" s="104"/>
      <c r="F15" s="104"/>
      <c r="G15" s="104"/>
      <c r="H15" s="105"/>
      <c r="I15" s="103"/>
      <c r="J15" s="104"/>
      <c r="K15" s="104"/>
      <c r="L15" s="104"/>
      <c r="M15" s="104"/>
      <c r="N15" s="104"/>
      <c r="O15" s="104"/>
      <c r="P15" s="104"/>
      <c r="Q15" s="104"/>
      <c r="R15" s="104"/>
      <c r="S15" s="105"/>
      <c r="T15" s="104"/>
      <c r="U15" s="104"/>
      <c r="V15" s="104"/>
      <c r="W15" s="106"/>
      <c r="X15" s="95"/>
      <c r="Y15" s="100" t="n">
        <f aca="false">MAX($C$3:$W$44)-(ROW(Y15)-4)*0.5</f>
        <v>-5.45</v>
      </c>
      <c r="Z15" s="95"/>
      <c r="AA15" s="95"/>
      <c r="AB15" s="95"/>
      <c r="AC15" s="95"/>
      <c r="AD15" s="95"/>
    </row>
    <row r="16" customFormat="false" ht="14.25" hidden="false" customHeight="true" outlineLevel="0" collapsed="false">
      <c r="A16" s="89"/>
      <c r="B16" s="101"/>
      <c r="C16" s="107"/>
      <c r="D16" s="109"/>
      <c r="E16" s="109"/>
      <c r="F16" s="109"/>
      <c r="G16" s="109"/>
      <c r="H16" s="110"/>
      <c r="I16" s="108"/>
      <c r="J16" s="109"/>
      <c r="K16" s="109"/>
      <c r="L16" s="109"/>
      <c r="M16" s="109"/>
      <c r="N16" s="109"/>
      <c r="O16" s="109"/>
      <c r="P16" s="109"/>
      <c r="Q16" s="109"/>
      <c r="R16" s="109"/>
      <c r="S16" s="110"/>
      <c r="T16" s="109"/>
      <c r="U16" s="109"/>
      <c r="V16" s="109"/>
      <c r="W16" s="111"/>
      <c r="X16" s="95"/>
      <c r="Y16" s="100" t="n">
        <f aca="false">MAX($C$3:$W$44)-(ROW(Y16)-4)*0.5</f>
        <v>-5.95</v>
      </c>
      <c r="Z16" s="95"/>
      <c r="AA16" s="95"/>
      <c r="AB16" s="95"/>
      <c r="AC16" s="95"/>
      <c r="AD16" s="95"/>
    </row>
    <row r="17" customFormat="false" ht="14.25" hidden="false" customHeight="true" outlineLevel="0" collapsed="false">
      <c r="A17" s="89"/>
      <c r="B17" s="101" t="n">
        <f aca="false">Neu!B11</f>
        <v>0</v>
      </c>
      <c r="C17" s="102"/>
      <c r="D17" s="104"/>
      <c r="E17" s="104"/>
      <c r="F17" s="104"/>
      <c r="G17" s="104"/>
      <c r="H17" s="105"/>
      <c r="I17" s="104"/>
      <c r="J17" s="103"/>
      <c r="K17" s="104"/>
      <c r="L17" s="104"/>
      <c r="M17" s="104"/>
      <c r="N17" s="104"/>
      <c r="O17" s="104"/>
      <c r="P17" s="104"/>
      <c r="Q17" s="104"/>
      <c r="R17" s="104"/>
      <c r="S17" s="105"/>
      <c r="T17" s="104"/>
      <c r="U17" s="104"/>
      <c r="V17" s="104"/>
      <c r="W17" s="106"/>
      <c r="X17" s="95"/>
      <c r="Y17" s="100" t="n">
        <f aca="false">MAX($C$3:$W$44)-(ROW(Y17)-4)*0.5</f>
        <v>-6.45</v>
      </c>
      <c r="Z17" s="95"/>
      <c r="AA17" s="95"/>
      <c r="AB17" s="95"/>
      <c r="AC17" s="95"/>
      <c r="AD17" s="95"/>
    </row>
    <row r="18" customFormat="false" ht="14.25" hidden="false" customHeight="true" outlineLevel="0" collapsed="false">
      <c r="A18" s="89"/>
      <c r="B18" s="101"/>
      <c r="C18" s="107"/>
      <c r="D18" s="109"/>
      <c r="E18" s="109"/>
      <c r="F18" s="109"/>
      <c r="G18" s="109"/>
      <c r="H18" s="110"/>
      <c r="I18" s="109"/>
      <c r="J18" s="108"/>
      <c r="K18" s="109"/>
      <c r="L18" s="109"/>
      <c r="M18" s="109"/>
      <c r="N18" s="109"/>
      <c r="O18" s="109"/>
      <c r="P18" s="109"/>
      <c r="Q18" s="109"/>
      <c r="R18" s="109"/>
      <c r="S18" s="110"/>
      <c r="T18" s="109"/>
      <c r="U18" s="109"/>
      <c r="V18" s="109"/>
      <c r="W18" s="111"/>
      <c r="X18" s="95"/>
      <c r="Y18" s="100" t="n">
        <f aca="false">MAX($C$3:$W$44)-(ROW(Y18)-4)*0.5</f>
        <v>-6.95</v>
      </c>
      <c r="Z18" s="95"/>
      <c r="AA18" s="95"/>
      <c r="AB18" s="95"/>
      <c r="AC18" s="95"/>
      <c r="AD18" s="95"/>
    </row>
    <row r="19" customFormat="false" ht="14.25" hidden="false" customHeight="true" outlineLevel="0" collapsed="false">
      <c r="A19" s="89"/>
      <c r="B19" s="101" t="n">
        <f aca="false">Neu!B12</f>
        <v>0</v>
      </c>
      <c r="C19" s="102"/>
      <c r="D19" s="104"/>
      <c r="E19" s="104"/>
      <c r="F19" s="104"/>
      <c r="G19" s="104"/>
      <c r="H19" s="105"/>
      <c r="I19" s="104"/>
      <c r="J19" s="104"/>
      <c r="K19" s="103"/>
      <c r="L19" s="104"/>
      <c r="M19" s="104"/>
      <c r="N19" s="104"/>
      <c r="O19" s="104"/>
      <c r="P19" s="104"/>
      <c r="Q19" s="104"/>
      <c r="R19" s="104"/>
      <c r="S19" s="105"/>
      <c r="T19" s="104"/>
      <c r="U19" s="104"/>
      <c r="V19" s="104"/>
      <c r="W19" s="106"/>
      <c r="X19" s="95"/>
      <c r="Y19" s="100" t="n">
        <f aca="false">MAX($C$3:$W$44)-(ROW(Y19)-4)*0.5</f>
        <v>-7.45</v>
      </c>
      <c r="Z19" s="95"/>
      <c r="AA19" s="95"/>
      <c r="AB19" s="95"/>
      <c r="AC19" s="95"/>
      <c r="AD19" s="95"/>
    </row>
    <row r="20" customFormat="false" ht="14.25" hidden="false" customHeight="true" outlineLevel="0" collapsed="false">
      <c r="A20" s="89"/>
      <c r="B20" s="101"/>
      <c r="C20" s="107"/>
      <c r="D20" s="109"/>
      <c r="E20" s="109"/>
      <c r="F20" s="109"/>
      <c r="G20" s="109"/>
      <c r="H20" s="110"/>
      <c r="I20" s="109"/>
      <c r="J20" s="109"/>
      <c r="K20" s="108"/>
      <c r="L20" s="109"/>
      <c r="M20" s="109"/>
      <c r="N20" s="109"/>
      <c r="O20" s="109"/>
      <c r="P20" s="109"/>
      <c r="Q20" s="109"/>
      <c r="R20" s="109"/>
      <c r="S20" s="110"/>
      <c r="T20" s="109"/>
      <c r="U20" s="109"/>
      <c r="V20" s="109"/>
      <c r="W20" s="111"/>
      <c r="X20" s="95"/>
      <c r="Y20" s="100" t="n">
        <f aca="false">MAX($C$3:$W$44)-(ROW(Y20)-4)*0.5</f>
        <v>-7.95</v>
      </c>
      <c r="Z20" s="95"/>
      <c r="AA20" s="95"/>
      <c r="AB20" s="95"/>
      <c r="AC20" s="95"/>
      <c r="AD20" s="95"/>
    </row>
    <row r="21" customFormat="false" ht="14.25" hidden="false" customHeight="true" outlineLevel="0" collapsed="false">
      <c r="A21" s="89"/>
      <c r="B21" s="101" t="n">
        <f aca="false">Neu!B13</f>
        <v>0</v>
      </c>
      <c r="C21" s="102"/>
      <c r="D21" s="104"/>
      <c r="E21" s="104"/>
      <c r="F21" s="104"/>
      <c r="G21" s="104"/>
      <c r="H21" s="105"/>
      <c r="I21" s="104"/>
      <c r="J21" s="104"/>
      <c r="K21" s="104"/>
      <c r="L21" s="103"/>
      <c r="M21" s="104"/>
      <c r="N21" s="104"/>
      <c r="O21" s="104"/>
      <c r="P21" s="104"/>
      <c r="Q21" s="104"/>
      <c r="R21" s="104"/>
      <c r="S21" s="105"/>
      <c r="T21" s="104"/>
      <c r="U21" s="104"/>
      <c r="V21" s="104"/>
      <c r="W21" s="106"/>
      <c r="X21" s="95"/>
      <c r="Y21" s="100" t="n">
        <f aca="false">MAX($C$3:$W$44)-(ROW(Y21)-4)*0.5</f>
        <v>-8.45</v>
      </c>
      <c r="Z21" s="95"/>
      <c r="AA21" s="95"/>
      <c r="AB21" s="95"/>
      <c r="AC21" s="95"/>
      <c r="AD21" s="95"/>
    </row>
    <row r="22" customFormat="false" ht="14.25" hidden="false" customHeight="true" outlineLevel="0" collapsed="false">
      <c r="A22" s="89"/>
      <c r="B22" s="101"/>
      <c r="C22" s="107"/>
      <c r="D22" s="109"/>
      <c r="E22" s="109"/>
      <c r="F22" s="109"/>
      <c r="G22" s="109"/>
      <c r="H22" s="110"/>
      <c r="I22" s="109"/>
      <c r="J22" s="109"/>
      <c r="K22" s="109"/>
      <c r="L22" s="108"/>
      <c r="M22" s="109"/>
      <c r="N22" s="109"/>
      <c r="O22" s="109"/>
      <c r="P22" s="109"/>
      <c r="Q22" s="109"/>
      <c r="R22" s="109"/>
      <c r="S22" s="110"/>
      <c r="T22" s="109"/>
      <c r="U22" s="109"/>
      <c r="V22" s="109"/>
      <c r="W22" s="111"/>
      <c r="X22" s="95"/>
      <c r="Y22" s="100" t="n">
        <f aca="false">MAX($C$3:$W$44)-(ROW(Y22)-4)*0.5</f>
        <v>-8.95</v>
      </c>
      <c r="Z22" s="95"/>
      <c r="AA22" s="95"/>
      <c r="AB22" s="95"/>
      <c r="AC22" s="95"/>
      <c r="AD22" s="95"/>
    </row>
    <row r="23" customFormat="false" ht="14.25" hidden="false" customHeight="true" outlineLevel="0" collapsed="false">
      <c r="A23" s="89"/>
      <c r="B23" s="101" t="n">
        <f aca="false">Neu!B14</f>
        <v>0</v>
      </c>
      <c r="C23" s="102"/>
      <c r="D23" s="104"/>
      <c r="E23" s="104"/>
      <c r="F23" s="104"/>
      <c r="G23" s="104"/>
      <c r="H23" s="105"/>
      <c r="I23" s="104"/>
      <c r="J23" s="104"/>
      <c r="K23" s="104"/>
      <c r="L23" s="104"/>
      <c r="M23" s="103"/>
      <c r="N23" s="104"/>
      <c r="O23" s="104"/>
      <c r="P23" s="104"/>
      <c r="Q23" s="104"/>
      <c r="R23" s="104"/>
      <c r="S23" s="105"/>
      <c r="T23" s="104"/>
      <c r="U23" s="104"/>
      <c r="V23" s="104"/>
      <c r="W23" s="106"/>
      <c r="X23" s="95"/>
      <c r="Y23" s="100" t="n">
        <f aca="false">MAX($C$3:$W$44)-(ROW(Y23)-4)*0.5</f>
        <v>-9.45</v>
      </c>
      <c r="Z23" s="95"/>
      <c r="AA23" s="95"/>
      <c r="AB23" s="95"/>
      <c r="AC23" s="95"/>
      <c r="AD23" s="95"/>
    </row>
    <row r="24" customFormat="false" ht="14.25" hidden="false" customHeight="true" outlineLevel="0" collapsed="false">
      <c r="A24" s="89"/>
      <c r="B24" s="101"/>
      <c r="C24" s="113"/>
      <c r="D24" s="97"/>
      <c r="E24" s="97"/>
      <c r="F24" s="97"/>
      <c r="G24" s="97"/>
      <c r="H24" s="98"/>
      <c r="I24" s="97"/>
      <c r="J24" s="97"/>
      <c r="K24" s="97"/>
      <c r="L24" s="97"/>
      <c r="M24" s="115"/>
      <c r="N24" s="97"/>
      <c r="O24" s="97"/>
      <c r="P24" s="97"/>
      <c r="Q24" s="97"/>
      <c r="R24" s="97"/>
      <c r="S24" s="98"/>
      <c r="T24" s="97"/>
      <c r="U24" s="97"/>
      <c r="V24" s="97"/>
      <c r="W24" s="99"/>
      <c r="X24" s="95"/>
      <c r="Y24" s="100" t="n">
        <f aca="false">MAX($C$3:$W$44)-(ROW(Y24)-4)*0.5</f>
        <v>-9.95</v>
      </c>
      <c r="Z24" s="95"/>
      <c r="AA24" s="95"/>
      <c r="AB24" s="95"/>
      <c r="AC24" s="95"/>
      <c r="AD24" s="95"/>
    </row>
    <row r="25" customFormat="false" ht="14.25" hidden="false" customHeight="true" outlineLevel="0" collapsed="false">
      <c r="A25" s="89"/>
      <c r="B25" s="101" t="n">
        <f aca="false">Neu!B15</f>
        <v>0</v>
      </c>
      <c r="C25" s="102"/>
      <c r="D25" s="104"/>
      <c r="E25" s="104"/>
      <c r="F25" s="104"/>
      <c r="G25" s="104"/>
      <c r="H25" s="105"/>
      <c r="I25" s="104"/>
      <c r="J25" s="104"/>
      <c r="K25" s="104"/>
      <c r="L25" s="104"/>
      <c r="M25" s="104"/>
      <c r="N25" s="103"/>
      <c r="O25" s="104"/>
      <c r="P25" s="104"/>
      <c r="Q25" s="104"/>
      <c r="R25" s="104"/>
      <c r="S25" s="105"/>
      <c r="T25" s="104"/>
      <c r="U25" s="104"/>
      <c r="V25" s="104"/>
      <c r="W25" s="106"/>
      <c r="X25" s="95"/>
      <c r="Y25" s="100" t="n">
        <f aca="false">MAX($C$3:$W$44)-(ROW(Y25)-4)*0.5</f>
        <v>-10.45</v>
      </c>
      <c r="Z25" s="95"/>
      <c r="AA25" s="95"/>
      <c r="AB25" s="95"/>
      <c r="AC25" s="95"/>
      <c r="AD25" s="95"/>
    </row>
    <row r="26" customFormat="false" ht="14.25" hidden="false" customHeight="true" outlineLevel="0" collapsed="false">
      <c r="A26" s="89"/>
      <c r="B26" s="101"/>
      <c r="C26" s="107"/>
      <c r="D26" s="109"/>
      <c r="E26" s="109"/>
      <c r="F26" s="109"/>
      <c r="G26" s="109"/>
      <c r="H26" s="110"/>
      <c r="I26" s="109"/>
      <c r="J26" s="109"/>
      <c r="K26" s="109"/>
      <c r="L26" s="109"/>
      <c r="M26" s="109"/>
      <c r="N26" s="108"/>
      <c r="O26" s="109"/>
      <c r="P26" s="109"/>
      <c r="Q26" s="109"/>
      <c r="R26" s="109"/>
      <c r="S26" s="110"/>
      <c r="T26" s="109"/>
      <c r="U26" s="109"/>
      <c r="V26" s="109"/>
      <c r="W26" s="111"/>
      <c r="X26" s="95"/>
      <c r="Y26" s="100" t="n">
        <f aca="false">MAX($C$3:$W$44)-(ROW(Y26)-4)*0.5</f>
        <v>-10.95</v>
      </c>
      <c r="Z26" s="95"/>
      <c r="AA26" s="95"/>
      <c r="AB26" s="95"/>
      <c r="AC26" s="95"/>
      <c r="AD26" s="95"/>
    </row>
    <row r="27" customFormat="false" ht="14.25" hidden="false" customHeight="true" outlineLevel="0" collapsed="false">
      <c r="A27" s="89"/>
      <c r="B27" s="101" t="n">
        <f aca="false">Neu!B16</f>
        <v>0</v>
      </c>
      <c r="C27" s="102"/>
      <c r="D27" s="104"/>
      <c r="E27" s="104"/>
      <c r="F27" s="104"/>
      <c r="G27" s="104"/>
      <c r="H27" s="105"/>
      <c r="I27" s="104"/>
      <c r="J27" s="104"/>
      <c r="K27" s="104"/>
      <c r="L27" s="104"/>
      <c r="M27" s="104"/>
      <c r="N27" s="104"/>
      <c r="O27" s="103"/>
      <c r="P27" s="104"/>
      <c r="Q27" s="104"/>
      <c r="R27" s="104"/>
      <c r="S27" s="105"/>
      <c r="T27" s="104"/>
      <c r="U27" s="104"/>
      <c r="V27" s="104"/>
      <c r="W27" s="106"/>
      <c r="X27" s="95"/>
      <c r="Y27" s="95"/>
      <c r="Z27" s="95"/>
      <c r="AA27" s="95"/>
      <c r="AB27" s="95"/>
      <c r="AC27" s="95"/>
      <c r="AD27" s="95"/>
    </row>
    <row r="28" customFormat="false" ht="14.25" hidden="false" customHeight="true" outlineLevel="0" collapsed="false">
      <c r="A28" s="89"/>
      <c r="B28" s="101"/>
      <c r="C28" s="107"/>
      <c r="D28" s="109"/>
      <c r="E28" s="109"/>
      <c r="F28" s="109"/>
      <c r="G28" s="109"/>
      <c r="H28" s="110"/>
      <c r="I28" s="109"/>
      <c r="J28" s="109"/>
      <c r="K28" s="109"/>
      <c r="L28" s="109"/>
      <c r="M28" s="109"/>
      <c r="N28" s="109"/>
      <c r="O28" s="108"/>
      <c r="P28" s="109"/>
      <c r="Q28" s="109"/>
      <c r="R28" s="109"/>
      <c r="S28" s="110"/>
      <c r="T28" s="109"/>
      <c r="U28" s="109"/>
      <c r="V28" s="109"/>
      <c r="W28" s="111"/>
      <c r="X28" s="95"/>
      <c r="Y28" s="95"/>
      <c r="Z28" s="95"/>
      <c r="AA28" s="95"/>
      <c r="AB28" s="95"/>
      <c r="AC28" s="95"/>
      <c r="AD28" s="95"/>
    </row>
    <row r="29" customFormat="false" ht="14.25" hidden="false" customHeight="true" outlineLevel="0" collapsed="false">
      <c r="A29" s="89"/>
      <c r="B29" s="101" t="n">
        <f aca="false">Neu!B17</f>
        <v>0</v>
      </c>
      <c r="C29" s="102"/>
      <c r="D29" s="104"/>
      <c r="E29" s="104"/>
      <c r="F29" s="104"/>
      <c r="G29" s="104"/>
      <c r="H29" s="105"/>
      <c r="I29" s="104"/>
      <c r="J29" s="104"/>
      <c r="K29" s="104"/>
      <c r="L29" s="104"/>
      <c r="M29" s="104"/>
      <c r="N29" s="104"/>
      <c r="O29" s="104"/>
      <c r="P29" s="103"/>
      <c r="Q29" s="104"/>
      <c r="R29" s="104"/>
      <c r="S29" s="105"/>
      <c r="T29" s="104"/>
      <c r="U29" s="104"/>
      <c r="V29" s="104"/>
      <c r="W29" s="106"/>
      <c r="X29" s="95"/>
      <c r="Y29" s="95"/>
      <c r="Z29" s="95"/>
      <c r="AA29" s="95"/>
      <c r="AB29" s="95"/>
      <c r="AC29" s="95"/>
      <c r="AD29" s="95"/>
    </row>
    <row r="30" customFormat="false" ht="14.25" hidden="false" customHeight="true" outlineLevel="0" collapsed="false">
      <c r="A30" s="89"/>
      <c r="B30" s="101"/>
      <c r="C30" s="113"/>
      <c r="D30" s="97"/>
      <c r="E30" s="97"/>
      <c r="F30" s="97"/>
      <c r="G30" s="97"/>
      <c r="H30" s="98"/>
      <c r="I30" s="97"/>
      <c r="J30" s="97"/>
      <c r="K30" s="97"/>
      <c r="L30" s="97"/>
      <c r="M30" s="97"/>
      <c r="N30" s="97"/>
      <c r="O30" s="97"/>
      <c r="P30" s="115"/>
      <c r="Q30" s="97"/>
      <c r="R30" s="97"/>
      <c r="S30" s="98"/>
      <c r="T30" s="97"/>
      <c r="U30" s="97"/>
      <c r="V30" s="97"/>
      <c r="W30" s="99"/>
      <c r="X30" s="95"/>
      <c r="Y30" s="95"/>
      <c r="Z30" s="95"/>
      <c r="AA30" s="95"/>
      <c r="AB30" s="95"/>
      <c r="AC30" s="95"/>
      <c r="AD30" s="95"/>
    </row>
    <row r="31" customFormat="false" ht="14.25" hidden="false" customHeight="true" outlineLevel="0" collapsed="false">
      <c r="A31" s="89"/>
      <c r="B31" s="101" t="n">
        <f aca="false">Neu!B18</f>
        <v>0</v>
      </c>
      <c r="C31" s="102"/>
      <c r="D31" s="104"/>
      <c r="E31" s="104"/>
      <c r="F31" s="104"/>
      <c r="G31" s="104"/>
      <c r="H31" s="105"/>
      <c r="I31" s="104"/>
      <c r="J31" s="104"/>
      <c r="K31" s="104"/>
      <c r="L31" s="104"/>
      <c r="M31" s="104"/>
      <c r="N31" s="104"/>
      <c r="O31" s="104"/>
      <c r="P31" s="104"/>
      <c r="Q31" s="103"/>
      <c r="R31" s="104"/>
      <c r="S31" s="105"/>
      <c r="T31" s="104"/>
      <c r="U31" s="104"/>
      <c r="V31" s="104"/>
      <c r="W31" s="106"/>
      <c r="X31" s="95"/>
      <c r="Y31" s="95"/>
      <c r="Z31" s="95"/>
      <c r="AA31" s="95"/>
      <c r="AB31" s="95"/>
      <c r="AC31" s="95"/>
      <c r="AD31" s="95"/>
    </row>
    <row r="32" customFormat="false" ht="14.25" hidden="false" customHeight="true" outlineLevel="0" collapsed="false">
      <c r="A32" s="89"/>
      <c r="B32" s="101"/>
      <c r="C32" s="107"/>
      <c r="D32" s="109"/>
      <c r="E32" s="109"/>
      <c r="F32" s="109"/>
      <c r="G32" s="109"/>
      <c r="H32" s="110"/>
      <c r="I32" s="109"/>
      <c r="J32" s="109"/>
      <c r="K32" s="109"/>
      <c r="L32" s="109"/>
      <c r="M32" s="109"/>
      <c r="N32" s="109"/>
      <c r="O32" s="109"/>
      <c r="P32" s="109"/>
      <c r="Q32" s="108"/>
      <c r="R32" s="109"/>
      <c r="S32" s="110"/>
      <c r="T32" s="109"/>
      <c r="U32" s="109"/>
      <c r="V32" s="109"/>
      <c r="W32" s="111"/>
      <c r="X32" s="95"/>
      <c r="Y32" s="95"/>
      <c r="Z32" s="95"/>
      <c r="AA32" s="95"/>
      <c r="AB32" s="95"/>
      <c r="AC32" s="95"/>
      <c r="AD32" s="95"/>
    </row>
    <row r="33" customFormat="false" ht="14.25" hidden="false" customHeight="true" outlineLevel="0" collapsed="false">
      <c r="A33" s="89"/>
      <c r="B33" s="101" t="n">
        <f aca="false">Neu!B19</f>
        <v>0</v>
      </c>
      <c r="C33" s="102"/>
      <c r="D33" s="104"/>
      <c r="E33" s="104"/>
      <c r="F33" s="104"/>
      <c r="G33" s="104"/>
      <c r="H33" s="105"/>
      <c r="I33" s="104"/>
      <c r="J33" s="104"/>
      <c r="K33" s="104"/>
      <c r="L33" s="104"/>
      <c r="M33" s="104"/>
      <c r="N33" s="104"/>
      <c r="O33" s="104"/>
      <c r="P33" s="104"/>
      <c r="Q33" s="104"/>
      <c r="R33" s="103"/>
      <c r="S33" s="105"/>
      <c r="T33" s="104"/>
      <c r="U33" s="104"/>
      <c r="V33" s="104"/>
      <c r="W33" s="106"/>
      <c r="X33" s="95"/>
      <c r="Y33" s="95"/>
      <c r="Z33" s="95"/>
      <c r="AA33" s="95"/>
      <c r="AB33" s="95"/>
      <c r="AC33" s="95"/>
      <c r="AD33" s="95"/>
    </row>
    <row r="34" customFormat="false" ht="14.25" hidden="false" customHeight="true" outlineLevel="0" collapsed="false">
      <c r="A34" s="89"/>
      <c r="B34" s="101"/>
      <c r="C34" s="107"/>
      <c r="D34" s="109"/>
      <c r="E34" s="109"/>
      <c r="F34" s="109"/>
      <c r="G34" s="109"/>
      <c r="H34" s="110"/>
      <c r="I34" s="109"/>
      <c r="J34" s="109"/>
      <c r="K34" s="109"/>
      <c r="L34" s="109"/>
      <c r="M34" s="109"/>
      <c r="N34" s="109"/>
      <c r="O34" s="109"/>
      <c r="P34" s="109"/>
      <c r="Q34" s="109"/>
      <c r="R34" s="108"/>
      <c r="S34" s="110"/>
      <c r="T34" s="109"/>
      <c r="U34" s="109"/>
      <c r="V34" s="109"/>
      <c r="W34" s="111"/>
      <c r="X34" s="95"/>
      <c r="Y34" s="95"/>
      <c r="Z34" s="95"/>
      <c r="AA34" s="95"/>
      <c r="AB34" s="95"/>
      <c r="AC34" s="95"/>
      <c r="AD34" s="95"/>
    </row>
    <row r="35" customFormat="false" ht="14.25" hidden="false" customHeight="true" outlineLevel="0" collapsed="false">
      <c r="A35" s="89"/>
      <c r="B35" s="101" t="n">
        <f aca="false">Neu!B20</f>
        <v>0</v>
      </c>
      <c r="C35" s="102"/>
      <c r="D35" s="104"/>
      <c r="E35" s="104"/>
      <c r="F35" s="104"/>
      <c r="G35" s="104"/>
      <c r="H35" s="105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12"/>
      <c r="T35" s="104"/>
      <c r="U35" s="104"/>
      <c r="V35" s="104"/>
      <c r="W35" s="106"/>
      <c r="X35" s="95"/>
      <c r="Y35" s="95"/>
      <c r="Z35" s="95"/>
      <c r="AA35" s="95"/>
      <c r="AB35" s="95"/>
      <c r="AC35" s="95"/>
      <c r="AD35" s="95"/>
    </row>
    <row r="36" customFormat="false" ht="14.25" hidden="false" customHeight="true" outlineLevel="0" collapsed="false">
      <c r="A36" s="89"/>
      <c r="B36" s="101"/>
      <c r="C36" s="107"/>
      <c r="D36" s="109"/>
      <c r="E36" s="109"/>
      <c r="F36" s="109"/>
      <c r="G36" s="109"/>
      <c r="H36" s="110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16"/>
      <c r="T36" s="109"/>
      <c r="U36" s="109"/>
      <c r="V36" s="109"/>
      <c r="W36" s="111"/>
      <c r="X36" s="95"/>
      <c r="Y36" s="95"/>
      <c r="Z36" s="95"/>
      <c r="AA36" s="95"/>
      <c r="AB36" s="95"/>
      <c r="AC36" s="95"/>
      <c r="AD36" s="95"/>
    </row>
    <row r="37" customFormat="false" ht="14.25" hidden="false" customHeight="true" outlineLevel="0" collapsed="false">
      <c r="A37" s="89"/>
      <c r="B37" s="101" t="n">
        <f aca="false">Neu!B21</f>
        <v>0</v>
      </c>
      <c r="C37" s="102"/>
      <c r="D37" s="104"/>
      <c r="E37" s="104"/>
      <c r="F37" s="104"/>
      <c r="G37" s="104"/>
      <c r="H37" s="105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5"/>
      <c r="T37" s="103"/>
      <c r="U37" s="104"/>
      <c r="V37" s="104"/>
      <c r="W37" s="106"/>
      <c r="X37" s="95"/>
      <c r="Y37" s="95"/>
      <c r="Z37" s="95"/>
      <c r="AA37" s="95"/>
      <c r="AB37" s="95"/>
      <c r="AC37" s="95"/>
      <c r="AD37" s="95"/>
    </row>
    <row r="38" customFormat="false" ht="14.25" hidden="false" customHeight="true" outlineLevel="0" collapsed="false">
      <c r="A38" s="89"/>
      <c r="B38" s="101"/>
      <c r="C38" s="113"/>
      <c r="D38" s="97"/>
      <c r="E38" s="97"/>
      <c r="F38" s="97"/>
      <c r="G38" s="97"/>
      <c r="H38" s="98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8"/>
      <c r="T38" s="115"/>
      <c r="U38" s="97"/>
      <c r="V38" s="97"/>
      <c r="W38" s="99"/>
      <c r="X38" s="95"/>
      <c r="Y38" s="95"/>
      <c r="Z38" s="95"/>
      <c r="AA38" s="95"/>
      <c r="AB38" s="95"/>
      <c r="AC38" s="95"/>
      <c r="AD38" s="95"/>
    </row>
    <row r="39" customFormat="false" ht="14.25" hidden="false" customHeight="true" outlineLevel="0" collapsed="false">
      <c r="A39" s="89"/>
      <c r="B39" s="101" t="n">
        <f aca="false">Neu!B22</f>
        <v>0</v>
      </c>
      <c r="C39" s="102"/>
      <c r="D39" s="104"/>
      <c r="E39" s="104"/>
      <c r="F39" s="104"/>
      <c r="G39" s="104"/>
      <c r="H39" s="105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5"/>
      <c r="T39" s="104"/>
      <c r="U39" s="103"/>
      <c r="V39" s="104"/>
      <c r="W39" s="106"/>
      <c r="X39" s="95"/>
      <c r="Y39" s="95"/>
      <c r="Z39" s="95"/>
      <c r="AA39" s="95"/>
      <c r="AB39" s="95"/>
      <c r="AC39" s="95"/>
      <c r="AD39" s="95"/>
    </row>
    <row r="40" customFormat="false" ht="14.25" hidden="false" customHeight="true" outlineLevel="0" collapsed="false">
      <c r="A40" s="89"/>
      <c r="B40" s="101"/>
      <c r="C40" s="107"/>
      <c r="D40" s="109"/>
      <c r="E40" s="109"/>
      <c r="F40" s="109"/>
      <c r="G40" s="109"/>
      <c r="H40" s="110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10"/>
      <c r="T40" s="109"/>
      <c r="U40" s="108"/>
      <c r="V40" s="109"/>
      <c r="W40" s="111"/>
      <c r="X40" s="95"/>
      <c r="Y40" s="95"/>
      <c r="Z40" s="95"/>
      <c r="AA40" s="95"/>
      <c r="AB40" s="95"/>
      <c r="AC40" s="95"/>
      <c r="AD40" s="95"/>
    </row>
    <row r="41" customFormat="false" ht="14.25" hidden="false" customHeight="true" outlineLevel="0" collapsed="false">
      <c r="A41" s="89"/>
      <c r="B41" s="101" t="n">
        <f aca="false">Neu!B23</f>
        <v>0</v>
      </c>
      <c r="C41" s="102"/>
      <c r="D41" s="104"/>
      <c r="E41" s="104"/>
      <c r="F41" s="104"/>
      <c r="G41" s="104"/>
      <c r="H41" s="105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5"/>
      <c r="T41" s="104"/>
      <c r="U41" s="104"/>
      <c r="V41" s="103"/>
      <c r="W41" s="106"/>
      <c r="X41" s="95"/>
      <c r="Y41" s="95"/>
      <c r="Z41" s="95"/>
      <c r="AA41" s="95"/>
      <c r="AB41" s="95"/>
      <c r="AC41" s="95"/>
      <c r="AD41" s="95"/>
    </row>
    <row r="42" customFormat="false" ht="14.25" hidden="false" customHeight="true" outlineLevel="0" collapsed="false">
      <c r="A42" s="89"/>
      <c r="B42" s="101"/>
      <c r="C42" s="107"/>
      <c r="D42" s="109"/>
      <c r="E42" s="109"/>
      <c r="F42" s="109"/>
      <c r="G42" s="109"/>
      <c r="H42" s="110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10"/>
      <c r="T42" s="109"/>
      <c r="U42" s="109"/>
      <c r="V42" s="108"/>
      <c r="W42" s="111"/>
      <c r="X42" s="95"/>
      <c r="Y42" s="95"/>
      <c r="Z42" s="95"/>
      <c r="AA42" s="95"/>
      <c r="AB42" s="95"/>
      <c r="AC42" s="95"/>
      <c r="AD42" s="95"/>
    </row>
    <row r="43" customFormat="false" ht="14.25" hidden="false" customHeight="true" outlineLevel="0" collapsed="false">
      <c r="A43" s="89"/>
      <c r="B43" s="56" t="n">
        <f aca="false">Neu!B24</f>
        <v>0</v>
      </c>
      <c r="C43" s="102"/>
      <c r="D43" s="104"/>
      <c r="E43" s="104"/>
      <c r="F43" s="104"/>
      <c r="G43" s="104"/>
      <c r="H43" s="105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5"/>
      <c r="T43" s="104"/>
      <c r="U43" s="104"/>
      <c r="V43" s="104"/>
      <c r="W43" s="117"/>
      <c r="X43" s="95"/>
      <c r="Y43" s="95"/>
      <c r="Z43" s="95"/>
      <c r="AA43" s="95"/>
      <c r="AB43" s="95"/>
      <c r="AC43" s="95"/>
      <c r="AD43" s="95"/>
    </row>
    <row r="44" customFormat="false" ht="14.25" hidden="false" customHeight="true" outlineLevel="0" collapsed="false">
      <c r="A44" s="118"/>
      <c r="B44" s="56"/>
      <c r="C44" s="119"/>
      <c r="D44" s="120"/>
      <c r="E44" s="120"/>
      <c r="F44" s="120"/>
      <c r="G44" s="120"/>
      <c r="H44" s="121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1"/>
      <c r="T44" s="120"/>
      <c r="U44" s="120"/>
      <c r="V44" s="120"/>
      <c r="W44" s="122"/>
      <c r="X44" s="95"/>
      <c r="Y44" s="95"/>
      <c r="Z44" s="95"/>
      <c r="AA44" s="95"/>
      <c r="AB44" s="95"/>
      <c r="AC44" s="95"/>
      <c r="AD44" s="95"/>
    </row>
    <row r="45" customFormat="false" ht="14.25" hidden="false" customHeight="false" outlineLevel="0" collapsed="false"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 customFormat="false" ht="14.25" hidden="false" customHeight="false" outlineLevel="0" collapsed="false"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 customFormat="false" ht="14.25" hidden="false" customHeight="false" outlineLevel="0" collapsed="false"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 customFormat="false" ht="14.25" hidden="false" customHeight="false" outlineLevel="0" collapsed="false"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 customFormat="false" ht="14.25" hidden="false" customHeight="false" outlineLevel="0" collapsed="false"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 customFormat="false" ht="14.25" hidden="false" customHeight="false" outlineLevel="0" collapsed="false"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 customFormat="false" ht="14.25" hidden="false" customHeight="false" outlineLevel="0" collapsed="false"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 customFormat="false" ht="14.25" hidden="false" customHeight="false" outlineLevel="0" collapsed="false"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 customFormat="false" ht="14.25" hidden="false" customHeight="false" outlineLevel="0" collapsed="false"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 customFormat="false" ht="14.25" hidden="false" customHeight="false" outlineLevel="0" collapsed="false"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 customFormat="false" ht="14.25" hidden="false" customHeight="false" outlineLevel="0" collapsed="false"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 customFormat="false" ht="14.25" hidden="false" customHeight="false" outlineLevel="0" collapsed="false"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 customFormat="false" ht="14.25" hidden="false" customHeight="false" outlineLevel="0" collapsed="false"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 customFormat="false" ht="14.25" hidden="false" customHeight="false" outlineLevel="0" collapsed="false"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 customFormat="false" ht="14.25" hidden="false" customHeight="false" outlineLevel="0" collapsed="false"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 customFormat="false" ht="14.25" hidden="false" customHeight="false" outlineLevel="0" collapsed="false"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 customFormat="false" ht="14.25" hidden="false" customHeight="false" outlineLevel="0" collapsed="false"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 customFormat="false" ht="14.25" hidden="false" customHeight="false" outlineLevel="0" collapsed="false"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 customFormat="false" ht="14.25" hidden="false" customHeight="false" outlineLevel="0" collapsed="false"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 customFormat="false" ht="14.25" hidden="false" customHeight="false" outlineLevel="0" collapsed="false"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 customFormat="false" ht="14.25" hidden="false" customHeight="false" outlineLevel="0" collapsed="false"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 customFormat="false" ht="14.25" hidden="false" customHeight="false" outlineLevel="0" collapsed="false"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 customFormat="false" ht="14.25" hidden="false" customHeight="false" outlineLevel="0" collapsed="false"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 customFormat="false" ht="14.25" hidden="false" customHeight="false" outlineLevel="0" collapsed="false"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 customFormat="false" ht="14.25" hidden="false" customHeight="false" outlineLevel="0" collapsed="false"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customFormat="false" ht="14.25" hidden="false" customHeight="false" outlineLevel="0" collapsed="false"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 customFormat="false" ht="14.25" hidden="false" customHeight="false" outlineLevel="0" collapsed="false"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 customFormat="false" ht="14.25" hidden="false" customHeight="false" outlineLevel="0" collapsed="false"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 customFormat="false" ht="14.25" hidden="false" customHeight="false" outlineLevel="0" collapsed="false"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 customFormat="false" ht="14.25" hidden="false" customHeight="false" outlineLevel="0" collapsed="false"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 customFormat="false" ht="14.25" hidden="false" customHeight="false" outlineLevel="0" collapsed="false"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 customFormat="false" ht="14.25" hidden="false" customHeight="false" outlineLevel="0" collapsed="false"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74">
      <formula>0</formula>
    </cfRule>
  </conditionalFormatting>
  <conditionalFormatting sqref="C2:W2">
    <cfRule type="cellIs" priority="3" operator="equal" aboveAverage="0" equalAverage="0" bottom="0" percent="0" rank="0" text="" dxfId="75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76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9.1796875" defaultRowHeight="14.25" zeroHeight="false" outlineLevelRow="0" outlineLevelCol="0"/>
  <cols>
    <col collapsed="false" customWidth="true" hidden="false" outlineLevel="0" max="1" min="1" style="83" width="4.18"/>
    <col collapsed="false" customWidth="false" hidden="false" outlineLevel="0" max="2" min="2" style="83" width="9.18"/>
    <col collapsed="false" customWidth="true" hidden="false" outlineLevel="0" max="23" min="3" style="83" width="6.73"/>
    <col collapsed="false" customWidth="false" hidden="false" outlineLevel="0" max="1024" min="24" style="83" width="9.18"/>
  </cols>
  <sheetData>
    <row r="1" customFormat="false" ht="15" hidden="false" customHeight="false" outlineLevel="0" collapsed="false">
      <c r="A1" s="84"/>
      <c r="B1" s="84"/>
      <c r="C1" s="85" t="s">
        <v>144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customFormat="false" ht="15" hidden="false" customHeight="false" outlineLevel="0" collapsed="false">
      <c r="A2" s="84"/>
      <c r="B2" s="84"/>
      <c r="C2" s="86" t="str">
        <f aca="false">Neu!$B4</f>
        <v>A</v>
      </c>
      <c r="D2" s="87" t="s">
        <v>6</v>
      </c>
      <c r="E2" s="87"/>
      <c r="F2" s="87" t="n">
        <f aca="false">Neu!$B7</f>
        <v>0</v>
      </c>
      <c r="G2" s="87" t="n">
        <f aca="false">Neu!$B8</f>
        <v>0</v>
      </c>
      <c r="H2" s="87" t="n">
        <f aca="false">Neu!$B9</f>
        <v>0</v>
      </c>
      <c r="I2" s="87" t="n">
        <f aca="false">Neu!$B10</f>
        <v>0</v>
      </c>
      <c r="J2" s="87" t="n">
        <f aca="false">Neu!$B11</f>
        <v>0</v>
      </c>
      <c r="K2" s="87" t="n">
        <f aca="false">Neu!$B12</f>
        <v>0</v>
      </c>
      <c r="L2" s="87" t="n">
        <f aca="false">Neu!$B13</f>
        <v>0</v>
      </c>
      <c r="M2" s="87" t="n">
        <f aca="false">Neu!$B14</f>
        <v>0</v>
      </c>
      <c r="N2" s="87" t="n">
        <f aca="false">Neu!$B15</f>
        <v>0</v>
      </c>
      <c r="O2" s="87" t="n">
        <f aca="false">Neu!$B16</f>
        <v>0</v>
      </c>
      <c r="P2" s="87" t="n">
        <f aca="false">Neu!$B17</f>
        <v>0</v>
      </c>
      <c r="Q2" s="87" t="n">
        <f aca="false">Neu!$B18</f>
        <v>0</v>
      </c>
      <c r="R2" s="87" t="n">
        <f aca="false">Neu!$B19</f>
        <v>0</v>
      </c>
      <c r="S2" s="87" t="n">
        <f aca="false">Neu!$B20</f>
        <v>0</v>
      </c>
      <c r="T2" s="87" t="n">
        <f aca="false">Neu!$B21</f>
        <v>0</v>
      </c>
      <c r="U2" s="87" t="n">
        <f aca="false">Neu!$B22</f>
        <v>0</v>
      </c>
      <c r="V2" s="87" t="n">
        <f aca="false">Neu!$B23</f>
        <v>0</v>
      </c>
      <c r="W2" s="88" t="n">
        <f aca="false">Neu!$B24</f>
        <v>0</v>
      </c>
    </row>
    <row r="3" customFormat="false" ht="14.25" hidden="false" customHeight="true" outlineLevel="0" collapsed="false">
      <c r="A3" s="89" t="s">
        <v>145</v>
      </c>
      <c r="B3" s="52" t="str">
        <f aca="false">Neu!B4</f>
        <v>A</v>
      </c>
      <c r="C3" s="123"/>
      <c r="D3" s="91" t="n">
        <v>300</v>
      </c>
      <c r="E3" s="91"/>
      <c r="F3" s="91"/>
      <c r="G3" s="92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3"/>
      <c r="X3" s="94" t="s">
        <v>146</v>
      </c>
      <c r="Y3" s="124" t="s">
        <v>147</v>
      </c>
      <c r="Z3" s="95"/>
      <c r="AA3" s="95"/>
      <c r="AB3" s="95"/>
      <c r="AC3" s="95"/>
      <c r="AD3" s="95"/>
    </row>
    <row r="4" customFormat="false" ht="14.25" hidden="false" customHeight="true" outlineLevel="0" collapsed="false">
      <c r="A4" s="89"/>
      <c r="B4" s="52"/>
      <c r="C4" s="125"/>
      <c r="D4" s="109"/>
      <c r="E4" s="109"/>
      <c r="F4" s="109"/>
      <c r="G4" s="11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11"/>
      <c r="X4" s="94" t="s">
        <v>148</v>
      </c>
      <c r="Y4" s="100" t="n">
        <f aca="false">MAX($C$3:$W$44)-(ROW(Y4)-4)*10</f>
        <v>300</v>
      </c>
      <c r="Z4" s="95"/>
      <c r="AA4" s="95"/>
      <c r="AB4" s="95"/>
      <c r="AC4" s="95"/>
      <c r="AD4" s="95"/>
    </row>
    <row r="5" customFormat="false" ht="14.25" hidden="false" customHeight="true" outlineLevel="0" collapsed="false">
      <c r="A5" s="89"/>
      <c r="B5" s="101" t="s">
        <v>6</v>
      </c>
      <c r="C5" s="126" t="n">
        <v>20</v>
      </c>
      <c r="D5" s="103"/>
      <c r="E5" s="104"/>
      <c r="F5" s="104"/>
      <c r="G5" s="105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6"/>
      <c r="X5" s="95"/>
      <c r="Y5" s="100" t="n">
        <f aca="false">MAX($C$3:$W$44)-(ROW(Y5)-4)*10</f>
        <v>290</v>
      </c>
      <c r="Z5" s="95"/>
      <c r="AA5" s="95"/>
      <c r="AB5" s="95"/>
      <c r="AC5" s="95"/>
      <c r="AD5" s="95"/>
    </row>
    <row r="6" customFormat="false" ht="14.25" hidden="false" customHeight="true" outlineLevel="0" collapsed="false">
      <c r="A6" s="89"/>
      <c r="B6" s="101"/>
      <c r="C6" s="127"/>
      <c r="D6" s="108"/>
      <c r="E6" s="109"/>
      <c r="F6" s="109"/>
      <c r="G6" s="110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1"/>
      <c r="X6" s="95"/>
      <c r="Y6" s="100" t="n">
        <f aca="false">MAX($C$3:$W$44)-(ROW(Y6)-4)*10</f>
        <v>280</v>
      </c>
      <c r="Z6" s="95"/>
      <c r="AA6" s="95"/>
      <c r="AB6" s="95"/>
      <c r="AC6" s="95"/>
      <c r="AD6" s="95"/>
    </row>
    <row r="7" customFormat="false" ht="14.25" hidden="false" customHeight="true" outlineLevel="0" collapsed="false">
      <c r="A7" s="89"/>
      <c r="B7" s="101"/>
      <c r="C7" s="126"/>
      <c r="D7" s="104"/>
      <c r="E7" s="103"/>
      <c r="F7" s="104"/>
      <c r="G7" s="105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6"/>
      <c r="X7" s="95"/>
      <c r="Y7" s="100" t="n">
        <f aca="false">MAX($C$3:$W$44)-(ROW(Y7)-4)*10</f>
        <v>270</v>
      </c>
      <c r="Z7" s="95"/>
      <c r="AA7" s="95"/>
      <c r="AB7" s="95"/>
      <c r="AC7" s="95"/>
      <c r="AD7" s="95"/>
    </row>
    <row r="8" customFormat="false" ht="14.25" hidden="false" customHeight="true" outlineLevel="0" collapsed="false">
      <c r="A8" s="89"/>
      <c r="B8" s="101"/>
      <c r="C8" s="127"/>
      <c r="D8" s="109"/>
      <c r="E8" s="108"/>
      <c r="F8" s="109"/>
      <c r="G8" s="110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11"/>
      <c r="X8" s="95"/>
      <c r="Y8" s="100" t="n">
        <f aca="false">MAX($C$3:$W$44)-(ROW(Y8)-4)*10</f>
        <v>260</v>
      </c>
      <c r="Z8" s="95"/>
      <c r="AA8" s="95"/>
      <c r="AB8" s="95"/>
      <c r="AC8" s="95"/>
      <c r="AD8" s="95"/>
    </row>
    <row r="9" customFormat="false" ht="14.25" hidden="false" customHeight="true" outlineLevel="0" collapsed="false">
      <c r="A9" s="89"/>
      <c r="B9" s="101" t="n">
        <f aca="false">Neu!B7</f>
        <v>0</v>
      </c>
      <c r="C9" s="126"/>
      <c r="D9" s="104"/>
      <c r="E9" s="104"/>
      <c r="F9" s="103"/>
      <c r="G9" s="105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6"/>
      <c r="X9" s="95"/>
      <c r="Y9" s="100" t="n">
        <f aca="false">MAX($C$3:$W$44)-(ROW(Y9)-4)*10</f>
        <v>250</v>
      </c>
      <c r="Z9" s="95"/>
      <c r="AA9" s="95"/>
      <c r="AB9" s="95"/>
      <c r="AC9" s="95"/>
      <c r="AD9" s="95"/>
    </row>
    <row r="10" customFormat="false" ht="14.25" hidden="false" customHeight="true" outlineLevel="0" collapsed="false">
      <c r="A10" s="89"/>
      <c r="B10" s="101"/>
      <c r="C10" s="127"/>
      <c r="D10" s="109"/>
      <c r="E10" s="109"/>
      <c r="F10" s="108"/>
      <c r="G10" s="110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11"/>
      <c r="X10" s="95"/>
      <c r="Y10" s="100" t="n">
        <f aca="false">MAX($C$3:$W$44)-(ROW(Y10)-4)*10</f>
        <v>240</v>
      </c>
      <c r="Z10" s="95"/>
      <c r="AA10" s="95"/>
      <c r="AB10" s="95"/>
      <c r="AC10" s="95"/>
      <c r="AD10" s="95"/>
    </row>
    <row r="11" customFormat="false" ht="14.25" hidden="false" customHeight="true" outlineLevel="0" collapsed="false">
      <c r="A11" s="89"/>
      <c r="B11" s="101" t="n">
        <f aca="false">Neu!B8</f>
        <v>0</v>
      </c>
      <c r="C11" s="126"/>
      <c r="D11" s="104"/>
      <c r="E11" s="104"/>
      <c r="F11" s="104"/>
      <c r="G11" s="112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6"/>
      <c r="X11" s="95"/>
      <c r="Y11" s="100" t="n">
        <f aca="false">MAX($C$3:$W$44)-(ROW(Y11)-4)*10</f>
        <v>230</v>
      </c>
      <c r="Z11" s="95"/>
      <c r="AA11" s="95"/>
      <c r="AB11" s="95"/>
      <c r="AC11" s="95"/>
      <c r="AD11" s="95"/>
    </row>
    <row r="12" customFormat="false" ht="14.25" hidden="false" customHeight="true" outlineLevel="0" collapsed="false">
      <c r="A12" s="89"/>
      <c r="B12" s="101"/>
      <c r="C12" s="128"/>
      <c r="D12" s="97"/>
      <c r="E12" s="97"/>
      <c r="F12" s="97"/>
      <c r="G12" s="114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9"/>
      <c r="X12" s="95"/>
      <c r="Y12" s="100" t="n">
        <f aca="false">MAX($C$3:$W$44)-(ROW(Y12)-4)*10</f>
        <v>220</v>
      </c>
      <c r="Z12" s="95"/>
      <c r="AA12" s="95"/>
      <c r="AB12" s="95"/>
      <c r="AC12" s="95"/>
      <c r="AD12" s="95"/>
    </row>
    <row r="13" customFormat="false" ht="14.25" hidden="false" customHeight="true" outlineLevel="0" collapsed="false">
      <c r="A13" s="89"/>
      <c r="B13" s="101" t="n">
        <f aca="false">Neu!B9</f>
        <v>0</v>
      </c>
      <c r="C13" s="126"/>
      <c r="D13" s="104"/>
      <c r="E13" s="104"/>
      <c r="F13" s="104"/>
      <c r="G13" s="105"/>
      <c r="H13" s="103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6"/>
      <c r="X13" s="95"/>
      <c r="Y13" s="100" t="n">
        <f aca="false">MAX($C$3:$W$44)-(ROW(Y13)-4)*10</f>
        <v>210</v>
      </c>
      <c r="Z13" s="95"/>
      <c r="AA13" s="95"/>
      <c r="AB13" s="95"/>
      <c r="AC13" s="95"/>
      <c r="AD13" s="95"/>
    </row>
    <row r="14" customFormat="false" ht="14.25" hidden="false" customHeight="true" outlineLevel="0" collapsed="false">
      <c r="A14" s="89"/>
      <c r="B14" s="101"/>
      <c r="C14" s="127"/>
      <c r="D14" s="109"/>
      <c r="E14" s="109"/>
      <c r="F14" s="109"/>
      <c r="G14" s="110"/>
      <c r="H14" s="108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11"/>
      <c r="X14" s="95"/>
      <c r="Y14" s="100" t="n">
        <f aca="false">MAX($C$3:$W$44)-(ROW(Y14)-4)*10</f>
        <v>200</v>
      </c>
      <c r="Z14" s="95"/>
      <c r="AA14" s="95"/>
      <c r="AB14" s="95"/>
      <c r="AC14" s="95"/>
      <c r="AD14" s="95"/>
    </row>
    <row r="15" customFormat="false" ht="14.25" hidden="false" customHeight="true" outlineLevel="0" collapsed="false">
      <c r="A15" s="89"/>
      <c r="B15" s="101" t="n">
        <f aca="false">Neu!B10</f>
        <v>0</v>
      </c>
      <c r="C15" s="126"/>
      <c r="D15" s="104"/>
      <c r="E15" s="104"/>
      <c r="F15" s="104"/>
      <c r="G15" s="105"/>
      <c r="H15" s="104"/>
      <c r="I15" s="103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6"/>
      <c r="X15" s="95"/>
      <c r="Y15" s="100" t="n">
        <f aca="false">MAX($C$3:$W$44)-(ROW(Y15)-4)*10</f>
        <v>190</v>
      </c>
      <c r="Z15" s="95"/>
      <c r="AA15" s="95"/>
      <c r="AB15" s="95"/>
      <c r="AC15" s="95"/>
      <c r="AD15" s="95"/>
    </row>
    <row r="16" customFormat="false" ht="14.25" hidden="false" customHeight="true" outlineLevel="0" collapsed="false">
      <c r="A16" s="89"/>
      <c r="B16" s="101"/>
      <c r="C16" s="127"/>
      <c r="D16" s="109"/>
      <c r="E16" s="109"/>
      <c r="F16" s="109"/>
      <c r="G16" s="110"/>
      <c r="H16" s="109"/>
      <c r="I16" s="108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11"/>
      <c r="X16" s="95"/>
      <c r="Y16" s="100" t="n">
        <f aca="false">MAX($C$3:$W$44)-(ROW(Y16)-4)*10</f>
        <v>180</v>
      </c>
      <c r="Z16" s="95"/>
      <c r="AA16" s="95"/>
      <c r="AB16" s="95"/>
      <c r="AC16" s="95"/>
      <c r="AD16" s="95"/>
    </row>
    <row r="17" customFormat="false" ht="14.25" hidden="false" customHeight="true" outlineLevel="0" collapsed="false">
      <c r="A17" s="89"/>
      <c r="B17" s="101" t="n">
        <f aca="false">Neu!B11</f>
        <v>0</v>
      </c>
      <c r="C17" s="126"/>
      <c r="D17" s="104"/>
      <c r="E17" s="104"/>
      <c r="F17" s="104"/>
      <c r="G17" s="105"/>
      <c r="H17" s="104"/>
      <c r="I17" s="104"/>
      <c r="J17" s="103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6"/>
      <c r="X17" s="95"/>
      <c r="Y17" s="100" t="n">
        <f aca="false">MAX($C$3:$W$44)-(ROW(Y17)-4)*10</f>
        <v>170</v>
      </c>
      <c r="Z17" s="95"/>
      <c r="AA17" s="95"/>
      <c r="AB17" s="95"/>
      <c r="AC17" s="95"/>
      <c r="AD17" s="95"/>
    </row>
    <row r="18" customFormat="false" ht="14.25" hidden="false" customHeight="true" outlineLevel="0" collapsed="false">
      <c r="A18" s="89"/>
      <c r="B18" s="101"/>
      <c r="C18" s="127"/>
      <c r="D18" s="109"/>
      <c r="E18" s="109"/>
      <c r="F18" s="109"/>
      <c r="G18" s="110"/>
      <c r="H18" s="109"/>
      <c r="I18" s="109"/>
      <c r="J18" s="108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11"/>
      <c r="X18" s="95"/>
      <c r="Y18" s="100" t="n">
        <f aca="false">MAX($C$3:$W$44)-(ROW(Y18)-4)*10</f>
        <v>160</v>
      </c>
      <c r="Z18" s="95"/>
      <c r="AA18" s="95"/>
      <c r="AB18" s="95"/>
      <c r="AC18" s="95"/>
      <c r="AD18" s="95"/>
    </row>
    <row r="19" customFormat="false" ht="14.25" hidden="false" customHeight="true" outlineLevel="0" collapsed="false">
      <c r="A19" s="89"/>
      <c r="B19" s="101" t="n">
        <f aca="false">Neu!B12</f>
        <v>0</v>
      </c>
      <c r="C19" s="126"/>
      <c r="D19" s="104"/>
      <c r="E19" s="104"/>
      <c r="F19" s="104"/>
      <c r="G19" s="105"/>
      <c r="H19" s="104"/>
      <c r="I19" s="104"/>
      <c r="J19" s="104"/>
      <c r="K19" s="103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6"/>
      <c r="X19" s="95"/>
      <c r="Y19" s="100" t="n">
        <f aca="false">MAX($C$3:$W$44)-(ROW(Y19)-4)*10</f>
        <v>150</v>
      </c>
      <c r="Z19" s="95"/>
      <c r="AA19" s="95"/>
      <c r="AB19" s="95"/>
      <c r="AC19" s="95"/>
      <c r="AD19" s="95"/>
    </row>
    <row r="20" customFormat="false" ht="14.25" hidden="false" customHeight="true" outlineLevel="0" collapsed="false">
      <c r="A20" s="89"/>
      <c r="B20" s="101"/>
      <c r="C20" s="127"/>
      <c r="D20" s="109"/>
      <c r="E20" s="109"/>
      <c r="F20" s="109"/>
      <c r="G20" s="110"/>
      <c r="H20" s="109"/>
      <c r="I20" s="109"/>
      <c r="J20" s="109"/>
      <c r="K20" s="108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11"/>
      <c r="X20" s="95"/>
      <c r="Y20" s="100" t="n">
        <f aca="false">MAX($C$3:$W$44)-(ROW(Y20)-4)*10</f>
        <v>140</v>
      </c>
      <c r="Z20" s="95"/>
      <c r="AA20" s="95"/>
      <c r="AB20" s="95"/>
      <c r="AC20" s="95"/>
      <c r="AD20" s="95"/>
    </row>
    <row r="21" customFormat="false" ht="14.25" hidden="false" customHeight="true" outlineLevel="0" collapsed="false">
      <c r="A21" s="89"/>
      <c r="B21" s="101" t="n">
        <f aca="false">Neu!B13</f>
        <v>0</v>
      </c>
      <c r="C21" s="126"/>
      <c r="D21" s="104"/>
      <c r="E21" s="104"/>
      <c r="F21" s="104"/>
      <c r="G21" s="105"/>
      <c r="H21" s="104"/>
      <c r="I21" s="104"/>
      <c r="J21" s="104"/>
      <c r="K21" s="104"/>
      <c r="L21" s="103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6"/>
      <c r="X21" s="95"/>
      <c r="Y21" s="100" t="n">
        <f aca="false">MAX($C$3:$W$44)-(ROW(Y21)-4)*10</f>
        <v>130</v>
      </c>
      <c r="Z21" s="95"/>
      <c r="AA21" s="95"/>
      <c r="AB21" s="95"/>
      <c r="AC21" s="95"/>
      <c r="AD21" s="95"/>
    </row>
    <row r="22" customFormat="false" ht="14.25" hidden="false" customHeight="true" outlineLevel="0" collapsed="false">
      <c r="A22" s="89"/>
      <c r="B22" s="101"/>
      <c r="C22" s="127"/>
      <c r="D22" s="109"/>
      <c r="E22" s="109"/>
      <c r="F22" s="109"/>
      <c r="G22" s="110"/>
      <c r="H22" s="109"/>
      <c r="I22" s="109"/>
      <c r="J22" s="109"/>
      <c r="K22" s="109"/>
      <c r="L22" s="108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11"/>
      <c r="X22" s="95"/>
      <c r="Y22" s="100" t="n">
        <f aca="false">MAX($C$3:$W$44)-(ROW(Y22)-4)*10</f>
        <v>120</v>
      </c>
      <c r="Z22" s="95"/>
      <c r="AA22" s="95"/>
      <c r="AB22" s="95"/>
      <c r="AC22" s="95"/>
      <c r="AD22" s="95"/>
    </row>
    <row r="23" customFormat="false" ht="14.25" hidden="false" customHeight="true" outlineLevel="0" collapsed="false">
      <c r="A23" s="89"/>
      <c r="B23" s="101" t="n">
        <f aca="false">Neu!B14</f>
        <v>0</v>
      </c>
      <c r="C23" s="126"/>
      <c r="D23" s="104"/>
      <c r="E23" s="104"/>
      <c r="F23" s="104"/>
      <c r="G23" s="105"/>
      <c r="H23" s="104"/>
      <c r="I23" s="104"/>
      <c r="J23" s="104"/>
      <c r="K23" s="104"/>
      <c r="L23" s="104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6"/>
      <c r="X23" s="95"/>
      <c r="Y23" s="100" t="n">
        <f aca="false">MAX($C$3:$W$44)-(ROW(Y23)-4)*10</f>
        <v>110</v>
      </c>
      <c r="Z23" s="95"/>
      <c r="AA23" s="95"/>
      <c r="AB23" s="95"/>
      <c r="AC23" s="95"/>
      <c r="AD23" s="95"/>
    </row>
    <row r="24" customFormat="false" ht="14.25" hidden="false" customHeight="true" outlineLevel="0" collapsed="false">
      <c r="A24" s="89"/>
      <c r="B24" s="101"/>
      <c r="C24" s="128"/>
      <c r="D24" s="97"/>
      <c r="E24" s="97"/>
      <c r="F24" s="97"/>
      <c r="G24" s="98"/>
      <c r="H24" s="97"/>
      <c r="I24" s="97"/>
      <c r="J24" s="97"/>
      <c r="K24" s="97"/>
      <c r="L24" s="97"/>
      <c r="M24" s="115"/>
      <c r="N24" s="97"/>
      <c r="O24" s="97"/>
      <c r="P24" s="97"/>
      <c r="Q24" s="97"/>
      <c r="R24" s="97"/>
      <c r="S24" s="97"/>
      <c r="T24" s="97"/>
      <c r="U24" s="97"/>
      <c r="V24" s="97"/>
      <c r="W24" s="99"/>
      <c r="X24" s="95"/>
      <c r="Y24" s="100" t="n">
        <f aca="false">MAX($C$3:$W$44)-(ROW(Y24)-4)*10</f>
        <v>100</v>
      </c>
      <c r="Z24" s="95"/>
      <c r="AA24" s="95"/>
      <c r="AB24" s="95"/>
      <c r="AC24" s="95"/>
      <c r="AD24" s="95"/>
    </row>
    <row r="25" customFormat="false" ht="14.25" hidden="false" customHeight="true" outlineLevel="0" collapsed="false">
      <c r="A25" s="89"/>
      <c r="B25" s="101" t="n">
        <f aca="false">Neu!B15</f>
        <v>0</v>
      </c>
      <c r="C25" s="126"/>
      <c r="D25" s="104"/>
      <c r="E25" s="104"/>
      <c r="F25" s="104"/>
      <c r="G25" s="105"/>
      <c r="H25" s="104"/>
      <c r="I25" s="104"/>
      <c r="J25" s="104"/>
      <c r="K25" s="104"/>
      <c r="L25" s="104"/>
      <c r="M25" s="104"/>
      <c r="N25" s="103"/>
      <c r="O25" s="104"/>
      <c r="P25" s="104"/>
      <c r="Q25" s="104"/>
      <c r="R25" s="104"/>
      <c r="S25" s="104"/>
      <c r="T25" s="104"/>
      <c r="U25" s="104"/>
      <c r="V25" s="104"/>
      <c r="W25" s="106"/>
      <c r="X25" s="95"/>
      <c r="Y25" s="100" t="n">
        <f aca="false">MAX($C$3:$W$44)-(ROW(Y25)-4)*10</f>
        <v>90</v>
      </c>
      <c r="Z25" s="95"/>
      <c r="AA25" s="95"/>
      <c r="AB25" s="95"/>
      <c r="AC25" s="95"/>
      <c r="AD25" s="95"/>
    </row>
    <row r="26" customFormat="false" ht="14.25" hidden="false" customHeight="true" outlineLevel="0" collapsed="false">
      <c r="A26" s="89"/>
      <c r="B26" s="101"/>
      <c r="C26" s="127"/>
      <c r="D26" s="109"/>
      <c r="E26" s="109"/>
      <c r="F26" s="109"/>
      <c r="G26" s="110"/>
      <c r="H26" s="109"/>
      <c r="I26" s="109"/>
      <c r="J26" s="109"/>
      <c r="K26" s="109"/>
      <c r="L26" s="109"/>
      <c r="M26" s="109"/>
      <c r="N26" s="108"/>
      <c r="O26" s="109"/>
      <c r="P26" s="109"/>
      <c r="Q26" s="109"/>
      <c r="R26" s="109"/>
      <c r="S26" s="109"/>
      <c r="T26" s="109"/>
      <c r="U26" s="109"/>
      <c r="V26" s="109"/>
      <c r="W26" s="111"/>
      <c r="X26" s="95"/>
      <c r="Y26" s="100" t="n">
        <f aca="false">MAX($C$3:$W$44)-(ROW(Y26)-4)*10</f>
        <v>80</v>
      </c>
      <c r="Z26" s="95"/>
      <c r="AA26" s="95"/>
      <c r="AB26" s="95"/>
      <c r="AC26" s="95"/>
      <c r="AD26" s="95"/>
    </row>
    <row r="27" customFormat="false" ht="14.25" hidden="false" customHeight="true" outlineLevel="0" collapsed="false">
      <c r="A27" s="89"/>
      <c r="B27" s="101" t="n">
        <f aca="false">Neu!B16</f>
        <v>0</v>
      </c>
      <c r="C27" s="126"/>
      <c r="D27" s="104"/>
      <c r="E27" s="104"/>
      <c r="F27" s="104"/>
      <c r="G27" s="105"/>
      <c r="H27" s="104"/>
      <c r="I27" s="104"/>
      <c r="J27" s="104"/>
      <c r="K27" s="104"/>
      <c r="L27" s="104"/>
      <c r="M27" s="104"/>
      <c r="N27" s="104"/>
      <c r="O27" s="103"/>
      <c r="P27" s="104"/>
      <c r="Q27" s="104"/>
      <c r="R27" s="104"/>
      <c r="S27" s="104"/>
      <c r="T27" s="104"/>
      <c r="U27" s="104"/>
      <c r="V27" s="104"/>
      <c r="W27" s="106"/>
      <c r="X27" s="95"/>
      <c r="Y27" s="100" t="n">
        <f aca="false">MAX($C$3:$W$44)-(ROW(Y27)-4)*10</f>
        <v>70</v>
      </c>
      <c r="Z27" s="95"/>
      <c r="AA27" s="95"/>
      <c r="AB27" s="95"/>
      <c r="AC27" s="95"/>
      <c r="AD27" s="95"/>
    </row>
    <row r="28" customFormat="false" ht="14.25" hidden="false" customHeight="true" outlineLevel="0" collapsed="false">
      <c r="A28" s="89"/>
      <c r="B28" s="101"/>
      <c r="C28" s="127"/>
      <c r="D28" s="109"/>
      <c r="E28" s="109"/>
      <c r="F28" s="109"/>
      <c r="G28" s="110"/>
      <c r="H28" s="109"/>
      <c r="I28" s="109"/>
      <c r="J28" s="109"/>
      <c r="K28" s="109"/>
      <c r="L28" s="109"/>
      <c r="M28" s="109"/>
      <c r="N28" s="109"/>
      <c r="O28" s="108"/>
      <c r="P28" s="109"/>
      <c r="Q28" s="109"/>
      <c r="R28" s="109"/>
      <c r="S28" s="109"/>
      <c r="T28" s="109"/>
      <c r="U28" s="109"/>
      <c r="V28" s="109"/>
      <c r="W28" s="111"/>
      <c r="X28" s="95"/>
      <c r="Y28" s="100" t="n">
        <f aca="false">MAX($C$3:$W$44)-(ROW(Y28)-4)*10</f>
        <v>60</v>
      </c>
      <c r="Z28" s="95"/>
      <c r="AA28" s="95"/>
      <c r="AB28" s="95"/>
      <c r="AC28" s="95"/>
      <c r="AD28" s="95"/>
    </row>
    <row r="29" customFormat="false" ht="14.25" hidden="false" customHeight="true" outlineLevel="0" collapsed="false">
      <c r="A29" s="89"/>
      <c r="B29" s="101" t="n">
        <f aca="false">Neu!B17</f>
        <v>0</v>
      </c>
      <c r="C29" s="126"/>
      <c r="D29" s="104"/>
      <c r="E29" s="104"/>
      <c r="F29" s="104"/>
      <c r="G29" s="105"/>
      <c r="H29" s="104"/>
      <c r="I29" s="104"/>
      <c r="J29" s="104"/>
      <c r="K29" s="104"/>
      <c r="L29" s="104"/>
      <c r="M29" s="104"/>
      <c r="N29" s="104"/>
      <c r="O29" s="104"/>
      <c r="P29" s="103"/>
      <c r="Q29" s="104"/>
      <c r="R29" s="104"/>
      <c r="S29" s="104"/>
      <c r="T29" s="104"/>
      <c r="U29" s="104"/>
      <c r="V29" s="104"/>
      <c r="W29" s="106"/>
      <c r="X29" s="95"/>
      <c r="Y29" s="100" t="n">
        <f aca="false">MAX($C$3:$W$44)-(ROW(Y29)-4)*10</f>
        <v>50</v>
      </c>
      <c r="Z29" s="95"/>
      <c r="AA29" s="95"/>
      <c r="AB29" s="95"/>
      <c r="AC29" s="95"/>
      <c r="AD29" s="95"/>
    </row>
    <row r="30" customFormat="false" ht="14.25" hidden="false" customHeight="true" outlineLevel="0" collapsed="false">
      <c r="A30" s="89"/>
      <c r="B30" s="101"/>
      <c r="C30" s="127"/>
      <c r="D30" s="109"/>
      <c r="E30" s="109"/>
      <c r="F30" s="109"/>
      <c r="G30" s="110"/>
      <c r="H30" s="109"/>
      <c r="I30" s="109"/>
      <c r="J30" s="109"/>
      <c r="K30" s="109"/>
      <c r="L30" s="109"/>
      <c r="M30" s="109"/>
      <c r="N30" s="109"/>
      <c r="O30" s="109"/>
      <c r="P30" s="108"/>
      <c r="Q30" s="109"/>
      <c r="R30" s="109"/>
      <c r="S30" s="109"/>
      <c r="T30" s="109"/>
      <c r="U30" s="109"/>
      <c r="V30" s="109"/>
      <c r="W30" s="111"/>
      <c r="X30" s="95"/>
      <c r="Y30" s="100" t="n">
        <f aca="false">MAX($C$3:$W$44)-(ROW(Y30)-4)*10</f>
        <v>40</v>
      </c>
      <c r="Z30" s="95"/>
      <c r="AA30" s="95"/>
      <c r="AB30" s="95"/>
      <c r="AC30" s="95"/>
      <c r="AD30" s="95"/>
    </row>
    <row r="31" customFormat="false" ht="14.25" hidden="false" customHeight="true" outlineLevel="0" collapsed="false">
      <c r="A31" s="89"/>
      <c r="B31" s="101" t="n">
        <f aca="false">Neu!B18</f>
        <v>0</v>
      </c>
      <c r="C31" s="126"/>
      <c r="D31" s="104"/>
      <c r="E31" s="104"/>
      <c r="F31" s="104"/>
      <c r="G31" s="105"/>
      <c r="H31" s="104"/>
      <c r="I31" s="104"/>
      <c r="J31" s="104"/>
      <c r="K31" s="104"/>
      <c r="L31" s="104"/>
      <c r="M31" s="104"/>
      <c r="N31" s="104"/>
      <c r="O31" s="104"/>
      <c r="P31" s="104"/>
      <c r="Q31" s="103"/>
      <c r="R31" s="104"/>
      <c r="S31" s="104"/>
      <c r="T31" s="104"/>
      <c r="U31" s="104"/>
      <c r="V31" s="104"/>
      <c r="W31" s="106"/>
      <c r="X31" s="95"/>
      <c r="Y31" s="100" t="n">
        <f aca="false">MAX($C$3:$W$44)-(ROW(Y31)-4)*10</f>
        <v>30</v>
      </c>
      <c r="Z31" s="95"/>
      <c r="AA31" s="95"/>
      <c r="AB31" s="95"/>
      <c r="AC31" s="95"/>
      <c r="AD31" s="95"/>
    </row>
    <row r="32" customFormat="false" ht="14.25" hidden="false" customHeight="true" outlineLevel="0" collapsed="false">
      <c r="A32" s="89"/>
      <c r="B32" s="101"/>
      <c r="C32" s="127"/>
      <c r="D32" s="109"/>
      <c r="E32" s="109"/>
      <c r="F32" s="109"/>
      <c r="G32" s="110"/>
      <c r="H32" s="109"/>
      <c r="I32" s="109"/>
      <c r="J32" s="109"/>
      <c r="K32" s="109"/>
      <c r="L32" s="109"/>
      <c r="M32" s="109"/>
      <c r="N32" s="109"/>
      <c r="O32" s="109"/>
      <c r="P32" s="109"/>
      <c r="Q32" s="108"/>
      <c r="R32" s="109"/>
      <c r="S32" s="109"/>
      <c r="T32" s="109"/>
      <c r="U32" s="109"/>
      <c r="V32" s="109"/>
      <c r="W32" s="111"/>
      <c r="X32" s="95"/>
      <c r="Y32" s="100" t="n">
        <f aca="false">MAX($C$3:$W$44)-(ROW(Y32)-4)*10</f>
        <v>20</v>
      </c>
      <c r="Z32" s="95"/>
      <c r="AA32" s="95"/>
      <c r="AB32" s="95"/>
      <c r="AC32" s="95"/>
      <c r="AD32" s="95"/>
    </row>
    <row r="33" customFormat="false" ht="14.25" hidden="false" customHeight="true" outlineLevel="0" collapsed="false">
      <c r="A33" s="89"/>
      <c r="B33" s="101" t="n">
        <f aca="false">Neu!B19</f>
        <v>0</v>
      </c>
      <c r="C33" s="126"/>
      <c r="D33" s="104"/>
      <c r="E33" s="104"/>
      <c r="F33" s="104"/>
      <c r="G33" s="105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3"/>
      <c r="S33" s="104"/>
      <c r="T33" s="104"/>
      <c r="U33" s="104"/>
      <c r="V33" s="104"/>
      <c r="W33" s="106"/>
      <c r="X33" s="95"/>
      <c r="Y33" s="95"/>
      <c r="Z33" s="95"/>
      <c r="AA33" s="95"/>
      <c r="AB33" s="95"/>
      <c r="AC33" s="95"/>
      <c r="AD33" s="95"/>
    </row>
    <row r="34" customFormat="false" ht="14.25" hidden="false" customHeight="true" outlineLevel="0" collapsed="false">
      <c r="A34" s="89"/>
      <c r="B34" s="101"/>
      <c r="C34" s="127"/>
      <c r="D34" s="109"/>
      <c r="E34" s="109"/>
      <c r="F34" s="109"/>
      <c r="G34" s="110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8"/>
      <c r="S34" s="109"/>
      <c r="T34" s="109"/>
      <c r="U34" s="109"/>
      <c r="V34" s="109"/>
      <c r="W34" s="111"/>
      <c r="X34" s="95"/>
      <c r="Y34" s="95"/>
      <c r="Z34" s="95"/>
      <c r="AA34" s="95"/>
      <c r="AB34" s="95"/>
      <c r="AC34" s="95"/>
      <c r="AD34" s="95"/>
    </row>
    <row r="35" customFormat="false" ht="14.25" hidden="false" customHeight="true" outlineLevel="0" collapsed="false">
      <c r="A35" s="89"/>
      <c r="B35" s="101" t="n">
        <f aca="false">Neu!B20</f>
        <v>0</v>
      </c>
      <c r="C35" s="126"/>
      <c r="D35" s="104"/>
      <c r="E35" s="104"/>
      <c r="F35" s="104"/>
      <c r="G35" s="105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3"/>
      <c r="T35" s="104"/>
      <c r="U35" s="104"/>
      <c r="V35" s="104"/>
      <c r="W35" s="106"/>
      <c r="X35" s="95"/>
      <c r="Y35" s="95"/>
      <c r="Z35" s="95"/>
      <c r="AA35" s="95"/>
      <c r="AB35" s="95"/>
      <c r="AC35" s="95"/>
      <c r="AD35" s="95"/>
    </row>
    <row r="36" customFormat="false" ht="14.25" hidden="false" customHeight="true" outlineLevel="0" collapsed="false">
      <c r="A36" s="89"/>
      <c r="B36" s="101"/>
      <c r="C36" s="128"/>
      <c r="D36" s="97"/>
      <c r="E36" s="97"/>
      <c r="F36" s="97"/>
      <c r="G36" s="98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115"/>
      <c r="T36" s="97"/>
      <c r="U36" s="97"/>
      <c r="V36" s="97"/>
      <c r="W36" s="99"/>
      <c r="X36" s="95"/>
      <c r="Y36" s="95"/>
      <c r="Z36" s="95"/>
      <c r="AA36" s="95"/>
      <c r="AB36" s="95"/>
      <c r="AC36" s="95"/>
      <c r="AD36" s="95"/>
    </row>
    <row r="37" customFormat="false" ht="14.25" hidden="false" customHeight="true" outlineLevel="0" collapsed="false">
      <c r="A37" s="89"/>
      <c r="B37" s="101" t="n">
        <f aca="false">Neu!B21</f>
        <v>0</v>
      </c>
      <c r="C37" s="126"/>
      <c r="D37" s="104"/>
      <c r="E37" s="104"/>
      <c r="F37" s="104"/>
      <c r="G37" s="105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3"/>
      <c r="U37" s="104"/>
      <c r="V37" s="104"/>
      <c r="W37" s="106"/>
      <c r="X37" s="95"/>
      <c r="Y37" s="95"/>
      <c r="Z37" s="95"/>
      <c r="AA37" s="95"/>
      <c r="AB37" s="95"/>
      <c r="AC37" s="95"/>
      <c r="AD37" s="95"/>
    </row>
    <row r="38" customFormat="false" ht="14.25" hidden="false" customHeight="true" outlineLevel="0" collapsed="false">
      <c r="A38" s="89"/>
      <c r="B38" s="101"/>
      <c r="C38" s="127"/>
      <c r="D38" s="109"/>
      <c r="E38" s="109"/>
      <c r="F38" s="109"/>
      <c r="G38" s="110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8"/>
      <c r="U38" s="109"/>
      <c r="V38" s="109"/>
      <c r="W38" s="111"/>
      <c r="X38" s="95"/>
      <c r="Y38" s="95"/>
      <c r="Z38" s="95"/>
      <c r="AA38" s="95"/>
      <c r="AB38" s="95"/>
      <c r="AC38" s="95"/>
      <c r="AD38" s="95"/>
    </row>
    <row r="39" customFormat="false" ht="14.25" hidden="false" customHeight="true" outlineLevel="0" collapsed="false">
      <c r="A39" s="89"/>
      <c r="B39" s="101" t="n">
        <f aca="false">Neu!B22</f>
        <v>0</v>
      </c>
      <c r="C39" s="126"/>
      <c r="D39" s="104"/>
      <c r="E39" s="104"/>
      <c r="F39" s="104"/>
      <c r="G39" s="105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3"/>
      <c r="V39" s="104"/>
      <c r="W39" s="106"/>
      <c r="X39" s="95"/>
      <c r="Y39" s="95"/>
      <c r="Z39" s="95"/>
      <c r="AA39" s="95"/>
      <c r="AB39" s="95"/>
      <c r="AC39" s="95"/>
      <c r="AD39" s="95"/>
    </row>
    <row r="40" customFormat="false" ht="14.25" hidden="false" customHeight="true" outlineLevel="0" collapsed="false">
      <c r="A40" s="89"/>
      <c r="B40" s="101"/>
      <c r="C40" s="127"/>
      <c r="D40" s="109"/>
      <c r="E40" s="109"/>
      <c r="F40" s="109"/>
      <c r="G40" s="110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8"/>
      <c r="V40" s="109"/>
      <c r="W40" s="111"/>
      <c r="X40" s="95"/>
      <c r="Y40" s="95"/>
      <c r="Z40" s="95"/>
      <c r="AA40" s="95"/>
      <c r="AB40" s="95"/>
      <c r="AC40" s="95"/>
      <c r="AD40" s="95"/>
    </row>
    <row r="41" customFormat="false" ht="14.25" hidden="false" customHeight="true" outlineLevel="0" collapsed="false">
      <c r="A41" s="89"/>
      <c r="B41" s="101" t="n">
        <f aca="false">Neu!B23</f>
        <v>0</v>
      </c>
      <c r="C41" s="126"/>
      <c r="D41" s="104"/>
      <c r="E41" s="104"/>
      <c r="F41" s="104"/>
      <c r="G41" s="105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3"/>
      <c r="W41" s="106"/>
      <c r="X41" s="95"/>
      <c r="Y41" s="95"/>
      <c r="Z41" s="95"/>
      <c r="AA41" s="95"/>
      <c r="AB41" s="95"/>
      <c r="AC41" s="95"/>
      <c r="AD41" s="95"/>
    </row>
    <row r="42" customFormat="false" ht="14.25" hidden="false" customHeight="true" outlineLevel="0" collapsed="false">
      <c r="A42" s="89"/>
      <c r="B42" s="101"/>
      <c r="C42" s="127"/>
      <c r="D42" s="109"/>
      <c r="E42" s="109"/>
      <c r="F42" s="109"/>
      <c r="G42" s="110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8"/>
      <c r="W42" s="111"/>
      <c r="X42" s="95"/>
      <c r="Y42" s="95"/>
      <c r="Z42" s="95"/>
      <c r="AA42" s="95"/>
      <c r="AB42" s="95"/>
      <c r="AC42" s="95"/>
      <c r="AD42" s="95"/>
    </row>
    <row r="43" customFormat="false" ht="14.25" hidden="false" customHeight="true" outlineLevel="0" collapsed="false">
      <c r="A43" s="89"/>
      <c r="B43" s="56" t="n">
        <f aca="false">Neu!B24</f>
        <v>0</v>
      </c>
      <c r="C43" s="126"/>
      <c r="D43" s="104"/>
      <c r="E43" s="104"/>
      <c r="F43" s="104"/>
      <c r="G43" s="105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17"/>
      <c r="X43" s="95"/>
      <c r="Y43" s="95"/>
      <c r="Z43" s="95"/>
      <c r="AA43" s="95"/>
      <c r="AB43" s="95"/>
      <c r="AC43" s="95"/>
      <c r="AD43" s="95"/>
    </row>
    <row r="44" customFormat="false" ht="14.25" hidden="false" customHeight="true" outlineLevel="0" collapsed="false">
      <c r="A44" s="118"/>
      <c r="B44" s="56"/>
      <c r="C44" s="129"/>
      <c r="D44" s="120"/>
      <c r="E44" s="120"/>
      <c r="F44" s="120"/>
      <c r="G44" s="121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2"/>
      <c r="X44" s="95"/>
      <c r="Y44" s="95"/>
      <c r="Z44" s="95"/>
      <c r="AA44" s="95"/>
      <c r="AB44" s="95"/>
      <c r="AC44" s="95"/>
      <c r="AD44" s="95"/>
    </row>
    <row r="45" customFormat="false" ht="14.25" hidden="false" customHeight="false" outlineLevel="0" collapsed="false"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 customFormat="false" ht="14.25" hidden="false" customHeight="false" outlineLevel="0" collapsed="false"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 customFormat="false" ht="14.25" hidden="false" customHeight="false" outlineLevel="0" collapsed="false"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 customFormat="false" ht="14.25" hidden="false" customHeight="false" outlineLevel="0" collapsed="false"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 customFormat="false" ht="14.25" hidden="false" customHeight="false" outlineLevel="0" collapsed="false"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 customFormat="false" ht="14.25" hidden="false" customHeight="false" outlineLevel="0" collapsed="false"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 customFormat="false" ht="14.25" hidden="false" customHeight="false" outlineLevel="0" collapsed="false"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 customFormat="false" ht="14.25" hidden="false" customHeight="false" outlineLevel="0" collapsed="false"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 customFormat="false" ht="14.25" hidden="false" customHeight="false" outlineLevel="0" collapsed="false"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 customFormat="false" ht="14.25" hidden="false" customHeight="false" outlineLevel="0" collapsed="false"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 customFormat="false" ht="14.25" hidden="false" customHeight="false" outlineLevel="0" collapsed="false"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 customFormat="false" ht="14.25" hidden="false" customHeight="false" outlineLevel="0" collapsed="false"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 customFormat="false" ht="14.25" hidden="false" customHeight="false" outlineLevel="0" collapsed="false"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 customFormat="false" ht="14.25" hidden="false" customHeight="false" outlineLevel="0" collapsed="false"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 customFormat="false" ht="14.25" hidden="false" customHeight="false" outlineLevel="0" collapsed="false"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 customFormat="false" ht="14.25" hidden="false" customHeight="false" outlineLevel="0" collapsed="false"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 customFormat="false" ht="14.25" hidden="false" customHeight="false" outlineLevel="0" collapsed="false"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 customFormat="false" ht="14.25" hidden="false" customHeight="false" outlineLevel="0" collapsed="false"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 customFormat="false" ht="14.25" hidden="false" customHeight="false" outlineLevel="0" collapsed="false"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 customFormat="false" ht="14.25" hidden="false" customHeight="false" outlineLevel="0" collapsed="false"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 customFormat="false" ht="14.25" hidden="false" customHeight="false" outlineLevel="0" collapsed="false"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 customFormat="false" ht="14.25" hidden="false" customHeight="false" outlineLevel="0" collapsed="false"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 customFormat="false" ht="14.25" hidden="false" customHeight="false" outlineLevel="0" collapsed="false"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 customFormat="false" ht="14.25" hidden="false" customHeight="false" outlineLevel="0" collapsed="false"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 customFormat="false" ht="14.25" hidden="false" customHeight="false" outlineLevel="0" collapsed="false"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customFormat="false" ht="14.25" hidden="false" customHeight="false" outlineLevel="0" collapsed="false"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 customFormat="false" ht="14.25" hidden="false" customHeight="false" outlineLevel="0" collapsed="false"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 customFormat="false" ht="14.25" hidden="false" customHeight="false" outlineLevel="0" collapsed="false"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 customFormat="false" ht="14.25" hidden="false" customHeight="false" outlineLevel="0" collapsed="false"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 customFormat="false" ht="14.25" hidden="false" customHeight="false" outlineLevel="0" collapsed="false"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 customFormat="false" ht="14.25" hidden="false" customHeight="false" outlineLevel="0" collapsed="false"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 customFormat="false" ht="14.25" hidden="false" customHeight="false" outlineLevel="0" collapsed="false"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77">
      <formula>0</formula>
    </cfRule>
  </conditionalFormatting>
  <conditionalFormatting sqref="C2:W2">
    <cfRule type="cellIs" priority="3" operator="equal" aboveAverage="0" equalAverage="0" bottom="0" percent="0" rank="0" text="" dxfId="78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79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9.1796875" defaultRowHeight="14.25" zeroHeight="false" outlineLevelRow="0" outlineLevelCol="0"/>
  <cols>
    <col collapsed="false" customWidth="true" hidden="false" outlineLevel="0" max="1" min="1" style="83" width="4.18"/>
    <col collapsed="false" customWidth="false" hidden="false" outlineLevel="0" max="2" min="2" style="83" width="9.18"/>
    <col collapsed="false" customWidth="true" hidden="false" outlineLevel="0" max="23" min="3" style="83" width="6.73"/>
    <col collapsed="false" customWidth="true" hidden="false" outlineLevel="0" max="26" min="24" style="83" width="5.73"/>
    <col collapsed="false" customWidth="true" hidden="false" outlineLevel="0" max="27" min="27" style="130" width="7.18"/>
    <col collapsed="false" customWidth="true" hidden="false" outlineLevel="0" max="28" min="28" style="131" width="7.46"/>
    <col collapsed="false" customWidth="true" hidden="false" outlineLevel="0" max="29" min="29" style="130" width="6.54"/>
    <col collapsed="false" customWidth="true" hidden="false" outlineLevel="0" max="30" min="30" style="132" width="5.73"/>
    <col collapsed="false" customWidth="true" hidden="false" outlineLevel="0" max="31" min="31" style="133" width="5.73"/>
    <col collapsed="false" customWidth="true" hidden="false" outlineLevel="0" max="33" min="32" style="134" width="5.73"/>
    <col collapsed="false" customWidth="true" hidden="false" outlineLevel="0" max="34" min="34" style="132" width="5.73"/>
    <col collapsed="false" customWidth="true" hidden="false" outlineLevel="0" max="35" min="35" style="135" width="5.82"/>
    <col collapsed="false" customWidth="true" hidden="false" outlineLevel="0" max="36" min="36" style="135" width="7.46"/>
    <col collapsed="false" customWidth="false" hidden="false" outlineLevel="0" max="1024" min="37" style="83" width="9.18"/>
  </cols>
  <sheetData>
    <row r="1" customFormat="false" ht="15" hidden="false" customHeight="false" outlineLevel="0" collapsed="false">
      <c r="A1" s="84"/>
      <c r="B1" s="84"/>
      <c r="C1" s="85" t="s">
        <v>144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AA1" s="136" t="s">
        <v>149</v>
      </c>
      <c r="AB1" s="136"/>
      <c r="AC1" s="137" t="s">
        <v>150</v>
      </c>
      <c r="AD1" s="138"/>
      <c r="AE1" s="136" t="s">
        <v>151</v>
      </c>
      <c r="AF1" s="136"/>
      <c r="AG1" s="136"/>
      <c r="AH1" s="136"/>
      <c r="AI1" s="136" t="s">
        <v>152</v>
      </c>
      <c r="AJ1" s="136"/>
    </row>
    <row r="2" customFormat="false" ht="15" hidden="false" customHeight="false" outlineLevel="0" collapsed="false">
      <c r="A2" s="84"/>
      <c r="B2" s="84"/>
      <c r="C2" s="86" t="str">
        <f aca="false">Neu!$B4</f>
        <v>A</v>
      </c>
      <c r="D2" s="87" t="s">
        <v>6</v>
      </c>
      <c r="E2" s="87"/>
      <c r="F2" s="87" t="n">
        <f aca="false">Neu!$B7</f>
        <v>0</v>
      </c>
      <c r="G2" s="87" t="n">
        <f aca="false">Neu!$B8</f>
        <v>0</v>
      </c>
      <c r="H2" s="87" t="n">
        <f aca="false">Neu!$B9</f>
        <v>0</v>
      </c>
      <c r="I2" s="87" t="n">
        <f aca="false">Neu!$B10</f>
        <v>0</v>
      </c>
      <c r="J2" s="87" t="n">
        <f aca="false">Neu!$B11</f>
        <v>0</v>
      </c>
      <c r="K2" s="87" t="n">
        <f aca="false">Neu!$B12</f>
        <v>0</v>
      </c>
      <c r="L2" s="87" t="n">
        <f aca="false">Neu!$B13</f>
        <v>0</v>
      </c>
      <c r="M2" s="87" t="n">
        <f aca="false">Neu!$B14</f>
        <v>0</v>
      </c>
      <c r="N2" s="87" t="n">
        <f aca="false">Neu!$B15</f>
        <v>0</v>
      </c>
      <c r="O2" s="87" t="n">
        <f aca="false">Neu!$B16</f>
        <v>0</v>
      </c>
      <c r="P2" s="87" t="n">
        <f aca="false">Neu!$B17</f>
        <v>0</v>
      </c>
      <c r="Q2" s="87" t="n">
        <f aca="false">Neu!$B18</f>
        <v>0</v>
      </c>
      <c r="R2" s="87" t="n">
        <f aca="false">Neu!$B19</f>
        <v>0</v>
      </c>
      <c r="S2" s="87" t="n">
        <f aca="false">Neu!$B20</f>
        <v>0</v>
      </c>
      <c r="T2" s="87" t="n">
        <f aca="false">Neu!$B21</f>
        <v>0</v>
      </c>
      <c r="U2" s="87" t="n">
        <f aca="false">Neu!$B22</f>
        <v>0</v>
      </c>
      <c r="V2" s="87" t="n">
        <f aca="false">Neu!$B23</f>
        <v>0</v>
      </c>
      <c r="W2" s="88" t="n">
        <f aca="false">Neu!$B24</f>
        <v>0</v>
      </c>
      <c r="AA2" s="138" t="s">
        <v>153</v>
      </c>
      <c r="AB2" s="138" t="s">
        <v>154</v>
      </c>
      <c r="AC2" s="138" t="s">
        <v>155</v>
      </c>
      <c r="AD2" s="138" t="s">
        <v>156</v>
      </c>
      <c r="AE2" s="138" t="s">
        <v>14</v>
      </c>
      <c r="AF2" s="138" t="s">
        <v>15</v>
      </c>
      <c r="AG2" s="138" t="s">
        <v>12</v>
      </c>
      <c r="AH2" s="138" t="s">
        <v>157</v>
      </c>
      <c r="AI2" s="138" t="s">
        <v>29</v>
      </c>
      <c r="AJ2" s="8" t="s">
        <v>158</v>
      </c>
    </row>
    <row r="3" customFormat="false" ht="14.25" hidden="false" customHeight="true" outlineLevel="0" collapsed="false">
      <c r="A3" s="89" t="s">
        <v>145</v>
      </c>
      <c r="B3" s="52" t="str">
        <f aca="false">Neu!B4</f>
        <v>A</v>
      </c>
      <c r="C3" s="90"/>
      <c r="D3" s="91" t="n">
        <v>1</v>
      </c>
      <c r="E3" s="91"/>
      <c r="F3" s="92"/>
      <c r="G3" s="91"/>
      <c r="H3" s="91"/>
      <c r="I3" s="91"/>
      <c r="J3" s="91"/>
      <c r="K3" s="92"/>
      <c r="L3" s="91"/>
      <c r="M3" s="91"/>
      <c r="N3" s="91"/>
      <c r="O3" s="91"/>
      <c r="P3" s="92"/>
      <c r="Q3" s="91"/>
      <c r="R3" s="91"/>
      <c r="S3" s="91"/>
      <c r="T3" s="91"/>
      <c r="U3" s="91"/>
      <c r="V3" s="91"/>
      <c r="W3" s="93"/>
      <c r="X3" s="139" t="s">
        <v>146</v>
      </c>
      <c r="Y3" s="83" t="n">
        <f aca="false">COUNTIF($C$3:$W$44,ROW(Z3)-2)</f>
        <v>1</v>
      </c>
      <c r="Z3" s="83" t="n">
        <f aca="false">IF(ROW(AA3)-2&lt;=MAX($C$3:$W$44),ROW(AA3)-2,"")</f>
        <v>1</v>
      </c>
      <c r="AA3" s="130" t="n">
        <v>0.05</v>
      </c>
      <c r="AE3" s="133" t="n">
        <v>-50</v>
      </c>
      <c r="AF3" s="134" t="n">
        <v>15</v>
      </c>
      <c r="AG3" s="134" t="n">
        <v>1</v>
      </c>
      <c r="AH3" s="140"/>
      <c r="AK3" s="139"/>
    </row>
    <row r="4" customFormat="false" ht="14.25" hidden="false" customHeight="true" outlineLevel="0" collapsed="false">
      <c r="A4" s="89"/>
      <c r="B4" s="52"/>
      <c r="C4" s="96"/>
      <c r="D4" s="97"/>
      <c r="E4" s="97"/>
      <c r="F4" s="98"/>
      <c r="G4" s="97"/>
      <c r="H4" s="97"/>
      <c r="I4" s="97"/>
      <c r="J4" s="97"/>
      <c r="K4" s="98"/>
      <c r="L4" s="97"/>
      <c r="M4" s="97"/>
      <c r="N4" s="97"/>
      <c r="O4" s="97"/>
      <c r="P4" s="98"/>
      <c r="Q4" s="97"/>
      <c r="R4" s="97"/>
      <c r="S4" s="97"/>
      <c r="T4" s="97"/>
      <c r="U4" s="97"/>
      <c r="V4" s="97"/>
      <c r="W4" s="99"/>
      <c r="X4" s="139" t="s">
        <v>148</v>
      </c>
      <c r="Y4" s="83" t="n">
        <f aca="false">COUNTIF($C$3:$W$44,ROW(Z4)-2)</f>
        <v>1</v>
      </c>
      <c r="Z4" s="83" t="n">
        <f aca="false">IF(ROW(AA4)-2&lt;=MAX($C$3:$W$44),ROW(AA4)-2,"")</f>
        <v>2</v>
      </c>
      <c r="AA4" s="130" t="n">
        <v>0.05</v>
      </c>
      <c r="AK4" s="139"/>
    </row>
    <row r="5" customFormat="false" ht="14.25" hidden="false" customHeight="true" outlineLevel="0" collapsed="false">
      <c r="A5" s="89"/>
      <c r="B5" s="101" t="s">
        <v>6</v>
      </c>
      <c r="C5" s="102" t="n">
        <v>2</v>
      </c>
      <c r="D5" s="103"/>
      <c r="E5" s="104"/>
      <c r="F5" s="105"/>
      <c r="G5" s="104"/>
      <c r="H5" s="104"/>
      <c r="I5" s="104"/>
      <c r="J5" s="104"/>
      <c r="K5" s="105"/>
      <c r="L5" s="104"/>
      <c r="M5" s="104"/>
      <c r="N5" s="104"/>
      <c r="O5" s="104"/>
      <c r="P5" s="105"/>
      <c r="Q5" s="104"/>
      <c r="R5" s="104"/>
      <c r="S5" s="104"/>
      <c r="T5" s="104"/>
      <c r="U5" s="104"/>
      <c r="V5" s="104"/>
      <c r="W5" s="106"/>
      <c r="Y5" s="83" t="n">
        <f aca="false">COUNTIF($C$3:$W$44,ROW(Z5)-2)</f>
        <v>0</v>
      </c>
      <c r="Z5" s="83" t="str">
        <f aca="false">IF(ROW(AA5)-2&lt;=MAX($C$3:$W$44),ROW(AA5)-2,"")</f>
        <v/>
      </c>
    </row>
    <row r="6" customFormat="false" ht="14.25" hidden="false" customHeight="true" outlineLevel="0" collapsed="false">
      <c r="A6" s="89"/>
      <c r="B6" s="101"/>
      <c r="C6" s="107"/>
      <c r="D6" s="108"/>
      <c r="E6" s="109"/>
      <c r="F6" s="110"/>
      <c r="G6" s="109"/>
      <c r="H6" s="109"/>
      <c r="I6" s="109"/>
      <c r="J6" s="109"/>
      <c r="K6" s="110"/>
      <c r="L6" s="109"/>
      <c r="M6" s="109"/>
      <c r="N6" s="109"/>
      <c r="O6" s="109"/>
      <c r="P6" s="110"/>
      <c r="Q6" s="109"/>
      <c r="R6" s="109"/>
      <c r="S6" s="109"/>
      <c r="T6" s="109"/>
      <c r="U6" s="109"/>
      <c r="V6" s="109"/>
      <c r="W6" s="111"/>
      <c r="Y6" s="83" t="n">
        <f aca="false">COUNTIF($C$3:$W$44,ROW(Z6)-2)</f>
        <v>0</v>
      </c>
      <c r="Z6" s="83" t="str">
        <f aca="false">IF(ROW(AA6)-2&lt;=MAX($C$3:$W$44),ROW(AA6)-2,"")</f>
        <v/>
      </c>
    </row>
    <row r="7" customFormat="false" ht="14.25" hidden="false" customHeight="true" outlineLevel="0" collapsed="false">
      <c r="A7" s="89"/>
      <c r="B7" s="101"/>
      <c r="C7" s="102"/>
      <c r="D7" s="104"/>
      <c r="E7" s="103"/>
      <c r="F7" s="105"/>
      <c r="G7" s="104"/>
      <c r="H7" s="104"/>
      <c r="I7" s="104"/>
      <c r="J7" s="104"/>
      <c r="K7" s="105"/>
      <c r="L7" s="104"/>
      <c r="M7" s="104"/>
      <c r="N7" s="104"/>
      <c r="O7" s="104"/>
      <c r="P7" s="105"/>
      <c r="Q7" s="104"/>
      <c r="R7" s="104"/>
      <c r="S7" s="104"/>
      <c r="T7" s="104"/>
      <c r="U7" s="104"/>
      <c r="V7" s="104"/>
      <c r="W7" s="106"/>
      <c r="Y7" s="83" t="n">
        <f aca="false">COUNTIF($C$3:$W$44,ROW(Z7)-2)</f>
        <v>0</v>
      </c>
      <c r="Z7" s="83" t="str">
        <f aca="false">IF(ROW(AA7)-2&lt;=MAX($C$3:$W$44),ROW(AA7)-2,"")</f>
        <v/>
      </c>
    </row>
    <row r="8" customFormat="false" ht="14.25" hidden="false" customHeight="true" outlineLevel="0" collapsed="false">
      <c r="A8" s="89"/>
      <c r="B8" s="101"/>
      <c r="C8" s="107"/>
      <c r="D8" s="109"/>
      <c r="E8" s="108"/>
      <c r="F8" s="110"/>
      <c r="G8" s="109"/>
      <c r="H8" s="109"/>
      <c r="I8" s="109"/>
      <c r="J8" s="109"/>
      <c r="K8" s="110"/>
      <c r="L8" s="109"/>
      <c r="M8" s="109"/>
      <c r="N8" s="109"/>
      <c r="O8" s="109"/>
      <c r="P8" s="110"/>
      <c r="Q8" s="109"/>
      <c r="R8" s="109"/>
      <c r="S8" s="109"/>
      <c r="T8" s="109"/>
      <c r="U8" s="109"/>
      <c r="V8" s="109"/>
      <c r="W8" s="111"/>
      <c r="Y8" s="83" t="n">
        <f aca="false">COUNTIF($C$3:$W$44,ROW(Z8)-2)</f>
        <v>0</v>
      </c>
      <c r="Z8" s="83" t="str">
        <f aca="false">IF(ROW(AA8)-2&lt;=MAX($C$3:$W$44),ROW(AA8)-2,"")</f>
        <v/>
      </c>
    </row>
    <row r="9" customFormat="false" ht="14.25" hidden="false" customHeight="true" outlineLevel="0" collapsed="false">
      <c r="A9" s="89"/>
      <c r="B9" s="101" t="n">
        <f aca="false">Neu!B7</f>
        <v>0</v>
      </c>
      <c r="C9" s="102"/>
      <c r="D9" s="104"/>
      <c r="E9" s="104"/>
      <c r="F9" s="112"/>
      <c r="G9" s="104"/>
      <c r="H9" s="104"/>
      <c r="I9" s="104"/>
      <c r="J9" s="104"/>
      <c r="K9" s="105"/>
      <c r="L9" s="104"/>
      <c r="M9" s="104"/>
      <c r="N9" s="104"/>
      <c r="O9" s="104"/>
      <c r="P9" s="105"/>
      <c r="Q9" s="104"/>
      <c r="R9" s="104"/>
      <c r="S9" s="104"/>
      <c r="T9" s="104"/>
      <c r="U9" s="104"/>
      <c r="V9" s="104"/>
      <c r="W9" s="106"/>
      <c r="Y9" s="83" t="n">
        <f aca="false">COUNTIF($C$3:$W$44,ROW(Z9)-2)</f>
        <v>0</v>
      </c>
      <c r="Z9" s="83" t="str">
        <f aca="false">IF(ROW(AA9)-2&lt;=MAX($C$3:$W$44),ROW(AA9)-2,"")</f>
        <v/>
      </c>
      <c r="AK9" s="139" t="s">
        <v>159</v>
      </c>
    </row>
    <row r="10" customFormat="false" ht="14.25" hidden="false" customHeight="true" outlineLevel="0" collapsed="false">
      <c r="A10" s="89"/>
      <c r="B10" s="101"/>
      <c r="C10" s="107"/>
      <c r="D10" s="109"/>
      <c r="E10" s="109"/>
      <c r="F10" s="116"/>
      <c r="G10" s="109"/>
      <c r="H10" s="109"/>
      <c r="I10" s="109"/>
      <c r="J10" s="109"/>
      <c r="K10" s="110"/>
      <c r="L10" s="109"/>
      <c r="M10" s="109"/>
      <c r="N10" s="109"/>
      <c r="O10" s="109"/>
      <c r="P10" s="110"/>
      <c r="Q10" s="109"/>
      <c r="R10" s="109"/>
      <c r="S10" s="109"/>
      <c r="T10" s="109"/>
      <c r="U10" s="109"/>
      <c r="V10" s="109"/>
      <c r="W10" s="111"/>
      <c r="Y10" s="83" t="n">
        <f aca="false">COUNTIF($C$3:$W$44,ROW(Z10)-2)</f>
        <v>0</v>
      </c>
      <c r="Z10" s="83" t="str">
        <f aca="false">IF(ROW(AA10)-2&lt;=MAX($C$3:$W$44),ROW(AA10)-2,"")</f>
        <v/>
      </c>
      <c r="AL10" s="139"/>
    </row>
    <row r="11" customFormat="false" ht="14.25" hidden="false" customHeight="true" outlineLevel="0" collapsed="false">
      <c r="A11" s="89"/>
      <c r="B11" s="101" t="n">
        <f aca="false">Neu!B8</f>
        <v>0</v>
      </c>
      <c r="C11" s="102"/>
      <c r="D11" s="104"/>
      <c r="E11" s="104"/>
      <c r="F11" s="105"/>
      <c r="G11" s="103"/>
      <c r="H11" s="104"/>
      <c r="I11" s="104"/>
      <c r="J11" s="104"/>
      <c r="K11" s="105"/>
      <c r="L11" s="104"/>
      <c r="M11" s="104"/>
      <c r="N11" s="104"/>
      <c r="O11" s="104"/>
      <c r="P11" s="105"/>
      <c r="Q11" s="104"/>
      <c r="R11" s="104"/>
      <c r="S11" s="104"/>
      <c r="T11" s="104"/>
      <c r="U11" s="104"/>
      <c r="V11" s="104"/>
      <c r="W11" s="106"/>
      <c r="Y11" s="83" t="n">
        <f aca="false">COUNTIF($C$3:$W$44,ROW(Z11)-2)</f>
        <v>0</v>
      </c>
      <c r="Z11" s="83" t="str">
        <f aca="false">IF(ROW(AA11)-2&lt;=MAX($C$3:$W$44),ROW(AA11)-2,"")</f>
        <v/>
      </c>
    </row>
    <row r="12" customFormat="false" ht="14.25" hidden="false" customHeight="true" outlineLevel="0" collapsed="false">
      <c r="A12" s="89"/>
      <c r="B12" s="101"/>
      <c r="C12" s="107"/>
      <c r="D12" s="109"/>
      <c r="E12" s="109"/>
      <c r="F12" s="110"/>
      <c r="G12" s="108"/>
      <c r="H12" s="109"/>
      <c r="I12" s="109"/>
      <c r="J12" s="109"/>
      <c r="K12" s="110"/>
      <c r="L12" s="109"/>
      <c r="M12" s="109"/>
      <c r="N12" s="109"/>
      <c r="O12" s="109"/>
      <c r="P12" s="110"/>
      <c r="Q12" s="109"/>
      <c r="R12" s="109"/>
      <c r="S12" s="109"/>
      <c r="T12" s="109"/>
      <c r="U12" s="109"/>
      <c r="V12" s="109"/>
      <c r="W12" s="111"/>
      <c r="Y12" s="83" t="n">
        <f aca="false">COUNTIF($C$3:$W$44,ROW(Z12)-2)</f>
        <v>0</v>
      </c>
      <c r="Z12" s="83" t="str">
        <f aca="false">IF(ROW(AA12)-2&lt;=MAX($C$3:$W$44),ROW(AA12)-2,"")</f>
        <v/>
      </c>
    </row>
    <row r="13" customFormat="false" ht="14.25" hidden="false" customHeight="true" outlineLevel="0" collapsed="false">
      <c r="A13" s="89"/>
      <c r="B13" s="101" t="n">
        <f aca="false">Neu!B9</f>
        <v>0</v>
      </c>
      <c r="C13" s="102"/>
      <c r="D13" s="104"/>
      <c r="E13" s="104"/>
      <c r="F13" s="105"/>
      <c r="G13" s="104"/>
      <c r="H13" s="103"/>
      <c r="I13" s="104"/>
      <c r="J13" s="104"/>
      <c r="K13" s="105"/>
      <c r="L13" s="104"/>
      <c r="M13" s="104"/>
      <c r="N13" s="104"/>
      <c r="O13" s="104"/>
      <c r="P13" s="105"/>
      <c r="Q13" s="104"/>
      <c r="R13" s="104"/>
      <c r="S13" s="104"/>
      <c r="T13" s="104"/>
      <c r="U13" s="104"/>
      <c r="V13" s="104"/>
      <c r="W13" s="106"/>
      <c r="Y13" s="83" t="n">
        <f aca="false">COUNTIF($C$3:$W$44,ROW(Z13)-2)</f>
        <v>0</v>
      </c>
      <c r="Z13" s="83" t="str">
        <f aca="false">IF(ROW(AA13)-2&lt;=MAX($C$3:$W$44),ROW(AA13)-2,"")</f>
        <v/>
      </c>
      <c r="AK13" s="141" t="s">
        <v>160</v>
      </c>
    </row>
    <row r="14" customFormat="false" ht="14.25" hidden="false" customHeight="true" outlineLevel="0" collapsed="false">
      <c r="A14" s="89"/>
      <c r="B14" s="101"/>
      <c r="C14" s="107"/>
      <c r="D14" s="109"/>
      <c r="E14" s="109"/>
      <c r="F14" s="110"/>
      <c r="G14" s="109"/>
      <c r="H14" s="108"/>
      <c r="I14" s="109"/>
      <c r="J14" s="109"/>
      <c r="K14" s="110"/>
      <c r="L14" s="109"/>
      <c r="M14" s="109"/>
      <c r="N14" s="109"/>
      <c r="O14" s="109"/>
      <c r="P14" s="110"/>
      <c r="Q14" s="109"/>
      <c r="R14" s="109"/>
      <c r="S14" s="109"/>
      <c r="T14" s="109"/>
      <c r="U14" s="109"/>
      <c r="V14" s="109"/>
      <c r="W14" s="111"/>
      <c r="Y14" s="83" t="n">
        <f aca="false">COUNTIF($C$3:$W$44,ROW(Z14)-2)</f>
        <v>0</v>
      </c>
      <c r="Z14" s="83" t="str">
        <f aca="false">IF(ROW(AA14)-2&lt;=MAX($C$3:$W$44),ROW(AA14)-2,"")</f>
        <v/>
      </c>
    </row>
    <row r="15" customFormat="false" ht="14.25" hidden="false" customHeight="true" outlineLevel="0" collapsed="false">
      <c r="A15" s="89"/>
      <c r="B15" s="101" t="n">
        <f aca="false">Neu!B10</f>
        <v>0</v>
      </c>
      <c r="C15" s="102"/>
      <c r="D15" s="104"/>
      <c r="E15" s="104"/>
      <c r="F15" s="105"/>
      <c r="G15" s="104"/>
      <c r="H15" s="104"/>
      <c r="I15" s="103"/>
      <c r="J15" s="104"/>
      <c r="K15" s="105"/>
      <c r="L15" s="104"/>
      <c r="M15" s="104"/>
      <c r="N15" s="104"/>
      <c r="O15" s="104"/>
      <c r="P15" s="105"/>
      <c r="Q15" s="104"/>
      <c r="R15" s="104"/>
      <c r="S15" s="104"/>
      <c r="T15" s="104"/>
      <c r="U15" s="104"/>
      <c r="V15" s="104"/>
      <c r="W15" s="106"/>
      <c r="Y15" s="83" t="n">
        <f aca="false">COUNTIF($C$3:$W$44,ROW(Z15)-2)</f>
        <v>0</v>
      </c>
      <c r="Z15" s="83" t="str">
        <f aca="false">IF(ROW(AA15)-2&lt;=MAX($C$3:$W$44),ROW(AA15)-2,"")</f>
        <v/>
      </c>
    </row>
    <row r="16" customFormat="false" ht="14.25" hidden="false" customHeight="true" outlineLevel="0" collapsed="false">
      <c r="A16" s="89"/>
      <c r="B16" s="101"/>
      <c r="C16" s="113"/>
      <c r="D16" s="97"/>
      <c r="E16" s="97"/>
      <c r="F16" s="98"/>
      <c r="G16" s="97"/>
      <c r="H16" s="97"/>
      <c r="I16" s="115"/>
      <c r="J16" s="97"/>
      <c r="K16" s="98"/>
      <c r="L16" s="97"/>
      <c r="M16" s="97"/>
      <c r="N16" s="97"/>
      <c r="O16" s="97"/>
      <c r="P16" s="98"/>
      <c r="Q16" s="97"/>
      <c r="R16" s="97"/>
      <c r="S16" s="97"/>
      <c r="T16" s="97"/>
      <c r="U16" s="97"/>
      <c r="V16" s="97"/>
      <c r="W16" s="99"/>
      <c r="Y16" s="83" t="n">
        <f aca="false">COUNTIF($C$3:$W$44,ROW(Z16)-2)</f>
        <v>0</v>
      </c>
      <c r="Z16" s="83" t="str">
        <f aca="false">IF(ROW(AA16)-2&lt;=MAX($C$3:$W$44),ROW(AA16)-2,"")</f>
        <v/>
      </c>
    </row>
    <row r="17" customFormat="false" ht="14.25" hidden="false" customHeight="true" outlineLevel="0" collapsed="false">
      <c r="A17" s="89"/>
      <c r="B17" s="101" t="n">
        <f aca="false">Neu!B11</f>
        <v>0</v>
      </c>
      <c r="C17" s="102"/>
      <c r="D17" s="104"/>
      <c r="E17" s="104"/>
      <c r="F17" s="105"/>
      <c r="G17" s="104"/>
      <c r="H17" s="104"/>
      <c r="I17" s="104"/>
      <c r="J17" s="103"/>
      <c r="K17" s="105"/>
      <c r="L17" s="104"/>
      <c r="M17" s="104"/>
      <c r="N17" s="104"/>
      <c r="O17" s="104"/>
      <c r="P17" s="105"/>
      <c r="Q17" s="104"/>
      <c r="R17" s="104"/>
      <c r="S17" s="104"/>
      <c r="T17" s="104"/>
      <c r="U17" s="104"/>
      <c r="V17" s="104"/>
      <c r="W17" s="106"/>
      <c r="Y17" s="83" t="n">
        <f aca="false">COUNTIF($C$3:$W$44,ROW(Z17)-2)</f>
        <v>0</v>
      </c>
      <c r="Z17" s="83" t="str">
        <f aca="false">IF(ROW(AA17)-2&lt;=MAX($C$3:$W$44),ROW(AA17)-2,"")</f>
        <v/>
      </c>
    </row>
    <row r="18" customFormat="false" ht="14.25" hidden="false" customHeight="true" outlineLevel="0" collapsed="false">
      <c r="A18" s="89"/>
      <c r="B18" s="101"/>
      <c r="C18" s="107"/>
      <c r="D18" s="109"/>
      <c r="E18" s="109"/>
      <c r="F18" s="110"/>
      <c r="G18" s="109"/>
      <c r="H18" s="109"/>
      <c r="I18" s="109"/>
      <c r="J18" s="108"/>
      <c r="K18" s="110"/>
      <c r="L18" s="109"/>
      <c r="M18" s="109"/>
      <c r="N18" s="109"/>
      <c r="O18" s="109"/>
      <c r="P18" s="110"/>
      <c r="Q18" s="109"/>
      <c r="R18" s="109"/>
      <c r="S18" s="109"/>
      <c r="T18" s="109"/>
      <c r="U18" s="109"/>
      <c r="V18" s="109"/>
      <c r="W18" s="111"/>
      <c r="Y18" s="83" t="n">
        <f aca="false">COUNTIF($C$3:$W$44,ROW(Z18)-2)</f>
        <v>0</v>
      </c>
      <c r="Z18" s="83" t="str">
        <f aca="false">IF(ROW(AA18)-2&lt;=MAX($C$3:$W$44),ROW(AA18)-2,"")</f>
        <v/>
      </c>
    </row>
    <row r="19" customFormat="false" ht="14.25" hidden="false" customHeight="true" outlineLevel="0" collapsed="false">
      <c r="A19" s="89"/>
      <c r="B19" s="101" t="n">
        <f aca="false">Neu!B12</f>
        <v>0</v>
      </c>
      <c r="C19" s="102"/>
      <c r="D19" s="104"/>
      <c r="E19" s="104"/>
      <c r="F19" s="105"/>
      <c r="G19" s="104"/>
      <c r="H19" s="104"/>
      <c r="I19" s="104"/>
      <c r="J19" s="104"/>
      <c r="K19" s="112"/>
      <c r="L19" s="104"/>
      <c r="M19" s="104"/>
      <c r="N19" s="104"/>
      <c r="O19" s="104"/>
      <c r="P19" s="105"/>
      <c r="Q19" s="104"/>
      <c r="R19" s="104"/>
      <c r="S19" s="104"/>
      <c r="T19" s="104"/>
      <c r="U19" s="104"/>
      <c r="V19" s="104"/>
      <c r="W19" s="106"/>
      <c r="Y19" s="83" t="n">
        <f aca="false">COUNTIF($C$3:$W$44,ROW(Z19)-2)</f>
        <v>0</v>
      </c>
      <c r="Z19" s="83" t="str">
        <f aca="false">IF(ROW(AA19)-2&lt;=MAX($C$3:$W$44),ROW(AA19)-2,"")</f>
        <v/>
      </c>
    </row>
    <row r="20" customFormat="false" ht="14.25" hidden="false" customHeight="true" outlineLevel="0" collapsed="false">
      <c r="A20" s="89"/>
      <c r="B20" s="101"/>
      <c r="C20" s="107"/>
      <c r="D20" s="109"/>
      <c r="E20" s="109"/>
      <c r="F20" s="110"/>
      <c r="G20" s="109"/>
      <c r="H20" s="109"/>
      <c r="I20" s="109"/>
      <c r="J20" s="109"/>
      <c r="K20" s="116"/>
      <c r="L20" s="109"/>
      <c r="M20" s="109"/>
      <c r="N20" s="109"/>
      <c r="O20" s="109"/>
      <c r="P20" s="110"/>
      <c r="Q20" s="109"/>
      <c r="R20" s="109"/>
      <c r="S20" s="109"/>
      <c r="T20" s="109"/>
      <c r="U20" s="109"/>
      <c r="V20" s="109"/>
      <c r="W20" s="111"/>
      <c r="Y20" s="83" t="n">
        <f aca="false">COUNTIF($C$3:$W$44,ROW(Z20)-2)</f>
        <v>0</v>
      </c>
      <c r="Z20" s="83" t="str">
        <f aca="false">IF(ROW(AA20)-2&lt;=MAX($C$3:$W$44),ROW(AA20)-2,"")</f>
        <v/>
      </c>
    </row>
    <row r="21" customFormat="false" ht="14.25" hidden="false" customHeight="true" outlineLevel="0" collapsed="false">
      <c r="A21" s="89"/>
      <c r="B21" s="101" t="n">
        <f aca="false">Neu!B13</f>
        <v>0</v>
      </c>
      <c r="C21" s="102"/>
      <c r="D21" s="104"/>
      <c r="E21" s="104"/>
      <c r="F21" s="105"/>
      <c r="G21" s="104"/>
      <c r="H21" s="104"/>
      <c r="I21" s="104"/>
      <c r="J21" s="104"/>
      <c r="K21" s="105"/>
      <c r="L21" s="103"/>
      <c r="M21" s="104"/>
      <c r="N21" s="104"/>
      <c r="O21" s="104"/>
      <c r="P21" s="105"/>
      <c r="Q21" s="104"/>
      <c r="R21" s="104"/>
      <c r="S21" s="104"/>
      <c r="T21" s="104"/>
      <c r="U21" s="104"/>
      <c r="V21" s="104"/>
      <c r="W21" s="106"/>
      <c r="Y21" s="83" t="n">
        <f aca="false">COUNTIF($C$3:$W$44,ROW(Z21)-2)</f>
        <v>0</v>
      </c>
      <c r="Z21" s="83" t="str">
        <f aca="false">IF(ROW(AA21)-2&lt;=MAX($C$3:$W$44),ROW(AA21)-2,"")</f>
        <v/>
      </c>
    </row>
    <row r="22" customFormat="false" ht="14.25" hidden="false" customHeight="true" outlineLevel="0" collapsed="false">
      <c r="A22" s="89"/>
      <c r="B22" s="101"/>
      <c r="C22" s="107"/>
      <c r="D22" s="109"/>
      <c r="E22" s="109"/>
      <c r="F22" s="110"/>
      <c r="G22" s="109"/>
      <c r="H22" s="109"/>
      <c r="I22" s="109"/>
      <c r="J22" s="109"/>
      <c r="K22" s="110"/>
      <c r="L22" s="108"/>
      <c r="M22" s="109"/>
      <c r="N22" s="109"/>
      <c r="O22" s="109"/>
      <c r="P22" s="110"/>
      <c r="Q22" s="109"/>
      <c r="R22" s="109"/>
      <c r="S22" s="109"/>
      <c r="T22" s="109"/>
      <c r="U22" s="109"/>
      <c r="V22" s="109"/>
      <c r="W22" s="111"/>
      <c r="Y22" s="83" t="n">
        <f aca="false">COUNTIF($C$3:$W$44,ROW(Z22)-2)</f>
        <v>0</v>
      </c>
      <c r="Z22" s="83" t="str">
        <f aca="false">IF(ROW(AA22)-2&lt;=MAX($C$3:$W$44),ROW(AA22)-2,"")</f>
        <v/>
      </c>
    </row>
    <row r="23" customFormat="false" ht="14.25" hidden="false" customHeight="true" outlineLevel="0" collapsed="false">
      <c r="A23" s="89"/>
      <c r="B23" s="101" t="n">
        <f aca="false">Neu!B14</f>
        <v>0</v>
      </c>
      <c r="C23" s="102"/>
      <c r="D23" s="104"/>
      <c r="E23" s="104"/>
      <c r="F23" s="105"/>
      <c r="G23" s="104"/>
      <c r="H23" s="104"/>
      <c r="I23" s="104"/>
      <c r="J23" s="104"/>
      <c r="K23" s="105"/>
      <c r="L23" s="104"/>
      <c r="M23" s="103"/>
      <c r="N23" s="104"/>
      <c r="O23" s="104"/>
      <c r="P23" s="105"/>
      <c r="Q23" s="104"/>
      <c r="R23" s="104"/>
      <c r="S23" s="104"/>
      <c r="T23" s="104"/>
      <c r="U23" s="104"/>
      <c r="V23" s="104"/>
      <c r="W23" s="106"/>
      <c r="Y23" s="83" t="n">
        <f aca="false">COUNTIF($C$3:$W$44,ROW(Z23)-2)</f>
        <v>0</v>
      </c>
      <c r="Z23" s="83" t="str">
        <f aca="false">IF(ROW(AA23)-2&lt;=MAX($C$3:$W$44),ROW(AA23)-2,"")</f>
        <v/>
      </c>
    </row>
    <row r="24" customFormat="false" ht="14.25" hidden="false" customHeight="true" outlineLevel="0" collapsed="false">
      <c r="A24" s="89"/>
      <c r="B24" s="101"/>
      <c r="C24" s="113"/>
      <c r="D24" s="97"/>
      <c r="E24" s="97"/>
      <c r="F24" s="98"/>
      <c r="G24" s="97"/>
      <c r="H24" s="97"/>
      <c r="I24" s="97"/>
      <c r="J24" s="97"/>
      <c r="K24" s="98"/>
      <c r="L24" s="97"/>
      <c r="M24" s="115"/>
      <c r="N24" s="97"/>
      <c r="O24" s="97"/>
      <c r="P24" s="98"/>
      <c r="Q24" s="97"/>
      <c r="R24" s="97"/>
      <c r="S24" s="97"/>
      <c r="T24" s="97"/>
      <c r="U24" s="97"/>
      <c r="V24" s="97"/>
      <c r="W24" s="99"/>
      <c r="Y24" s="83" t="n">
        <f aca="false">COUNTIF($C$3:$W$44,ROW(Z24)-2)</f>
        <v>0</v>
      </c>
      <c r="Z24" s="83" t="str">
        <f aca="false">IF(ROW(AA24)-2&lt;=MAX($C$3:$W$44),ROW(AA24)-2,"")</f>
        <v/>
      </c>
    </row>
    <row r="25" customFormat="false" ht="14.25" hidden="false" customHeight="true" outlineLevel="0" collapsed="false">
      <c r="A25" s="89"/>
      <c r="B25" s="101" t="n">
        <f aca="false">Neu!B15</f>
        <v>0</v>
      </c>
      <c r="C25" s="102"/>
      <c r="D25" s="104"/>
      <c r="E25" s="104"/>
      <c r="F25" s="105"/>
      <c r="G25" s="104"/>
      <c r="H25" s="104"/>
      <c r="I25" s="104"/>
      <c r="J25" s="104"/>
      <c r="K25" s="105"/>
      <c r="L25" s="104"/>
      <c r="M25" s="104"/>
      <c r="N25" s="103"/>
      <c r="O25" s="104"/>
      <c r="P25" s="105"/>
      <c r="Q25" s="104"/>
      <c r="R25" s="104"/>
      <c r="S25" s="104"/>
      <c r="T25" s="104"/>
      <c r="U25" s="104"/>
      <c r="V25" s="104"/>
      <c r="W25" s="106"/>
      <c r="Y25" s="83" t="n">
        <f aca="false">COUNTIF($C$3:$W$44,ROW(Z25)-2)</f>
        <v>0</v>
      </c>
      <c r="Z25" s="83" t="str">
        <f aca="false">IF(ROW(AA25)-2&lt;=MAX($C$3:$W$44),ROW(AA25)-2,"")</f>
        <v/>
      </c>
    </row>
    <row r="26" customFormat="false" ht="14.25" hidden="false" customHeight="true" outlineLevel="0" collapsed="false">
      <c r="A26" s="89"/>
      <c r="B26" s="101"/>
      <c r="C26" s="107"/>
      <c r="D26" s="109"/>
      <c r="E26" s="109"/>
      <c r="F26" s="110"/>
      <c r="G26" s="109"/>
      <c r="H26" s="109"/>
      <c r="I26" s="109"/>
      <c r="J26" s="109"/>
      <c r="K26" s="110"/>
      <c r="L26" s="109"/>
      <c r="M26" s="109"/>
      <c r="N26" s="108"/>
      <c r="O26" s="109"/>
      <c r="P26" s="110"/>
      <c r="Q26" s="109"/>
      <c r="R26" s="109"/>
      <c r="S26" s="109"/>
      <c r="T26" s="109"/>
      <c r="U26" s="109"/>
      <c r="V26" s="109"/>
      <c r="W26" s="111"/>
      <c r="Y26" s="83" t="n">
        <f aca="false">COUNTIF($C$3:$W$44,ROW(Z26)-2)</f>
        <v>0</v>
      </c>
      <c r="Z26" s="83" t="str">
        <f aca="false">IF(ROW(AA26)-2&lt;=MAX($C$3:$W$44),ROW(AA26)-2,"")</f>
        <v/>
      </c>
    </row>
    <row r="27" customFormat="false" ht="14.25" hidden="false" customHeight="true" outlineLevel="0" collapsed="false">
      <c r="A27" s="89"/>
      <c r="B27" s="101" t="n">
        <f aca="false">Neu!B16</f>
        <v>0</v>
      </c>
      <c r="C27" s="102"/>
      <c r="D27" s="104"/>
      <c r="E27" s="104"/>
      <c r="F27" s="105"/>
      <c r="G27" s="104"/>
      <c r="H27" s="104"/>
      <c r="I27" s="104"/>
      <c r="J27" s="104"/>
      <c r="K27" s="105"/>
      <c r="L27" s="104"/>
      <c r="M27" s="104"/>
      <c r="N27" s="104"/>
      <c r="O27" s="103"/>
      <c r="P27" s="105"/>
      <c r="Q27" s="104"/>
      <c r="R27" s="104"/>
      <c r="S27" s="104"/>
      <c r="T27" s="104"/>
      <c r="U27" s="104"/>
      <c r="V27" s="104"/>
      <c r="W27" s="106"/>
      <c r="Y27" s="83" t="n">
        <f aca="false">COUNTIF($C$3:$W$44,ROW(Z27)-2)</f>
        <v>0</v>
      </c>
      <c r="Z27" s="83" t="str">
        <f aca="false">IF(ROW(AA27)-2&lt;=MAX($C$3:$W$44),ROW(AA27)-2,"")</f>
        <v/>
      </c>
    </row>
    <row r="28" customFormat="false" ht="14.25" hidden="false" customHeight="true" outlineLevel="0" collapsed="false">
      <c r="A28" s="89"/>
      <c r="B28" s="101"/>
      <c r="C28" s="107"/>
      <c r="D28" s="109"/>
      <c r="E28" s="109"/>
      <c r="F28" s="110"/>
      <c r="G28" s="109"/>
      <c r="H28" s="109"/>
      <c r="I28" s="109"/>
      <c r="J28" s="109"/>
      <c r="K28" s="110"/>
      <c r="L28" s="109"/>
      <c r="M28" s="109"/>
      <c r="N28" s="109"/>
      <c r="O28" s="108"/>
      <c r="P28" s="110"/>
      <c r="Q28" s="109"/>
      <c r="R28" s="109"/>
      <c r="S28" s="109"/>
      <c r="T28" s="109"/>
      <c r="U28" s="109"/>
      <c r="V28" s="109"/>
      <c r="W28" s="111"/>
      <c r="Y28" s="83" t="n">
        <f aca="false">COUNTIF($C$3:$W$44,ROW(Z28)-2)</f>
        <v>0</v>
      </c>
      <c r="Z28" s="83" t="str">
        <f aca="false">IF(ROW(AA28)-2&lt;=MAX($C$3:$W$44),ROW(AA28)-2,"")</f>
        <v/>
      </c>
    </row>
    <row r="29" customFormat="false" ht="14.25" hidden="false" customHeight="true" outlineLevel="0" collapsed="false">
      <c r="A29" s="89"/>
      <c r="B29" s="101" t="n">
        <f aca="false">Neu!B17</f>
        <v>0</v>
      </c>
      <c r="C29" s="102"/>
      <c r="D29" s="104"/>
      <c r="E29" s="104"/>
      <c r="F29" s="105"/>
      <c r="G29" s="104"/>
      <c r="H29" s="104"/>
      <c r="I29" s="104"/>
      <c r="J29" s="104"/>
      <c r="K29" s="105"/>
      <c r="L29" s="104"/>
      <c r="M29" s="104"/>
      <c r="N29" s="104"/>
      <c r="O29" s="104"/>
      <c r="P29" s="112"/>
      <c r="Q29" s="104"/>
      <c r="R29" s="104"/>
      <c r="S29" s="104"/>
      <c r="T29" s="104"/>
      <c r="U29" s="104"/>
      <c r="V29" s="104"/>
      <c r="W29" s="106"/>
      <c r="Y29" s="83" t="n">
        <f aca="false">COUNTIF($C$3:$W$44,ROW(Z29)-2)</f>
        <v>0</v>
      </c>
      <c r="Z29" s="83" t="str">
        <f aca="false">IF(ROW(AA29)-2&lt;=MAX($C$3:$W$44),ROW(AA29)-2,"")</f>
        <v/>
      </c>
    </row>
    <row r="30" customFormat="false" ht="14.25" hidden="false" customHeight="true" outlineLevel="0" collapsed="false">
      <c r="A30" s="89"/>
      <c r="B30" s="101"/>
      <c r="C30" s="107"/>
      <c r="D30" s="109"/>
      <c r="E30" s="109"/>
      <c r="F30" s="110"/>
      <c r="G30" s="109"/>
      <c r="H30" s="109"/>
      <c r="I30" s="109"/>
      <c r="J30" s="109"/>
      <c r="K30" s="110"/>
      <c r="L30" s="109"/>
      <c r="M30" s="109"/>
      <c r="N30" s="109"/>
      <c r="O30" s="109"/>
      <c r="P30" s="116"/>
      <c r="Q30" s="109"/>
      <c r="R30" s="109"/>
      <c r="S30" s="109"/>
      <c r="T30" s="109"/>
      <c r="U30" s="109"/>
      <c r="V30" s="109"/>
      <c r="W30" s="111"/>
      <c r="Y30" s="83" t="n">
        <f aca="false">COUNTIF($C$3:$W$44,ROW(Z30)-2)</f>
        <v>0</v>
      </c>
      <c r="Z30" s="83" t="str">
        <f aca="false">IF(ROW(AA30)-2&lt;=MAX($C$3:$W$44),ROW(AA30)-2,"")</f>
        <v/>
      </c>
    </row>
    <row r="31" customFormat="false" ht="14.25" hidden="false" customHeight="true" outlineLevel="0" collapsed="false">
      <c r="A31" s="89"/>
      <c r="B31" s="101" t="n">
        <f aca="false">Neu!B18</f>
        <v>0</v>
      </c>
      <c r="C31" s="102"/>
      <c r="D31" s="104"/>
      <c r="E31" s="104"/>
      <c r="F31" s="105"/>
      <c r="G31" s="104"/>
      <c r="H31" s="104"/>
      <c r="I31" s="104"/>
      <c r="J31" s="104"/>
      <c r="K31" s="105"/>
      <c r="L31" s="104"/>
      <c r="M31" s="104"/>
      <c r="N31" s="104"/>
      <c r="O31" s="104"/>
      <c r="P31" s="105"/>
      <c r="Q31" s="103"/>
      <c r="R31" s="104"/>
      <c r="S31" s="104"/>
      <c r="T31" s="104"/>
      <c r="U31" s="104"/>
      <c r="V31" s="104"/>
      <c r="W31" s="106"/>
      <c r="Y31" s="83" t="n">
        <f aca="false">COUNTIF($C$3:$W$44,ROW(Z31)-2)</f>
        <v>0</v>
      </c>
      <c r="Z31" s="83" t="str">
        <f aca="false">IF(ROW(AA31)-2&lt;=MAX($C$3:$W$44),ROW(AA31)-2,"")</f>
        <v/>
      </c>
    </row>
    <row r="32" customFormat="false" ht="14.25" hidden="false" customHeight="true" outlineLevel="0" collapsed="false">
      <c r="A32" s="89"/>
      <c r="B32" s="101"/>
      <c r="C32" s="113"/>
      <c r="D32" s="97"/>
      <c r="E32" s="97"/>
      <c r="F32" s="98"/>
      <c r="G32" s="97"/>
      <c r="H32" s="97"/>
      <c r="I32" s="97"/>
      <c r="J32" s="97"/>
      <c r="K32" s="98"/>
      <c r="L32" s="97"/>
      <c r="M32" s="97"/>
      <c r="N32" s="97"/>
      <c r="O32" s="97"/>
      <c r="P32" s="98"/>
      <c r="Q32" s="115"/>
      <c r="R32" s="97"/>
      <c r="S32" s="97"/>
      <c r="T32" s="97"/>
      <c r="U32" s="97"/>
      <c r="V32" s="97"/>
      <c r="W32" s="99"/>
      <c r="Y32" s="83" t="n">
        <f aca="false">COUNTIF($C$3:$W$44,ROW(Z32)-2)</f>
        <v>0</v>
      </c>
      <c r="Z32" s="83" t="str">
        <f aca="false">IF(ROW(AA32)-2&lt;=MAX($C$3:$W$44),ROW(AA32)-2,"")</f>
        <v/>
      </c>
    </row>
    <row r="33" customFormat="false" ht="14.25" hidden="false" customHeight="true" outlineLevel="0" collapsed="false">
      <c r="A33" s="89"/>
      <c r="B33" s="101" t="n">
        <f aca="false">Neu!B19</f>
        <v>0</v>
      </c>
      <c r="C33" s="102"/>
      <c r="D33" s="104"/>
      <c r="E33" s="104"/>
      <c r="F33" s="105"/>
      <c r="G33" s="104"/>
      <c r="H33" s="104"/>
      <c r="I33" s="104"/>
      <c r="J33" s="104"/>
      <c r="K33" s="105"/>
      <c r="L33" s="104"/>
      <c r="M33" s="104"/>
      <c r="N33" s="104"/>
      <c r="O33" s="104"/>
      <c r="P33" s="105"/>
      <c r="Q33" s="104"/>
      <c r="R33" s="103"/>
      <c r="S33" s="104"/>
      <c r="T33" s="104"/>
      <c r="U33" s="104"/>
      <c r="V33" s="104"/>
      <c r="W33" s="106"/>
      <c r="Y33" s="83" t="n">
        <f aca="false">COUNTIF($C$3:$W$44,ROW(Z33)-2)</f>
        <v>0</v>
      </c>
      <c r="Z33" s="83" t="str">
        <f aca="false">IF(ROW(AA33)-2&lt;=MAX($C$3:$W$44),ROW(AA33)-2,"")</f>
        <v/>
      </c>
    </row>
    <row r="34" customFormat="false" ht="14.25" hidden="false" customHeight="true" outlineLevel="0" collapsed="false">
      <c r="A34" s="89"/>
      <c r="B34" s="101"/>
      <c r="C34" s="107"/>
      <c r="D34" s="109"/>
      <c r="E34" s="109"/>
      <c r="F34" s="110"/>
      <c r="G34" s="109"/>
      <c r="H34" s="109"/>
      <c r="I34" s="109"/>
      <c r="J34" s="109"/>
      <c r="K34" s="110"/>
      <c r="L34" s="109"/>
      <c r="M34" s="109"/>
      <c r="N34" s="109"/>
      <c r="O34" s="109"/>
      <c r="P34" s="110"/>
      <c r="Q34" s="109"/>
      <c r="R34" s="108"/>
      <c r="S34" s="109"/>
      <c r="T34" s="109"/>
      <c r="U34" s="109"/>
      <c r="V34" s="109"/>
      <c r="W34" s="111"/>
      <c r="Y34" s="83" t="n">
        <f aca="false">COUNTIF($C$3:$W$44,ROW(Z34)-2)</f>
        <v>0</v>
      </c>
      <c r="Z34" s="83" t="str">
        <f aca="false">IF(ROW(AA34)-2&lt;=MAX($C$3:$W$44),ROW(AA34)-2,"")</f>
        <v/>
      </c>
    </row>
    <row r="35" customFormat="false" ht="14.25" hidden="false" customHeight="true" outlineLevel="0" collapsed="false">
      <c r="A35" s="89"/>
      <c r="B35" s="101" t="n">
        <f aca="false">Neu!B20</f>
        <v>0</v>
      </c>
      <c r="C35" s="102"/>
      <c r="D35" s="104"/>
      <c r="E35" s="104"/>
      <c r="F35" s="105"/>
      <c r="G35" s="104"/>
      <c r="H35" s="104"/>
      <c r="I35" s="104"/>
      <c r="J35" s="104"/>
      <c r="K35" s="105"/>
      <c r="L35" s="104"/>
      <c r="M35" s="104"/>
      <c r="N35" s="104"/>
      <c r="O35" s="104"/>
      <c r="P35" s="105"/>
      <c r="Q35" s="104"/>
      <c r="R35" s="104"/>
      <c r="S35" s="103"/>
      <c r="T35" s="104"/>
      <c r="U35" s="104"/>
      <c r="V35" s="104"/>
      <c r="W35" s="106"/>
      <c r="Y35" s="83" t="n">
        <f aca="false">COUNTIF($C$3:$W$44,ROW(Z35)-2)</f>
        <v>0</v>
      </c>
      <c r="Z35" s="83" t="str">
        <f aca="false">IF(ROW(AA35)-2&lt;=MAX($C$3:$W$44),ROW(AA35)-2,"")</f>
        <v/>
      </c>
    </row>
    <row r="36" customFormat="false" ht="14.25" hidden="false" customHeight="true" outlineLevel="0" collapsed="false">
      <c r="A36" s="89"/>
      <c r="B36" s="101"/>
      <c r="C36" s="107"/>
      <c r="D36" s="109"/>
      <c r="E36" s="109"/>
      <c r="F36" s="110"/>
      <c r="G36" s="109"/>
      <c r="H36" s="109"/>
      <c r="I36" s="109"/>
      <c r="J36" s="109"/>
      <c r="K36" s="110"/>
      <c r="L36" s="109"/>
      <c r="M36" s="109"/>
      <c r="N36" s="109"/>
      <c r="O36" s="109"/>
      <c r="P36" s="110"/>
      <c r="Q36" s="109"/>
      <c r="R36" s="109"/>
      <c r="S36" s="108"/>
      <c r="T36" s="109"/>
      <c r="U36" s="109"/>
      <c r="V36" s="109"/>
      <c r="W36" s="111"/>
      <c r="Y36" s="83" t="n">
        <f aca="false">COUNTIF($C$3:$W$44,ROW(Z36)-2)</f>
        <v>0</v>
      </c>
      <c r="Z36" s="83" t="str">
        <f aca="false">IF(ROW(AA36)-2&lt;=MAX($C$3:$W$44),ROW(AA36)-2,"")</f>
        <v/>
      </c>
    </row>
    <row r="37" customFormat="false" ht="14.25" hidden="false" customHeight="true" outlineLevel="0" collapsed="false">
      <c r="A37" s="89"/>
      <c r="B37" s="101" t="n">
        <f aca="false">Neu!B21</f>
        <v>0</v>
      </c>
      <c r="C37" s="102"/>
      <c r="D37" s="104"/>
      <c r="E37" s="104"/>
      <c r="F37" s="105"/>
      <c r="G37" s="104"/>
      <c r="H37" s="104"/>
      <c r="I37" s="104"/>
      <c r="J37" s="104"/>
      <c r="K37" s="105"/>
      <c r="L37" s="104"/>
      <c r="M37" s="104"/>
      <c r="N37" s="104"/>
      <c r="O37" s="104"/>
      <c r="P37" s="105"/>
      <c r="Q37" s="104"/>
      <c r="R37" s="104"/>
      <c r="S37" s="104"/>
      <c r="T37" s="103"/>
      <c r="U37" s="104"/>
      <c r="V37" s="104"/>
      <c r="W37" s="106"/>
      <c r="Y37" s="83" t="n">
        <f aca="false">COUNTIF($C$3:$W$44,ROW(Z37)-2)</f>
        <v>0</v>
      </c>
      <c r="Z37" s="83" t="str">
        <f aca="false">IF(ROW(AA37)-2&lt;=MAX($C$3:$W$44),ROW(AA37)-2,"")</f>
        <v/>
      </c>
    </row>
    <row r="38" customFormat="false" ht="14.25" hidden="false" customHeight="true" outlineLevel="0" collapsed="false">
      <c r="A38" s="89"/>
      <c r="B38" s="101"/>
      <c r="C38" s="107"/>
      <c r="D38" s="109"/>
      <c r="E38" s="109"/>
      <c r="F38" s="110"/>
      <c r="G38" s="109"/>
      <c r="H38" s="109"/>
      <c r="I38" s="109"/>
      <c r="J38" s="109"/>
      <c r="K38" s="110"/>
      <c r="L38" s="109"/>
      <c r="M38" s="109"/>
      <c r="N38" s="109"/>
      <c r="O38" s="109"/>
      <c r="P38" s="110"/>
      <c r="Q38" s="109"/>
      <c r="R38" s="109"/>
      <c r="S38" s="109"/>
      <c r="T38" s="108"/>
      <c r="U38" s="109"/>
      <c r="V38" s="109"/>
      <c r="W38" s="111"/>
      <c r="Y38" s="83" t="n">
        <f aca="false">COUNTIF($C$3:$W$44,ROW(Z38)-2)</f>
        <v>0</v>
      </c>
      <c r="Z38" s="83" t="str">
        <f aca="false">IF(ROW(AA38)-2&lt;=MAX($C$3:$W$44),ROW(AA38)-2,"")</f>
        <v/>
      </c>
    </row>
    <row r="39" customFormat="false" ht="14.25" hidden="false" customHeight="true" outlineLevel="0" collapsed="false">
      <c r="A39" s="89"/>
      <c r="B39" s="101" t="n">
        <f aca="false">Neu!B22</f>
        <v>0</v>
      </c>
      <c r="C39" s="102"/>
      <c r="D39" s="104"/>
      <c r="E39" s="104"/>
      <c r="F39" s="105"/>
      <c r="G39" s="104"/>
      <c r="H39" s="104"/>
      <c r="I39" s="104"/>
      <c r="J39" s="104"/>
      <c r="K39" s="105"/>
      <c r="L39" s="104"/>
      <c r="M39" s="104"/>
      <c r="N39" s="104"/>
      <c r="O39" s="104"/>
      <c r="P39" s="105"/>
      <c r="Q39" s="104"/>
      <c r="R39" s="104"/>
      <c r="S39" s="104"/>
      <c r="T39" s="104"/>
      <c r="U39" s="103"/>
      <c r="V39" s="104"/>
      <c r="W39" s="106"/>
      <c r="Y39" s="83" t="n">
        <f aca="false">COUNTIF($C$3:$W$44,ROW(Z39)-2)</f>
        <v>0</v>
      </c>
      <c r="Z39" s="83" t="str">
        <f aca="false">IF(ROW(AA39)-2&lt;=MAX($C$3:$W$44),ROW(AA39)-2,"")</f>
        <v/>
      </c>
    </row>
    <row r="40" customFormat="false" ht="14.25" hidden="false" customHeight="true" outlineLevel="0" collapsed="false">
      <c r="A40" s="89"/>
      <c r="B40" s="101"/>
      <c r="C40" s="107"/>
      <c r="D40" s="109"/>
      <c r="E40" s="109"/>
      <c r="F40" s="110"/>
      <c r="G40" s="109"/>
      <c r="H40" s="109"/>
      <c r="I40" s="109"/>
      <c r="J40" s="109"/>
      <c r="K40" s="110"/>
      <c r="L40" s="109"/>
      <c r="M40" s="109"/>
      <c r="N40" s="109"/>
      <c r="O40" s="109"/>
      <c r="P40" s="110"/>
      <c r="Q40" s="109"/>
      <c r="R40" s="109"/>
      <c r="S40" s="109"/>
      <c r="T40" s="109"/>
      <c r="U40" s="108"/>
      <c r="V40" s="109"/>
      <c r="W40" s="111"/>
      <c r="Y40" s="83" t="n">
        <f aca="false">COUNTIF($C$3:$W$44,ROW(Z40)-2)</f>
        <v>0</v>
      </c>
      <c r="Z40" s="83" t="str">
        <f aca="false">IF(ROW(AA40)-2&lt;=MAX($C$3:$W$44),ROW(AA40)-2,"")</f>
        <v/>
      </c>
    </row>
    <row r="41" customFormat="false" ht="14.25" hidden="false" customHeight="true" outlineLevel="0" collapsed="false">
      <c r="A41" s="89"/>
      <c r="B41" s="101" t="n">
        <f aca="false">Neu!B23</f>
        <v>0</v>
      </c>
      <c r="C41" s="102"/>
      <c r="D41" s="104"/>
      <c r="E41" s="104"/>
      <c r="F41" s="105"/>
      <c r="G41" s="104"/>
      <c r="H41" s="104"/>
      <c r="I41" s="104"/>
      <c r="J41" s="104"/>
      <c r="K41" s="105"/>
      <c r="L41" s="104"/>
      <c r="M41" s="104"/>
      <c r="N41" s="104"/>
      <c r="O41" s="104"/>
      <c r="P41" s="105"/>
      <c r="Q41" s="104"/>
      <c r="R41" s="104"/>
      <c r="S41" s="104"/>
      <c r="T41" s="104"/>
      <c r="U41" s="104"/>
      <c r="V41" s="103"/>
      <c r="W41" s="106"/>
      <c r="Y41" s="83" t="n">
        <f aca="false">COUNTIF($C$3:$W$44,ROW(Z41)-2)</f>
        <v>0</v>
      </c>
      <c r="Z41" s="83" t="str">
        <f aca="false">IF(ROW(AA41)-2&lt;=MAX($C$3:$W$44),ROW(AA41)-2,"")</f>
        <v/>
      </c>
    </row>
    <row r="42" customFormat="false" ht="14.25" hidden="false" customHeight="true" outlineLevel="0" collapsed="false">
      <c r="A42" s="89"/>
      <c r="B42" s="101"/>
      <c r="C42" s="107"/>
      <c r="D42" s="109"/>
      <c r="E42" s="109"/>
      <c r="F42" s="110"/>
      <c r="G42" s="109"/>
      <c r="H42" s="109"/>
      <c r="I42" s="109"/>
      <c r="J42" s="109"/>
      <c r="K42" s="110"/>
      <c r="L42" s="109"/>
      <c r="M42" s="109"/>
      <c r="N42" s="109"/>
      <c r="O42" s="109"/>
      <c r="P42" s="110"/>
      <c r="Q42" s="109"/>
      <c r="R42" s="109"/>
      <c r="S42" s="109"/>
      <c r="T42" s="109"/>
      <c r="U42" s="109"/>
      <c r="V42" s="108"/>
      <c r="W42" s="111"/>
      <c r="Y42" s="83" t="n">
        <f aca="false">COUNTIF($C$3:$W$44,ROW(Z42)-2)</f>
        <v>0</v>
      </c>
      <c r="Z42" s="83" t="str">
        <f aca="false">IF(ROW(AA42)-2&lt;=MAX($C$3:$W$44),ROW(AA42)-2,"")</f>
        <v/>
      </c>
    </row>
    <row r="43" customFormat="false" ht="14.25" hidden="false" customHeight="true" outlineLevel="0" collapsed="false">
      <c r="A43" s="89"/>
      <c r="B43" s="56" t="n">
        <f aca="false">Neu!B24</f>
        <v>0</v>
      </c>
      <c r="C43" s="102"/>
      <c r="D43" s="104"/>
      <c r="E43" s="104"/>
      <c r="F43" s="105"/>
      <c r="G43" s="104"/>
      <c r="H43" s="104"/>
      <c r="I43" s="104"/>
      <c r="J43" s="104"/>
      <c r="K43" s="105"/>
      <c r="L43" s="104"/>
      <c r="M43" s="104"/>
      <c r="N43" s="104"/>
      <c r="O43" s="104"/>
      <c r="P43" s="105"/>
      <c r="Q43" s="104"/>
      <c r="R43" s="104"/>
      <c r="S43" s="104"/>
      <c r="T43" s="104"/>
      <c r="U43" s="104"/>
      <c r="V43" s="104"/>
      <c r="W43" s="117"/>
      <c r="Y43" s="83" t="n">
        <f aca="false">COUNTIF($C$3:$W$44,ROW(Z43)-2)</f>
        <v>0</v>
      </c>
      <c r="Z43" s="83" t="str">
        <f aca="false">IF(ROW(AA43)-2&lt;=MAX($C$3:$W$44),ROW(AA43)-2,"")</f>
        <v/>
      </c>
    </row>
    <row r="44" customFormat="false" ht="14.25" hidden="false" customHeight="true" outlineLevel="0" collapsed="false">
      <c r="A44" s="118"/>
      <c r="B44" s="56"/>
      <c r="C44" s="119"/>
      <c r="D44" s="120"/>
      <c r="E44" s="120"/>
      <c r="F44" s="121"/>
      <c r="G44" s="120"/>
      <c r="H44" s="120"/>
      <c r="I44" s="120"/>
      <c r="J44" s="120"/>
      <c r="K44" s="121"/>
      <c r="L44" s="120"/>
      <c r="M44" s="120"/>
      <c r="N44" s="120"/>
      <c r="O44" s="120"/>
      <c r="P44" s="121"/>
      <c r="Q44" s="120"/>
      <c r="R44" s="120"/>
      <c r="S44" s="120"/>
      <c r="T44" s="120"/>
      <c r="U44" s="120"/>
      <c r="V44" s="120"/>
      <c r="W44" s="122"/>
      <c r="Z44" s="83" t="str">
        <f aca="false">IF(ROW(AA44)-2&lt;=MAX($C$3:$W$44),ROW(AA44)-2,"")</f>
        <v/>
      </c>
    </row>
    <row r="45" customFormat="false" ht="14.25" hidden="false" customHeight="false" outlineLevel="0" collapsed="false">
      <c r="V45" s="142" t="s">
        <v>161</v>
      </c>
      <c r="W45" s="83" t="n">
        <f aca="false">(MAX(Z:Z)+MIN(Z:Z))/2</f>
        <v>1.5</v>
      </c>
      <c r="Z45" s="83" t="str">
        <f aca="false">IF(ROW(AA45)-2&lt;=MAX($C$3:$W$44),ROW(AA45)-2,"")</f>
        <v/>
      </c>
    </row>
    <row r="46" customFormat="false" ht="14.25" hidden="false" customHeight="false" outlineLevel="0" collapsed="false">
      <c r="Z46" s="83" t="str">
        <f aca="false">IF(ROW(AA46)-2&lt;=MAX($C$3:$W$44),ROW(AA46)-2,"")</f>
        <v/>
      </c>
    </row>
    <row r="47" customFormat="false" ht="14.25" hidden="false" customHeight="false" outlineLevel="0" collapsed="false">
      <c r="Z47" s="83" t="str">
        <f aca="false">IF(ROW(AA47)-2&lt;=MAX($C$3:$W$44),ROW(AA47)-2,"")</f>
        <v/>
      </c>
    </row>
    <row r="48" customFormat="false" ht="14.25" hidden="false" customHeight="false" outlineLevel="0" collapsed="false">
      <c r="Z48" s="83" t="str">
        <f aca="false">IF(ROW(AA48)-2&lt;=MAX($C$3:$W$44),ROW(AA48)-2,"")</f>
        <v/>
      </c>
    </row>
    <row r="49" customFormat="false" ht="14.25" hidden="false" customHeight="false" outlineLevel="0" collapsed="false">
      <c r="Z49" s="83" t="str">
        <f aca="false">IF(ROW(AA49)-2&lt;=MAX($C$3:$W$44),ROW(AA49)-2,"")</f>
        <v/>
      </c>
    </row>
    <row r="50" customFormat="false" ht="14.25" hidden="false" customHeight="false" outlineLevel="0" collapsed="false">
      <c r="Z50" s="83" t="str">
        <f aca="false">IF(ROW(AA50)-2&lt;=MAX($C$3:$W$44),ROW(AA50)-2,"")</f>
        <v/>
      </c>
    </row>
    <row r="51" customFormat="false" ht="14.25" hidden="false" customHeight="false" outlineLevel="0" collapsed="false">
      <c r="Z51" s="83" t="str">
        <f aca="false">IF(ROW(AA51)-2&lt;=MAX($C$3:$W$44),ROW(AA51)-2,"")</f>
        <v/>
      </c>
    </row>
    <row r="52" customFormat="false" ht="14.25" hidden="false" customHeight="false" outlineLevel="0" collapsed="false">
      <c r="Z52" s="83" t="str">
        <f aca="false">IF(ROW(AA52)-2&lt;=MAX($C$3:$W$44),ROW(AA52)-2,"")</f>
        <v/>
      </c>
    </row>
    <row r="53" customFormat="false" ht="14.25" hidden="false" customHeight="false" outlineLevel="0" collapsed="false">
      <c r="Z53" s="83" t="str">
        <f aca="false">IF(ROW(AA53)-2&lt;=MAX($C$3:$W$44),ROW(AA53)-2,"")</f>
        <v/>
      </c>
    </row>
    <row r="54" customFormat="false" ht="14.25" hidden="false" customHeight="false" outlineLevel="0" collapsed="false">
      <c r="Z54" s="83" t="str">
        <f aca="false">IF(ROW(AA54)-2&lt;=MAX($C$3:$W$44),ROW(AA54)-2,"")</f>
        <v/>
      </c>
    </row>
    <row r="55" customFormat="false" ht="14.25" hidden="false" customHeight="false" outlineLevel="0" collapsed="false">
      <c r="Z55" s="83" t="str">
        <f aca="false">IF(ROW(AA55)-2&lt;=MAX($C$3:$W$44),ROW(AA55)-2,"")</f>
        <v/>
      </c>
    </row>
    <row r="56" customFormat="false" ht="14.25" hidden="false" customHeight="false" outlineLevel="0" collapsed="false">
      <c r="Z56" s="83" t="str">
        <f aca="false">IF(ROW(AA56)-2&lt;=MAX($C$3:$W$44),ROW(AA56)-2,"")</f>
        <v/>
      </c>
    </row>
    <row r="57" customFormat="false" ht="14.25" hidden="false" customHeight="false" outlineLevel="0" collapsed="false">
      <c r="Z57" s="83" t="str">
        <f aca="false">IF(ROW(AA57)-2&lt;=MAX($C$3:$W$44),ROW(AA57)-2,"")</f>
        <v/>
      </c>
    </row>
    <row r="58" customFormat="false" ht="14.25" hidden="false" customHeight="false" outlineLevel="0" collapsed="false">
      <c r="Z58" s="83" t="str">
        <f aca="false">IF(ROW(AA58)-2&lt;=MAX($C$3:$W$44),ROW(AA58)-2,"")</f>
        <v/>
      </c>
    </row>
    <row r="59" customFormat="false" ht="14.25" hidden="false" customHeight="false" outlineLevel="0" collapsed="false">
      <c r="Z59" s="83" t="str">
        <f aca="false">IF(ROW(AA59)-2&lt;=MAX($C$3:$W$44),ROW(AA59)-2,"")</f>
        <v/>
      </c>
    </row>
    <row r="60" customFormat="false" ht="14.25" hidden="false" customHeight="false" outlineLevel="0" collapsed="false">
      <c r="Z60" s="83" t="str">
        <f aca="false">IF(ROW(AA60)-2&lt;=MAX($C$3:$W$44),ROW(AA60)-2,"")</f>
        <v/>
      </c>
    </row>
    <row r="61" customFormat="false" ht="14.25" hidden="false" customHeight="false" outlineLevel="0" collapsed="false">
      <c r="Z61" s="83" t="str">
        <f aca="false">IF(ROW(AA61)-2&lt;=MAX($C$3:$W$44),ROW(AA61)-2,"")</f>
        <v/>
      </c>
    </row>
    <row r="62" customFormat="false" ht="14.25" hidden="false" customHeight="false" outlineLevel="0" collapsed="false">
      <c r="Z62" s="83" t="str">
        <f aca="false">IF(ROW(AA62)-2&lt;=MAX($C$3:$W$44),ROW(AA62)-2,"")</f>
        <v/>
      </c>
    </row>
    <row r="63" customFormat="false" ht="14.25" hidden="false" customHeight="false" outlineLevel="0" collapsed="false">
      <c r="Z63" s="83" t="str">
        <f aca="false">IF(ROW(AA63)-2&lt;=MAX($C$3:$W$44),ROW(AA63)-2,"")</f>
        <v/>
      </c>
    </row>
    <row r="64" customFormat="false" ht="14.25" hidden="false" customHeight="false" outlineLevel="0" collapsed="false">
      <c r="Z64" s="83" t="str">
        <f aca="false">IF(ROW(AA64)-2&lt;=MAX($C$3:$W$44),ROW(AA64)-2,"")</f>
        <v/>
      </c>
    </row>
    <row r="65" customFormat="false" ht="14.25" hidden="false" customHeight="false" outlineLevel="0" collapsed="false">
      <c r="Z65" s="83" t="str">
        <f aca="false">IF(ROW(AA65)-2&lt;=MAX($C$3:$W$44),ROW(AA65)-2,"")</f>
        <v/>
      </c>
    </row>
    <row r="66" customFormat="false" ht="14.25" hidden="false" customHeight="false" outlineLevel="0" collapsed="false">
      <c r="Z66" s="83" t="str">
        <f aca="false">IF(ROW(AA66)-2&lt;=MAX($C$3:$W$44),ROW(AA66)-2,"")</f>
        <v/>
      </c>
    </row>
    <row r="67" customFormat="false" ht="14.25" hidden="false" customHeight="false" outlineLevel="0" collapsed="false">
      <c r="Z67" s="83" t="str">
        <f aca="false">IF(ROW(AA67)-2&lt;=MAX($C$3:$W$44),ROW(AA67)-2,"")</f>
        <v/>
      </c>
    </row>
    <row r="68" customFormat="false" ht="14.25" hidden="false" customHeight="false" outlineLevel="0" collapsed="false">
      <c r="Z68" s="83" t="str">
        <f aca="false">IF(ROW(AA68)-2&lt;=MAX($C$3:$W$44),ROW(AA68)-2,"")</f>
        <v/>
      </c>
    </row>
    <row r="69" customFormat="false" ht="14.25" hidden="false" customHeight="false" outlineLevel="0" collapsed="false">
      <c r="Z69" s="83" t="str">
        <f aca="false">IF(ROW(AA69)-2&lt;=MAX($C$3:$W$44),ROW(AA69)-2,"")</f>
        <v/>
      </c>
    </row>
    <row r="70" customFormat="false" ht="14.25" hidden="false" customHeight="false" outlineLevel="0" collapsed="false">
      <c r="Z70" s="83" t="str">
        <f aca="false">IF(ROW(AA70)-2&lt;=MAX($C$3:$W$44),ROW(AA70)-2,"")</f>
        <v/>
      </c>
    </row>
    <row r="71" customFormat="false" ht="14.25" hidden="false" customHeight="false" outlineLevel="0" collapsed="false">
      <c r="Z71" s="83" t="str">
        <f aca="false">IF(ROW(AA71)-2&lt;=MAX($C$3:$W$44),ROW(AA71)-2,"")</f>
        <v/>
      </c>
    </row>
    <row r="72" customFormat="false" ht="14.25" hidden="false" customHeight="false" outlineLevel="0" collapsed="false">
      <c r="Z72" s="83" t="str">
        <f aca="false">IF(ROW(AA72)-2&lt;=MAX($C$3:$W$44),ROW(AA72)-2,"")</f>
        <v/>
      </c>
    </row>
    <row r="73" customFormat="false" ht="14.25" hidden="false" customHeight="false" outlineLevel="0" collapsed="false">
      <c r="Z73" s="83" t="str">
        <f aca="false">IF(ROW(AA73)-2&lt;=MAX($C$3:$W$44),ROW(AA73)-2,"")</f>
        <v/>
      </c>
    </row>
    <row r="74" customFormat="false" ht="14.25" hidden="false" customHeight="false" outlineLevel="0" collapsed="false">
      <c r="Z74" s="83" t="str">
        <f aca="false">IF(ROW(AA74)-2&lt;=MAX($C$3:$W$44),ROW(AA74)-2,"")</f>
        <v/>
      </c>
    </row>
    <row r="75" customFormat="false" ht="14.25" hidden="false" customHeight="false" outlineLevel="0" collapsed="false">
      <c r="Z75" s="83" t="str">
        <f aca="false">IF(ROW(AA75)-2&lt;=MAX($C$3:$W$44),ROW(AA75)-2,"")</f>
        <v/>
      </c>
    </row>
    <row r="76" customFormat="false" ht="14.25" hidden="false" customHeight="false" outlineLevel="0" collapsed="false">
      <c r="Z76" s="83" t="str">
        <f aca="false">IF(ROW(AA76)-2&lt;=MAX($C$3:$W$44),ROW(AA76)-2,"")</f>
        <v/>
      </c>
    </row>
    <row r="77" customFormat="false" ht="14.25" hidden="false" customHeight="false" outlineLevel="0" collapsed="false">
      <c r="Z77" s="83" t="str">
        <f aca="false">IF(ROW(AA77)-2&lt;=MAX($C$3:$W$44),ROW(AA77)-2,"")</f>
        <v/>
      </c>
    </row>
    <row r="78" customFormat="false" ht="14.25" hidden="false" customHeight="false" outlineLevel="0" collapsed="false">
      <c r="Z78" s="83" t="str">
        <f aca="false">IF(ROW(AA78)-2&lt;=MAX($C$3:$W$44),ROW(AA78)-2,"")</f>
        <v/>
      </c>
    </row>
    <row r="79" customFormat="false" ht="14.25" hidden="false" customHeight="false" outlineLevel="0" collapsed="false">
      <c r="Z79" s="83" t="str">
        <f aca="false">IF(ROW(AA79)-2&lt;=MAX($C$3:$W$44),ROW(AA79)-2,"")</f>
        <v/>
      </c>
    </row>
    <row r="80" customFormat="false" ht="14.25" hidden="false" customHeight="false" outlineLevel="0" collapsed="false">
      <c r="Z80" s="83" t="str">
        <f aca="false">IF(ROW(AA80)-2&lt;=MAX($C$3:$W$44),ROW(AA80)-2,"")</f>
        <v/>
      </c>
    </row>
    <row r="81" customFormat="false" ht="14.25" hidden="false" customHeight="false" outlineLevel="0" collapsed="false">
      <c r="Z81" s="83" t="str">
        <f aca="false">IF(ROW(AA81)-2&lt;=MAX($C$3:$W$44),ROW(AA81)-2,"")</f>
        <v/>
      </c>
    </row>
    <row r="82" customFormat="false" ht="14.25" hidden="false" customHeight="false" outlineLevel="0" collapsed="false">
      <c r="Z82" s="83" t="str">
        <f aca="false">IF(ROW(AA82)-2&lt;=MAX($C$3:$W$44),ROW(AA82)-2,"")</f>
        <v/>
      </c>
    </row>
    <row r="83" customFormat="false" ht="14.25" hidden="false" customHeight="false" outlineLevel="0" collapsed="false">
      <c r="Z83" s="83" t="str">
        <f aca="false">IF(ROW(AA83)-2&lt;=MAX($C$3:$W$44),ROW(AA83)-2,"")</f>
        <v/>
      </c>
    </row>
    <row r="84" customFormat="false" ht="14.25" hidden="false" customHeight="false" outlineLevel="0" collapsed="false">
      <c r="Z84" s="83" t="str">
        <f aca="false">IF(ROW(AA84)-2&lt;=MAX($C$3:$W$44),ROW(AA84)-2,"")</f>
        <v/>
      </c>
    </row>
    <row r="85" customFormat="false" ht="14.25" hidden="false" customHeight="false" outlineLevel="0" collapsed="false">
      <c r="Z85" s="83" t="str">
        <f aca="false">IF(ROW(AA85)-2&lt;=MAX($C$3:$W$44),ROW(AA85)-2,"")</f>
        <v/>
      </c>
    </row>
    <row r="86" customFormat="false" ht="14.25" hidden="false" customHeight="false" outlineLevel="0" collapsed="false">
      <c r="Z86" s="83" t="str">
        <f aca="false">IF(ROW(AA86)-2&lt;=MAX($C$3:$W$44),ROW(AA86)-2,"")</f>
        <v/>
      </c>
    </row>
    <row r="87" customFormat="false" ht="14.25" hidden="false" customHeight="false" outlineLevel="0" collapsed="false">
      <c r="Z87" s="83" t="str">
        <f aca="false">IF(ROW(AA87)-2&lt;=MAX($C$3:$W$44),ROW(AA87)-2,"")</f>
        <v/>
      </c>
    </row>
    <row r="88" customFormat="false" ht="14.25" hidden="false" customHeight="false" outlineLevel="0" collapsed="false">
      <c r="Z88" s="83" t="str">
        <f aca="false">IF(ROW(AA88)-2&lt;=MAX($C$3:$W$44),ROW(AA88)-2,"")</f>
        <v/>
      </c>
    </row>
    <row r="89" customFormat="false" ht="14.25" hidden="false" customHeight="false" outlineLevel="0" collapsed="false">
      <c r="Z89" s="83" t="str">
        <f aca="false">IF(ROW(AA89)-2&lt;=MAX($C$3:$W$44),ROW(AA89)-2,"")</f>
        <v/>
      </c>
    </row>
    <row r="90" customFormat="false" ht="14.25" hidden="false" customHeight="false" outlineLevel="0" collapsed="false">
      <c r="Z90" s="83" t="str">
        <f aca="false">IF(ROW(AA90)-2&lt;=MAX($C$3:$W$44),ROW(AA90)-2,"")</f>
        <v/>
      </c>
    </row>
    <row r="91" customFormat="false" ht="14.25" hidden="false" customHeight="false" outlineLevel="0" collapsed="false">
      <c r="Z91" s="83" t="str">
        <f aca="false">IF(ROW(AA91)-2&lt;=MAX($C$3:$W$44),ROW(AA91)-2,"")</f>
        <v/>
      </c>
    </row>
    <row r="92" customFormat="false" ht="14.25" hidden="false" customHeight="false" outlineLevel="0" collapsed="false">
      <c r="Z92" s="83" t="str">
        <f aca="false">IF(ROW(AA92)-2&lt;=MAX($C$3:$W$44),ROW(AA92)-2,"")</f>
        <v/>
      </c>
    </row>
    <row r="93" customFormat="false" ht="14.25" hidden="false" customHeight="false" outlineLevel="0" collapsed="false">
      <c r="Z93" s="83" t="str">
        <f aca="false">IF(ROW(AA93)-2&lt;=MAX($C$3:$W$44),ROW(AA93)-2,"")</f>
        <v/>
      </c>
    </row>
    <row r="94" customFormat="false" ht="14.25" hidden="false" customHeight="false" outlineLevel="0" collapsed="false">
      <c r="Z94" s="83" t="str">
        <f aca="false">IF(ROW(AA94)-2&lt;=MAX($C$3:$W$44),ROW(AA94)-2,"")</f>
        <v/>
      </c>
    </row>
    <row r="95" customFormat="false" ht="14.25" hidden="false" customHeight="false" outlineLevel="0" collapsed="false">
      <c r="Z95" s="83" t="str">
        <f aca="false">IF(ROW(AA95)-2&lt;=MAX($C$3:$W$44),ROW(AA95)-2,"")</f>
        <v/>
      </c>
    </row>
    <row r="96" customFormat="false" ht="14.25" hidden="false" customHeight="false" outlineLevel="0" collapsed="false">
      <c r="Z96" s="83" t="str">
        <f aca="false">IF(ROW(AA96)-2&lt;=MAX($C$3:$W$44),ROW(AA96)-2,"")</f>
        <v/>
      </c>
    </row>
    <row r="97" customFormat="false" ht="14.25" hidden="false" customHeight="false" outlineLevel="0" collapsed="false">
      <c r="Z97" s="83" t="str">
        <f aca="false">IF(ROW(AA97)-2&lt;=MAX($C$3:$W$44),ROW(AA97)-2,"")</f>
        <v/>
      </c>
    </row>
    <row r="98" customFormat="false" ht="14.25" hidden="false" customHeight="false" outlineLevel="0" collapsed="false">
      <c r="Z98" s="83" t="str">
        <f aca="false">IF(ROW(AA98)-2&lt;=MAX($C$3:$W$44),ROW(AA98)-2,"")</f>
        <v/>
      </c>
    </row>
    <row r="99" customFormat="false" ht="14.25" hidden="false" customHeight="false" outlineLevel="0" collapsed="false">
      <c r="Z99" s="83" t="str">
        <f aca="false">IF(ROW(AA99)-2&lt;=MAX($C$3:$W$44),ROW(AA99)-2,"")</f>
        <v/>
      </c>
    </row>
    <row r="100" customFormat="false" ht="14.25" hidden="false" customHeight="false" outlineLevel="0" collapsed="false">
      <c r="Z100" s="83" t="str">
        <f aca="false">IF(ROW(AA100)-2&lt;=MAX($C$3:$W$44),ROW(AA100)-2,"")</f>
        <v/>
      </c>
    </row>
    <row r="101" customFormat="false" ht="14.25" hidden="false" customHeight="false" outlineLevel="0" collapsed="false">
      <c r="Z101" s="83" t="str">
        <f aca="false">IF(ROW(AA101)-2&lt;=MAX($C$3:$W$44),ROW(AA101)-2,"")</f>
        <v/>
      </c>
    </row>
    <row r="102" customFormat="false" ht="14.25" hidden="false" customHeight="false" outlineLevel="0" collapsed="false">
      <c r="Z102" s="83" t="str">
        <f aca="false">IF(ROW(AA102)-2&lt;=MAX($C$3:$W$44),ROW(AA102)-2,"")</f>
        <v/>
      </c>
    </row>
    <row r="103" customFormat="false" ht="14.25" hidden="false" customHeight="false" outlineLevel="0" collapsed="false">
      <c r="Z103" s="83" t="str">
        <f aca="false">IF(ROW(AA103)-2&lt;=MAX($C$3:$W$44),ROW(AA103)-2,"")</f>
        <v/>
      </c>
    </row>
    <row r="104" customFormat="false" ht="14.25" hidden="false" customHeight="false" outlineLevel="0" collapsed="false">
      <c r="Z104" s="83" t="str">
        <f aca="false">IF(ROW(AA104)-2&lt;=MAX($C$3:$W$44),ROW(AA104)-2,"")</f>
        <v/>
      </c>
    </row>
    <row r="105" customFormat="false" ht="14.25" hidden="false" customHeight="false" outlineLevel="0" collapsed="false">
      <c r="Z105" s="83" t="str">
        <f aca="false">IF(ROW(AA105)-2&lt;=MAX($C$3:$W$44),ROW(AA105)-2,"")</f>
        <v/>
      </c>
    </row>
    <row r="106" customFormat="false" ht="14.25" hidden="false" customHeight="false" outlineLevel="0" collapsed="false">
      <c r="Z106" s="83" t="str">
        <f aca="false">IF(ROW(AA106)-2&lt;=MAX($C$3:$W$44),ROW(AA106)-2,"")</f>
        <v/>
      </c>
    </row>
    <row r="107" customFormat="false" ht="14.25" hidden="false" customHeight="false" outlineLevel="0" collapsed="false">
      <c r="Z107" s="83" t="str">
        <f aca="false">IF(ROW(AA107)-2&lt;=MAX($C$3:$W$44),ROW(AA107)-2,"")</f>
        <v/>
      </c>
    </row>
    <row r="108" customFormat="false" ht="14.25" hidden="false" customHeight="false" outlineLevel="0" collapsed="false">
      <c r="Z108" s="83" t="str">
        <f aca="false">IF(ROW(AA108)-2&lt;=MAX($C$3:$W$44),ROW(AA108)-2,"")</f>
        <v/>
      </c>
    </row>
    <row r="109" customFormat="false" ht="14.25" hidden="false" customHeight="false" outlineLevel="0" collapsed="false">
      <c r="Z109" s="83" t="str">
        <f aca="false">IF(ROW(AA109)-2&lt;=MAX($C$3:$W$44),ROW(AA109)-2,"")</f>
        <v/>
      </c>
    </row>
    <row r="110" customFormat="false" ht="14.25" hidden="false" customHeight="false" outlineLevel="0" collapsed="false">
      <c r="Z110" s="83" t="str">
        <f aca="false">IF(ROW(AA110)-2&lt;=MAX($C$3:$W$44),ROW(AA110)-2,"")</f>
        <v/>
      </c>
    </row>
    <row r="111" customFormat="false" ht="14.25" hidden="false" customHeight="false" outlineLevel="0" collapsed="false">
      <c r="Z111" s="83" t="str">
        <f aca="false">IF(ROW(AA111)-2&lt;=MAX($C$3:$W$44),ROW(AA111)-2,"")</f>
        <v/>
      </c>
    </row>
    <row r="112" customFormat="false" ht="14.25" hidden="false" customHeight="false" outlineLevel="0" collapsed="false">
      <c r="Z112" s="83" t="str">
        <f aca="false">IF(ROW(AA112)-2&lt;=MAX($C$3:$W$44),ROW(AA112)-2,"")</f>
        <v/>
      </c>
    </row>
    <row r="113" customFormat="false" ht="14.25" hidden="false" customHeight="false" outlineLevel="0" collapsed="false">
      <c r="Z113" s="83" t="str">
        <f aca="false">IF(ROW(AA113)-2&lt;=MAX($C$3:$W$44),ROW(AA113)-2,"")</f>
        <v/>
      </c>
    </row>
    <row r="114" customFormat="false" ht="14.25" hidden="false" customHeight="false" outlineLevel="0" collapsed="false">
      <c r="Z114" s="83" t="str">
        <f aca="false">IF(ROW(AA114)-2&lt;=MAX($C$3:$W$44),ROW(AA114)-2,"")</f>
        <v/>
      </c>
    </row>
    <row r="115" customFormat="false" ht="14.25" hidden="false" customHeight="false" outlineLevel="0" collapsed="false">
      <c r="Z115" s="83" t="str">
        <f aca="false">IF(ROW(AA115)-2&lt;=MAX($C$3:$W$44),ROW(AA115)-2,"")</f>
        <v/>
      </c>
    </row>
    <row r="116" customFormat="false" ht="14.25" hidden="false" customHeight="false" outlineLevel="0" collapsed="false">
      <c r="Z116" s="83" t="str">
        <f aca="false">IF(ROW(AA116)-2&lt;=MAX($C$3:$W$44),ROW(AA116)-2,"")</f>
        <v/>
      </c>
    </row>
    <row r="117" customFormat="false" ht="14.25" hidden="false" customHeight="false" outlineLevel="0" collapsed="false">
      <c r="Z117" s="83" t="str">
        <f aca="false">IF(ROW(AA117)-2&lt;=MAX($C$3:$W$44),ROW(AA117)-2,"")</f>
        <v/>
      </c>
    </row>
    <row r="118" customFormat="false" ht="14.25" hidden="false" customHeight="false" outlineLevel="0" collapsed="false">
      <c r="Z118" s="83" t="str">
        <f aca="false">IF(ROW(AA118)-2&lt;=MAX($C$3:$W$44),ROW(AA118)-2,"")</f>
        <v/>
      </c>
    </row>
    <row r="119" customFormat="false" ht="14.25" hidden="false" customHeight="false" outlineLevel="0" collapsed="false">
      <c r="Z119" s="83" t="str">
        <f aca="false">IF(ROW(AA119)-2&lt;=MAX($C$3:$W$44),ROW(AA119)-2,"")</f>
        <v/>
      </c>
    </row>
    <row r="120" customFormat="false" ht="14.25" hidden="false" customHeight="false" outlineLevel="0" collapsed="false">
      <c r="Z120" s="83" t="str">
        <f aca="false">IF(ROW(AA120)-2&lt;=MAX($C$3:$W$44),ROW(AA120)-2,"")</f>
        <v/>
      </c>
    </row>
    <row r="121" customFormat="false" ht="14.25" hidden="false" customHeight="false" outlineLevel="0" collapsed="false">
      <c r="Z121" s="83" t="str">
        <f aca="false">IF(ROW(AA121)-2&lt;=MAX($C$3:$W$44),ROW(AA121)-2,"")</f>
        <v/>
      </c>
    </row>
    <row r="122" customFormat="false" ht="14.25" hidden="false" customHeight="false" outlineLevel="0" collapsed="false">
      <c r="Z122" s="83" t="str">
        <f aca="false">IF(ROW(AA122)-2&lt;=MAX($C$3:$W$44),ROW(AA122)-2,"")</f>
        <v/>
      </c>
    </row>
    <row r="123" customFormat="false" ht="14.25" hidden="false" customHeight="false" outlineLevel="0" collapsed="false">
      <c r="Z123" s="83" t="str">
        <f aca="false">IF(ROW(AA123)-2&lt;=MAX($C$3:$W$44),ROW(AA123)-2,"")</f>
        <v/>
      </c>
    </row>
    <row r="124" customFormat="false" ht="14.25" hidden="false" customHeight="false" outlineLevel="0" collapsed="false">
      <c r="Z124" s="83" t="str">
        <f aca="false">IF(ROW(AA124)-2&lt;=MAX($C$3:$W$44),ROW(AA124)-2,"")</f>
        <v/>
      </c>
    </row>
    <row r="125" customFormat="false" ht="14.25" hidden="false" customHeight="false" outlineLevel="0" collapsed="false">
      <c r="Z125" s="83" t="str">
        <f aca="false">IF(ROW(AA125)-2&lt;=MAX($C$3:$W$44),ROW(AA125)-2,"")</f>
        <v/>
      </c>
    </row>
    <row r="126" customFormat="false" ht="14.25" hidden="false" customHeight="false" outlineLevel="0" collapsed="false">
      <c r="Z126" s="83" t="str">
        <f aca="false">IF(ROW(AA126)-2&lt;=MAX($C$3:$W$44),ROW(AA126)-2,"")</f>
        <v/>
      </c>
    </row>
    <row r="127" customFormat="false" ht="14.25" hidden="false" customHeight="false" outlineLevel="0" collapsed="false">
      <c r="Z127" s="83" t="str">
        <f aca="false">IF(ROW(AA127)-2&lt;=MAX($C$3:$W$44),ROW(AA127)-2,"")</f>
        <v/>
      </c>
    </row>
    <row r="128" customFormat="false" ht="14.25" hidden="false" customHeight="false" outlineLevel="0" collapsed="false">
      <c r="Z128" s="83" t="str">
        <f aca="false">IF(ROW(AA128)-2&lt;=MAX($C$3:$W$44),ROW(AA128)-2,"")</f>
        <v/>
      </c>
    </row>
    <row r="129" customFormat="false" ht="14.25" hidden="false" customHeight="false" outlineLevel="0" collapsed="false">
      <c r="Z129" s="83" t="str">
        <f aca="false">IF(ROW(AA129)-2&lt;=MAX($C$3:$W$44),ROW(AA129)-2,"")</f>
        <v/>
      </c>
    </row>
    <row r="130" customFormat="false" ht="14.25" hidden="false" customHeight="false" outlineLevel="0" collapsed="false">
      <c r="Z130" s="83" t="str">
        <f aca="false">IF(ROW(AA130)-2&lt;=MAX($C$3:$W$44),ROW(AA130)-2,"")</f>
        <v/>
      </c>
    </row>
    <row r="131" customFormat="false" ht="14.25" hidden="false" customHeight="false" outlineLevel="0" collapsed="false">
      <c r="Z131" s="83" t="str">
        <f aca="false">IF(ROW(AA131)-2&lt;=MAX($C$3:$W$44),ROW(AA131)-2,"")</f>
        <v/>
      </c>
    </row>
    <row r="132" customFormat="false" ht="14.25" hidden="false" customHeight="false" outlineLevel="0" collapsed="false">
      <c r="Z132" s="83" t="str">
        <f aca="false">IF(ROW(AA132)-2&lt;=MAX($C$3:$W$44),ROW(AA132)-2,"")</f>
        <v/>
      </c>
    </row>
    <row r="133" customFormat="false" ht="14.25" hidden="false" customHeight="false" outlineLevel="0" collapsed="false">
      <c r="Z133" s="83" t="str">
        <f aca="false">IF(ROW(AA133)-2&lt;=MAX($C$3:$W$44),ROW(AA133)-2,"")</f>
        <v/>
      </c>
    </row>
    <row r="134" customFormat="false" ht="14.25" hidden="false" customHeight="false" outlineLevel="0" collapsed="false">
      <c r="Z134" s="83" t="str">
        <f aca="false">IF(ROW(AA134)-2&lt;=MAX($C$3:$W$44),ROW(AA134)-2,"")</f>
        <v/>
      </c>
    </row>
    <row r="135" customFormat="false" ht="14.25" hidden="false" customHeight="false" outlineLevel="0" collapsed="false">
      <c r="Z135" s="83" t="str">
        <f aca="false">IF(ROW(AA135)-2&lt;=MAX($C$3:$W$44),ROW(AA135)-2,"")</f>
        <v/>
      </c>
    </row>
    <row r="136" customFormat="false" ht="14.25" hidden="false" customHeight="false" outlineLevel="0" collapsed="false">
      <c r="Z136" s="83" t="str">
        <f aca="false">IF(ROW(AA136)-2&lt;=MAX($C$3:$W$44),ROW(AA136)-2,"")</f>
        <v/>
      </c>
    </row>
    <row r="137" customFormat="false" ht="14.25" hidden="false" customHeight="false" outlineLevel="0" collapsed="false">
      <c r="Z137" s="83" t="str">
        <f aca="false">IF(ROW(AA137)-2&lt;=MAX($C$3:$W$44),ROW(AA137)-2,"")</f>
        <v/>
      </c>
    </row>
    <row r="138" customFormat="false" ht="14.25" hidden="false" customHeight="false" outlineLevel="0" collapsed="false">
      <c r="Z138" s="83" t="str">
        <f aca="false">IF(ROW(AA138)-2&lt;=MAX($C$3:$W$44),ROW(AA138)-2,"")</f>
        <v/>
      </c>
    </row>
    <row r="139" customFormat="false" ht="14.25" hidden="false" customHeight="false" outlineLevel="0" collapsed="false">
      <c r="Z139" s="83" t="str">
        <f aca="false">IF(ROW(AA139)-2&lt;=MAX($C$3:$W$44),ROW(AA139)-2,"")</f>
        <v/>
      </c>
    </row>
    <row r="140" customFormat="false" ht="14.25" hidden="false" customHeight="false" outlineLevel="0" collapsed="false">
      <c r="Z140" s="83" t="str">
        <f aca="false">IF(ROW(AA140)-2&lt;=MAX($C$3:$W$44),ROW(AA140)-2,"")</f>
        <v/>
      </c>
    </row>
    <row r="141" customFormat="false" ht="14.25" hidden="false" customHeight="false" outlineLevel="0" collapsed="false">
      <c r="Z141" s="83" t="str">
        <f aca="false">IF(ROW(AA141)-2&lt;=MAX($C$3:$W$44),ROW(AA141)-2,"")</f>
        <v/>
      </c>
    </row>
    <row r="142" customFormat="false" ht="14.25" hidden="false" customHeight="false" outlineLevel="0" collapsed="false">
      <c r="Z142" s="83" t="str">
        <f aca="false">IF(ROW(AA142)-2&lt;=MAX($C$3:$W$44),ROW(AA142)-2,"")</f>
        <v/>
      </c>
    </row>
    <row r="143" customFormat="false" ht="14.25" hidden="false" customHeight="false" outlineLevel="0" collapsed="false">
      <c r="Z143" s="83" t="str">
        <f aca="false">IF(ROW(AA143)-2&lt;=MAX($C$3:$W$44),ROW(AA143)-2,"")</f>
        <v/>
      </c>
    </row>
    <row r="144" customFormat="false" ht="14.25" hidden="false" customHeight="false" outlineLevel="0" collapsed="false">
      <c r="Z144" s="83" t="str">
        <f aca="false">IF(ROW(AA144)-2&lt;=MAX($C$3:$W$44),ROW(AA144)-2,"")</f>
        <v/>
      </c>
    </row>
    <row r="145" customFormat="false" ht="14.25" hidden="false" customHeight="false" outlineLevel="0" collapsed="false">
      <c r="Z145" s="83" t="str">
        <f aca="false">IF(ROW(AA145)-2&lt;=MAX($C$3:$W$44),ROW(AA145)-2,"")</f>
        <v/>
      </c>
    </row>
    <row r="146" customFormat="false" ht="14.25" hidden="false" customHeight="false" outlineLevel="0" collapsed="false">
      <c r="Z146" s="83" t="str">
        <f aca="false">IF(ROW(AA146)-2&lt;=MAX($C$3:$W$44),ROW(AA146)-2,"")</f>
        <v/>
      </c>
    </row>
    <row r="147" customFormat="false" ht="14.25" hidden="false" customHeight="false" outlineLevel="0" collapsed="false">
      <c r="Z147" s="83" t="str">
        <f aca="false">IF(ROW(AA147)-2&lt;=MAX($C$3:$W$44),ROW(AA147)-2,"")</f>
        <v/>
      </c>
    </row>
    <row r="148" customFormat="false" ht="14.25" hidden="false" customHeight="false" outlineLevel="0" collapsed="false">
      <c r="Z148" s="83" t="str">
        <f aca="false">IF(ROW(AA148)-2&lt;=MAX($C$3:$W$44),ROW(AA148)-2,"")</f>
        <v/>
      </c>
    </row>
    <row r="149" customFormat="false" ht="14.25" hidden="false" customHeight="false" outlineLevel="0" collapsed="false">
      <c r="Z149" s="83" t="str">
        <f aca="false">IF(ROW(AA149)-2&lt;=MAX($C$3:$W$44),ROW(AA149)-2,"")</f>
        <v/>
      </c>
    </row>
    <row r="150" customFormat="false" ht="14.25" hidden="false" customHeight="false" outlineLevel="0" collapsed="false">
      <c r="Z150" s="83" t="str">
        <f aca="false">IF(ROW(AA150)-2&lt;=MAX($C$3:$W$44),ROW(AA150)-2,"")</f>
        <v/>
      </c>
    </row>
    <row r="151" customFormat="false" ht="14.25" hidden="false" customHeight="false" outlineLevel="0" collapsed="false">
      <c r="Z151" s="83" t="str">
        <f aca="false">IF(ROW(AA151)-2&lt;=MAX($C$3:$W$44),ROW(AA151)-2,"")</f>
        <v/>
      </c>
    </row>
    <row r="152" customFormat="false" ht="14.25" hidden="false" customHeight="false" outlineLevel="0" collapsed="false">
      <c r="Z152" s="83" t="str">
        <f aca="false">IF(ROW(AA152)-2&lt;=MAX($C$3:$W$44),ROW(AA152)-2,"")</f>
        <v/>
      </c>
    </row>
    <row r="153" customFormat="false" ht="14.25" hidden="false" customHeight="false" outlineLevel="0" collapsed="false">
      <c r="Z153" s="83" t="str">
        <f aca="false">IF(ROW(AA153)-2&lt;=MAX($C$3:$W$44),ROW(AA153)-2,"")</f>
        <v/>
      </c>
    </row>
    <row r="154" customFormat="false" ht="14.25" hidden="false" customHeight="false" outlineLevel="0" collapsed="false">
      <c r="Z154" s="83" t="str">
        <f aca="false">IF(ROW(AA154)-2&lt;=MAX($C$3:$W$44),ROW(AA154)-2,"")</f>
        <v/>
      </c>
    </row>
    <row r="155" customFormat="false" ht="14.25" hidden="false" customHeight="false" outlineLevel="0" collapsed="false">
      <c r="Z155" s="83" t="str">
        <f aca="false">IF(ROW(AA155)-2&lt;=MAX($C$3:$W$44),ROW(AA155)-2,"")</f>
        <v/>
      </c>
    </row>
    <row r="156" customFormat="false" ht="14.25" hidden="false" customHeight="false" outlineLevel="0" collapsed="false">
      <c r="Z156" s="83" t="str">
        <f aca="false">IF(ROW(AA156)-2&lt;=MAX($C$3:$W$44),ROW(AA156)-2,"")</f>
        <v/>
      </c>
    </row>
    <row r="157" customFormat="false" ht="14.25" hidden="false" customHeight="false" outlineLevel="0" collapsed="false">
      <c r="Z157" s="83" t="str">
        <f aca="false">IF(ROW(AA157)-2&lt;=MAX($C$3:$W$44),ROW(AA157)-2,"")</f>
        <v/>
      </c>
    </row>
    <row r="158" customFormat="false" ht="14.25" hidden="false" customHeight="false" outlineLevel="0" collapsed="false">
      <c r="Z158" s="83" t="str">
        <f aca="false">IF(ROW(AA158)-2&lt;=MAX($C$3:$W$44),ROW(AA158)-2,"")</f>
        <v/>
      </c>
    </row>
    <row r="159" customFormat="false" ht="14.25" hidden="false" customHeight="false" outlineLevel="0" collapsed="false">
      <c r="Z159" s="83" t="str">
        <f aca="false">IF(ROW(AA159)-2&lt;=MAX($C$3:$W$44),ROW(AA159)-2,"")</f>
        <v/>
      </c>
    </row>
    <row r="160" customFormat="false" ht="14.25" hidden="false" customHeight="false" outlineLevel="0" collapsed="false">
      <c r="Z160" s="83" t="str">
        <f aca="false">IF(ROW(AA160)-2&lt;=MAX($C$3:$W$44),ROW(AA160)-2,"")</f>
        <v/>
      </c>
    </row>
    <row r="161" customFormat="false" ht="14.25" hidden="false" customHeight="false" outlineLevel="0" collapsed="false">
      <c r="Z161" s="83" t="str">
        <f aca="false">IF(ROW(AA161)-2&lt;=MAX($C$3:$W$44),ROW(AA161)-2,"")</f>
        <v/>
      </c>
    </row>
    <row r="162" customFormat="false" ht="14.25" hidden="false" customHeight="false" outlineLevel="0" collapsed="false">
      <c r="Z162" s="83" t="str">
        <f aca="false">IF(ROW(AA162)-2&lt;=MAX($C$3:$W$44),ROW(AA162)-2,"")</f>
        <v/>
      </c>
    </row>
    <row r="163" customFormat="false" ht="14.25" hidden="false" customHeight="false" outlineLevel="0" collapsed="false">
      <c r="Z163" s="83" t="str">
        <f aca="false">IF(ROW(AA163)-2&lt;=MAX($C$3:$W$44),ROW(AA163)-2,"")</f>
        <v/>
      </c>
    </row>
    <row r="164" customFormat="false" ht="14.25" hidden="false" customHeight="false" outlineLevel="0" collapsed="false">
      <c r="Z164" s="83" t="str">
        <f aca="false">IF(ROW(AA164)-2&lt;=MAX($C$3:$W$44),ROW(AA164)-2,"")</f>
        <v/>
      </c>
    </row>
    <row r="165" customFormat="false" ht="14.25" hidden="false" customHeight="false" outlineLevel="0" collapsed="false">
      <c r="Z165" s="83" t="str">
        <f aca="false">IF(ROW(AA165)-2&lt;=MAX($C$3:$W$44),ROW(AA165)-2,"")</f>
        <v/>
      </c>
    </row>
    <row r="166" customFormat="false" ht="14.25" hidden="false" customHeight="false" outlineLevel="0" collapsed="false">
      <c r="Z166" s="83" t="str">
        <f aca="false">IF(ROW(AA166)-2&lt;=MAX($C$3:$W$44),ROW(AA166)-2,"")</f>
        <v/>
      </c>
    </row>
    <row r="167" customFormat="false" ht="14.25" hidden="false" customHeight="false" outlineLevel="0" collapsed="false">
      <c r="Z167" s="83" t="str">
        <f aca="false">IF(ROW(AA167)-2&lt;=MAX($C$3:$W$44),ROW(AA167)-2,"")</f>
        <v/>
      </c>
    </row>
    <row r="168" customFormat="false" ht="14.25" hidden="false" customHeight="false" outlineLevel="0" collapsed="false">
      <c r="Z168" s="83" t="str">
        <f aca="false">IF(ROW(AA168)-2&lt;=MAX($C$3:$W$44),ROW(AA168)-2,"")</f>
        <v/>
      </c>
    </row>
    <row r="169" customFormat="false" ht="14.25" hidden="false" customHeight="false" outlineLevel="0" collapsed="false">
      <c r="Z169" s="83" t="str">
        <f aca="false">IF(ROW(AA169)-2&lt;=MAX($C$3:$W$44),ROW(AA169)-2,"")</f>
        <v/>
      </c>
    </row>
    <row r="170" customFormat="false" ht="14.25" hidden="false" customHeight="false" outlineLevel="0" collapsed="false">
      <c r="Z170" s="83" t="str">
        <f aca="false">IF(ROW(AA170)-2&lt;=MAX($C$3:$W$44),ROW(AA170)-2,"")</f>
        <v/>
      </c>
    </row>
    <row r="171" customFormat="false" ht="14.25" hidden="false" customHeight="false" outlineLevel="0" collapsed="false">
      <c r="Z171" s="83" t="str">
        <f aca="false">IF(ROW(AA171)-2&lt;=MAX($C$3:$W$44),ROW(AA171)-2,"")</f>
        <v/>
      </c>
    </row>
    <row r="172" customFormat="false" ht="14.25" hidden="false" customHeight="false" outlineLevel="0" collapsed="false">
      <c r="Z172" s="83" t="str">
        <f aca="false">IF(ROW(AA172)-2&lt;=MAX($C$3:$W$44),ROW(AA172)-2,"")</f>
        <v/>
      </c>
    </row>
    <row r="173" customFormat="false" ht="14.25" hidden="false" customHeight="false" outlineLevel="0" collapsed="false">
      <c r="Z173" s="83" t="str">
        <f aca="false">IF(ROW(AA173)-2&lt;=MAX($C$3:$W$44),ROW(AA173)-2,"")</f>
        <v/>
      </c>
    </row>
    <row r="174" customFormat="false" ht="14.25" hidden="false" customHeight="false" outlineLevel="0" collapsed="false">
      <c r="Z174" s="83" t="str">
        <f aca="false">IF(ROW(AA174)-2&lt;=MAX($C$3:$W$44),ROW(AA174)-2,"")</f>
        <v/>
      </c>
    </row>
    <row r="175" customFormat="false" ht="14.25" hidden="false" customHeight="false" outlineLevel="0" collapsed="false">
      <c r="Z175" s="83" t="str">
        <f aca="false">IF(ROW(AA175)-2&lt;=MAX($C$3:$W$44),ROW(AA175)-2,"")</f>
        <v/>
      </c>
    </row>
    <row r="176" customFormat="false" ht="14.25" hidden="false" customHeight="false" outlineLevel="0" collapsed="false">
      <c r="Z176" s="83" t="str">
        <f aca="false">IF(ROW(AA176)-2&lt;=MAX($C$3:$W$44),ROW(AA176)-2,"")</f>
        <v/>
      </c>
    </row>
    <row r="177" customFormat="false" ht="14.25" hidden="false" customHeight="false" outlineLevel="0" collapsed="false">
      <c r="Z177" s="83" t="str">
        <f aca="false">IF(ROW(AA177)-2&lt;=MAX($C$3:$W$44),ROW(AA177)-2,"")</f>
        <v/>
      </c>
    </row>
    <row r="178" customFormat="false" ht="14.25" hidden="false" customHeight="false" outlineLevel="0" collapsed="false">
      <c r="Z178" s="83" t="str">
        <f aca="false">IF(ROW(AA178)-2&lt;=MAX($C$3:$W$44),ROW(AA178)-2,"")</f>
        <v/>
      </c>
    </row>
    <row r="179" customFormat="false" ht="14.25" hidden="false" customHeight="false" outlineLevel="0" collapsed="false">
      <c r="Z179" s="83" t="str">
        <f aca="false">IF(ROW(AA179)-2&lt;=MAX($C$3:$W$44),ROW(AA179)-2,"")</f>
        <v/>
      </c>
    </row>
    <row r="180" customFormat="false" ht="14.25" hidden="false" customHeight="false" outlineLevel="0" collapsed="false">
      <c r="Z180" s="83" t="str">
        <f aca="false">IF(ROW(AA180)-2&lt;=MAX($C$3:$W$44),ROW(AA180)-2,"")</f>
        <v/>
      </c>
    </row>
    <row r="181" customFormat="false" ht="14.25" hidden="false" customHeight="false" outlineLevel="0" collapsed="false">
      <c r="Z181" s="83" t="str">
        <f aca="false">IF(ROW(AA181)-2&lt;=MAX($C$3:$W$44),ROW(AA181)-2,"")</f>
        <v/>
      </c>
    </row>
    <row r="182" customFormat="false" ht="14.25" hidden="false" customHeight="false" outlineLevel="0" collapsed="false">
      <c r="Z182" s="83" t="str">
        <f aca="false">IF(ROW(AA182)-2&lt;=MAX($C$3:$W$44),ROW(AA182)-2,"")</f>
        <v/>
      </c>
    </row>
    <row r="183" customFormat="false" ht="14.25" hidden="false" customHeight="false" outlineLevel="0" collapsed="false">
      <c r="Z183" s="83" t="str">
        <f aca="false">IF(ROW(AA183)-2&lt;=MAX($C$3:$W$44),ROW(AA183)-2,"")</f>
        <v/>
      </c>
    </row>
    <row r="184" customFormat="false" ht="14.25" hidden="false" customHeight="false" outlineLevel="0" collapsed="false">
      <c r="Z184" s="83" t="str">
        <f aca="false">IF(ROW(AA184)-2&lt;=MAX($C$3:$W$44),ROW(AA184)-2,"")</f>
        <v/>
      </c>
    </row>
    <row r="185" customFormat="false" ht="14.25" hidden="false" customHeight="false" outlineLevel="0" collapsed="false">
      <c r="Z185" s="83" t="str">
        <f aca="false">IF(ROW(AA185)-2&lt;=MAX($C$3:$W$44),ROW(AA185)-2,"")</f>
        <v/>
      </c>
    </row>
    <row r="186" customFormat="false" ht="14.25" hidden="false" customHeight="false" outlineLevel="0" collapsed="false">
      <c r="Z186" s="83" t="str">
        <f aca="false">IF(ROW(AA186)-2&lt;=MAX($C$3:$W$44),ROW(AA186)-2,"")</f>
        <v/>
      </c>
    </row>
    <row r="187" customFormat="false" ht="14.25" hidden="false" customHeight="false" outlineLevel="0" collapsed="false">
      <c r="Z187" s="83" t="str">
        <f aca="false">IF(ROW(AA187)-2&lt;=MAX($C$3:$W$44),ROW(AA187)-2,"")</f>
        <v/>
      </c>
    </row>
    <row r="188" customFormat="false" ht="14.25" hidden="false" customHeight="false" outlineLevel="0" collapsed="false">
      <c r="Z188" s="83" t="str">
        <f aca="false">IF(ROW(AA188)-2&lt;=MAX($C$3:$W$44),ROW(AA188)-2,"")</f>
        <v/>
      </c>
    </row>
    <row r="189" customFormat="false" ht="14.25" hidden="false" customHeight="false" outlineLevel="0" collapsed="false">
      <c r="Z189" s="83" t="str">
        <f aca="false">IF(ROW(AA189)-2&lt;=MAX($C$3:$W$44),ROW(AA189)-2,"")</f>
        <v/>
      </c>
    </row>
    <row r="190" customFormat="false" ht="14.25" hidden="false" customHeight="false" outlineLevel="0" collapsed="false">
      <c r="Z190" s="83" t="str">
        <f aca="false">IF(ROW(AA190)-2&lt;=MAX($C$3:$W$44),ROW(AA190)-2,"")</f>
        <v/>
      </c>
    </row>
    <row r="191" customFormat="false" ht="14.25" hidden="false" customHeight="false" outlineLevel="0" collapsed="false">
      <c r="Z191" s="83" t="str">
        <f aca="false">IF(ROW(AA191)-2&lt;=MAX($C$3:$W$44),ROW(AA191)-2,"")</f>
        <v/>
      </c>
    </row>
    <row r="192" customFormat="false" ht="14.25" hidden="false" customHeight="false" outlineLevel="0" collapsed="false">
      <c r="Z192" s="83" t="str">
        <f aca="false">IF(ROW(AA192)-2&lt;=MAX($C$3:$W$44),ROW(AA192)-2,"")</f>
        <v/>
      </c>
    </row>
    <row r="193" customFormat="false" ht="14.25" hidden="false" customHeight="false" outlineLevel="0" collapsed="false">
      <c r="Z193" s="83" t="str">
        <f aca="false">IF(ROW(AA193)-2&lt;=MAX($C$3:$W$44),ROW(AA193)-2,"")</f>
        <v/>
      </c>
    </row>
    <row r="194" customFormat="false" ht="14.25" hidden="false" customHeight="false" outlineLevel="0" collapsed="false">
      <c r="Z194" s="83" t="str">
        <f aca="false">IF(ROW(AA194)-2&lt;=MAX($C$3:$W$44),ROW(AA194)-2,"")</f>
        <v/>
      </c>
    </row>
    <row r="195" customFormat="false" ht="14.25" hidden="false" customHeight="false" outlineLevel="0" collapsed="false">
      <c r="Z195" s="83" t="str">
        <f aca="false">IF(ROW(AA195)-2&lt;=MAX($C$3:$W$44),ROW(AA195)-2,"")</f>
        <v/>
      </c>
    </row>
    <row r="196" customFormat="false" ht="14.25" hidden="false" customHeight="false" outlineLevel="0" collapsed="false">
      <c r="Z196" s="83" t="str">
        <f aca="false">IF(ROW(AA196)-2&lt;=MAX($C$3:$W$44),ROW(AA196)-2,"")</f>
        <v/>
      </c>
    </row>
    <row r="197" customFormat="false" ht="14.25" hidden="false" customHeight="false" outlineLevel="0" collapsed="false">
      <c r="Z197" s="83" t="str">
        <f aca="false">IF(ROW(AA197)-2&lt;=MAX($C$3:$W$44),ROW(AA197)-2,"")</f>
        <v/>
      </c>
    </row>
    <row r="198" customFormat="false" ht="14.25" hidden="false" customHeight="false" outlineLevel="0" collapsed="false">
      <c r="Z198" s="83" t="str">
        <f aca="false">IF(ROW(AA198)-2&lt;=MAX($C$3:$W$44),ROW(AA198)-2,"")</f>
        <v/>
      </c>
    </row>
    <row r="199" customFormat="false" ht="14.25" hidden="false" customHeight="false" outlineLevel="0" collapsed="false">
      <c r="Z199" s="83" t="str">
        <f aca="false">IF(ROW(AA199)-2&lt;=MAX($C$3:$W$44),ROW(AA199)-2,"")</f>
        <v/>
      </c>
    </row>
    <row r="200" customFormat="false" ht="14.25" hidden="false" customHeight="false" outlineLevel="0" collapsed="false">
      <c r="Z200" s="83" t="str">
        <f aca="false">IF(ROW(AA200)-2&lt;=MAX($C$3:$W$44),ROW(AA200)-2,"")</f>
        <v/>
      </c>
    </row>
    <row r="201" customFormat="false" ht="14.25" hidden="false" customHeight="false" outlineLevel="0" collapsed="false">
      <c r="Z201" s="83" t="str">
        <f aca="false">IF(ROW(AA201)-2&lt;=MAX($C$3:$W$44),ROW(AA201)-2,"")</f>
        <v/>
      </c>
    </row>
    <row r="202" customFormat="false" ht="14.25" hidden="false" customHeight="false" outlineLevel="0" collapsed="false">
      <c r="Z202" s="83" t="str">
        <f aca="false">IF(ROW(AA202)-2&lt;=MAX($C$3:$W$44),ROW(AA202)-2,"")</f>
        <v/>
      </c>
    </row>
    <row r="203" customFormat="false" ht="14.25" hidden="false" customHeight="false" outlineLevel="0" collapsed="false">
      <c r="Z203" s="83" t="str">
        <f aca="false">IF(ROW(AA203)-2&lt;=MAX($C$3:$W$44),ROW(AA203)-2,"")</f>
        <v/>
      </c>
    </row>
    <row r="204" customFormat="false" ht="14.25" hidden="false" customHeight="false" outlineLevel="0" collapsed="false">
      <c r="Z204" s="83" t="str">
        <f aca="false">IF(ROW(AA204)-2&lt;=MAX($C$3:$W$44),ROW(AA204)-2,"")</f>
        <v/>
      </c>
    </row>
    <row r="205" customFormat="false" ht="14.25" hidden="false" customHeight="false" outlineLevel="0" collapsed="false">
      <c r="Z205" s="83" t="str">
        <f aca="false">IF(ROW(AA205)-2&lt;=MAX($C$3:$W$44),ROW(AA205)-2,"")</f>
        <v/>
      </c>
    </row>
    <row r="206" customFormat="false" ht="14.25" hidden="false" customHeight="false" outlineLevel="0" collapsed="false">
      <c r="Z206" s="83" t="str">
        <f aca="false">IF(ROW(AA206)-2&lt;=MAX($C$3:$W$44),ROW(AA206)-2,"")</f>
        <v/>
      </c>
    </row>
    <row r="207" customFormat="false" ht="14.25" hidden="false" customHeight="false" outlineLevel="0" collapsed="false">
      <c r="Z207" s="83" t="str">
        <f aca="false">IF(ROW(AA207)-2&lt;=MAX($C$3:$W$44),ROW(AA207)-2,"")</f>
        <v/>
      </c>
    </row>
    <row r="208" customFormat="false" ht="14.25" hidden="false" customHeight="false" outlineLevel="0" collapsed="false">
      <c r="Z208" s="83" t="str">
        <f aca="false">IF(ROW(AA208)-2&lt;=MAX($C$3:$W$44),ROW(AA208)-2,"")</f>
        <v/>
      </c>
    </row>
    <row r="209" customFormat="false" ht="14.25" hidden="false" customHeight="false" outlineLevel="0" collapsed="false">
      <c r="Z209" s="83" t="str">
        <f aca="false">IF(ROW(AA209)-2&lt;=MAX($C$3:$W$44),ROW(AA209)-2,"")</f>
        <v/>
      </c>
    </row>
    <row r="210" customFormat="false" ht="14.25" hidden="false" customHeight="false" outlineLevel="0" collapsed="false">
      <c r="Z210" s="83" t="str">
        <f aca="false">IF(ROW(AA210)-2&lt;=MAX($C$3:$W$44),ROW(AA210)-2,"")</f>
        <v/>
      </c>
    </row>
    <row r="211" customFormat="false" ht="14.25" hidden="false" customHeight="false" outlineLevel="0" collapsed="false">
      <c r="Z211" s="83" t="str">
        <f aca="false">IF(ROW(AA211)-2&lt;=MAX($C$3:$W$44),ROW(AA211)-2,"")</f>
        <v/>
      </c>
    </row>
    <row r="212" customFormat="false" ht="14.25" hidden="false" customHeight="false" outlineLevel="0" collapsed="false">
      <c r="Z212" s="83" t="str">
        <f aca="false">IF(ROW(AA212)-2&lt;=MAX($C$3:$W$44),ROW(AA212)-2,"")</f>
        <v/>
      </c>
    </row>
    <row r="213" customFormat="false" ht="14.25" hidden="false" customHeight="false" outlineLevel="0" collapsed="false">
      <c r="Z213" s="83" t="str">
        <f aca="false">IF(ROW(AA213)-2&lt;=MAX($C$3:$W$44),ROW(AA213)-2,"")</f>
        <v/>
      </c>
    </row>
    <row r="214" customFormat="false" ht="14.25" hidden="false" customHeight="false" outlineLevel="0" collapsed="false">
      <c r="Z214" s="83" t="str">
        <f aca="false">IF(ROW(AA214)-2&lt;=MAX($C$3:$W$44),ROW(AA214)-2,"")</f>
        <v/>
      </c>
    </row>
    <row r="215" customFormat="false" ht="14.25" hidden="false" customHeight="false" outlineLevel="0" collapsed="false">
      <c r="Z215" s="83" t="str">
        <f aca="false">IF(ROW(AA215)-2&lt;=MAX($C$3:$W$44),ROW(AA215)-2,"")</f>
        <v/>
      </c>
    </row>
    <row r="216" customFormat="false" ht="14.25" hidden="false" customHeight="false" outlineLevel="0" collapsed="false">
      <c r="Z216" s="83" t="str">
        <f aca="false">IF(ROW(AA216)-2&lt;=MAX($C$3:$W$44),ROW(AA216)-2,"")</f>
        <v/>
      </c>
    </row>
    <row r="217" customFormat="false" ht="14.25" hidden="false" customHeight="false" outlineLevel="0" collapsed="false">
      <c r="Z217" s="83" t="str">
        <f aca="false">IF(ROW(AA217)-2&lt;=MAX($C$3:$W$44),ROW(AA217)-2,"")</f>
        <v/>
      </c>
    </row>
    <row r="218" customFormat="false" ht="14.25" hidden="false" customHeight="false" outlineLevel="0" collapsed="false">
      <c r="Z218" s="83" t="str">
        <f aca="false">IF(ROW(AA218)-2&lt;=MAX($C$3:$W$44),ROW(AA218)-2,"")</f>
        <v/>
      </c>
    </row>
    <row r="219" customFormat="false" ht="14.25" hidden="false" customHeight="false" outlineLevel="0" collapsed="false">
      <c r="Z219" s="83" t="str">
        <f aca="false">IF(ROW(AA219)-2&lt;=MAX($C$3:$W$44),ROW(AA219)-2,"")</f>
        <v/>
      </c>
    </row>
    <row r="220" customFormat="false" ht="14.25" hidden="false" customHeight="false" outlineLevel="0" collapsed="false">
      <c r="Z220" s="83" t="str">
        <f aca="false">IF(ROW(AA220)-2&lt;=MAX($C$3:$W$44),ROW(AA220)-2,"")</f>
        <v/>
      </c>
    </row>
    <row r="221" customFormat="false" ht="14.25" hidden="false" customHeight="false" outlineLevel="0" collapsed="false">
      <c r="Z221" s="83" t="str">
        <f aca="false">IF(ROW(AA221)-2&lt;=MAX($C$3:$W$44),ROW(AA221)-2,"")</f>
        <v/>
      </c>
    </row>
    <row r="222" customFormat="false" ht="14.25" hidden="false" customHeight="false" outlineLevel="0" collapsed="false">
      <c r="Z222" s="83" t="str">
        <f aca="false">IF(ROW(AA222)-2&lt;=MAX($C$3:$W$44),ROW(AA222)-2,"")</f>
        <v/>
      </c>
    </row>
    <row r="223" customFormat="false" ht="14.25" hidden="false" customHeight="false" outlineLevel="0" collapsed="false">
      <c r="Z223" s="83" t="str">
        <f aca="false">IF(ROW(AA223)-2&lt;=MAX($C$3:$W$44),ROW(AA223)-2,"")</f>
        <v/>
      </c>
    </row>
    <row r="224" customFormat="false" ht="14.25" hidden="false" customHeight="false" outlineLevel="0" collapsed="false">
      <c r="Z224" s="83" t="str">
        <f aca="false">IF(ROW(AA224)-2&lt;=MAX($C$3:$W$44),ROW(AA224)-2,"")</f>
        <v/>
      </c>
    </row>
    <row r="225" customFormat="false" ht="14.25" hidden="false" customHeight="false" outlineLevel="0" collapsed="false">
      <c r="Z225" s="83" t="str">
        <f aca="false">IF(ROW(AA225)-2&lt;=MAX($C$3:$W$44),ROW(AA225)-2,"")</f>
        <v/>
      </c>
    </row>
    <row r="226" customFormat="false" ht="14.25" hidden="false" customHeight="false" outlineLevel="0" collapsed="false">
      <c r="Z226" s="83" t="str">
        <f aca="false">IF(ROW(AA226)-2&lt;=MAX($C$3:$W$44),ROW(AA226)-2,"")</f>
        <v/>
      </c>
    </row>
    <row r="227" customFormat="false" ht="14.25" hidden="false" customHeight="false" outlineLevel="0" collapsed="false">
      <c r="Z227" s="83" t="str">
        <f aca="false">IF(ROW(AA227)-2&lt;=MAX($C$3:$W$44),ROW(AA227)-2,"")</f>
        <v/>
      </c>
    </row>
    <row r="228" customFormat="false" ht="14.25" hidden="false" customHeight="false" outlineLevel="0" collapsed="false">
      <c r="Z228" s="83" t="str">
        <f aca="false">IF(ROW(AA228)-2&lt;=MAX($C$3:$W$44),ROW(AA228)-2,"")</f>
        <v/>
      </c>
    </row>
    <row r="229" customFormat="false" ht="14.25" hidden="false" customHeight="false" outlineLevel="0" collapsed="false">
      <c r="Z229" s="83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80">
      <formula>0</formula>
    </cfRule>
  </conditionalFormatting>
  <conditionalFormatting sqref="C2:W2">
    <cfRule type="cellIs" priority="3" operator="equal" aboveAverage="0" equalAverage="0" bottom="0" percent="0" rank="0" text="" dxfId="81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1:Y1048576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{1E30AD95-5FCA-4D86-8E3C-E9CF1DF2C647}</x14:id>
        </ext>
      </extLst>
    </cfRule>
  </conditionalFormatting>
  <conditionalFormatting sqref="Z1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30AD95-5FCA-4D86-8E3C-E9CF1DF2C64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Y:Y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43"/>
      <c r="B1" s="143"/>
      <c r="C1" s="144" t="s">
        <v>144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</row>
    <row r="2" customFormat="false" ht="15" hidden="false" customHeight="false" outlineLevel="0" collapsed="false">
      <c r="A2" s="143"/>
      <c r="B2" s="143"/>
      <c r="C2" s="145" t="str">
        <f aca="false">Neu!B4</f>
        <v>A</v>
      </c>
      <c r="D2" s="146" t="s">
        <v>6</v>
      </c>
      <c r="E2" s="146"/>
      <c r="F2" s="146" t="n">
        <f aca="false">Neu!B7</f>
        <v>0</v>
      </c>
      <c r="G2" s="146" t="n">
        <f aca="false">Neu!B8</f>
        <v>0</v>
      </c>
      <c r="H2" s="146" t="n">
        <f aca="false">Neu!B9</f>
        <v>0</v>
      </c>
      <c r="I2" s="146" t="n">
        <f aca="false">Neu!B10</f>
        <v>0</v>
      </c>
      <c r="J2" s="146" t="n">
        <f aca="false">Neu!B11</f>
        <v>0</v>
      </c>
      <c r="K2" s="146" t="n">
        <f aca="false">Neu!B12</f>
        <v>0</v>
      </c>
      <c r="L2" s="146" t="n">
        <f aca="false">Neu!B13</f>
        <v>0</v>
      </c>
      <c r="M2" s="146" t="n">
        <f aca="false">Neu!B14</f>
        <v>0</v>
      </c>
      <c r="N2" s="146" t="n">
        <f aca="false">Neu!B15</f>
        <v>0</v>
      </c>
      <c r="O2" s="146" t="n">
        <f aca="false">Neu!B16</f>
        <v>0</v>
      </c>
      <c r="P2" s="146" t="n">
        <f aca="false">Neu!B17</f>
        <v>0</v>
      </c>
      <c r="Q2" s="146" t="n">
        <f aca="false">Neu!$B18</f>
        <v>0</v>
      </c>
      <c r="R2" s="146" t="n">
        <f aca="false">Neu!$B19</f>
        <v>0</v>
      </c>
      <c r="S2" s="146" t="n">
        <f aca="false">Neu!$B20</f>
        <v>0</v>
      </c>
      <c r="T2" s="146" t="n">
        <f aca="false">Neu!$B21</f>
        <v>0</v>
      </c>
      <c r="U2" s="146" t="n">
        <f aca="false">Neu!$B22</f>
        <v>0</v>
      </c>
      <c r="V2" s="146" t="n">
        <f aca="false">Neu!$B23</f>
        <v>0</v>
      </c>
      <c r="W2" s="147" t="n">
        <f aca="false">Neu!$B24</f>
        <v>0</v>
      </c>
    </row>
    <row r="3" customFormat="false" ht="28.5" hidden="false" customHeight="true" outlineLevel="0" collapsed="false">
      <c r="A3" s="148" t="s">
        <v>145</v>
      </c>
      <c r="B3" s="52" t="str">
        <f aca="false">Neu!B4</f>
        <v>A</v>
      </c>
      <c r="C3" s="149"/>
      <c r="D3" s="150"/>
      <c r="E3" s="150"/>
      <c r="F3" s="150"/>
      <c r="G3" s="151"/>
      <c r="H3" s="150"/>
      <c r="I3" s="150"/>
      <c r="J3" s="150"/>
      <c r="K3" s="150"/>
      <c r="L3" s="150"/>
      <c r="M3" s="151"/>
      <c r="N3" s="150"/>
      <c r="O3" s="150"/>
      <c r="P3" s="151"/>
      <c r="Q3" s="152"/>
      <c r="R3" s="152"/>
      <c r="S3" s="152"/>
      <c r="T3" s="152"/>
      <c r="U3" s="152"/>
      <c r="V3" s="152"/>
      <c r="W3" s="153"/>
    </row>
    <row r="4" customFormat="false" ht="28.5" hidden="false" customHeight="true" outlineLevel="0" collapsed="false">
      <c r="A4" s="148"/>
      <c r="B4" s="101" t="s">
        <v>6</v>
      </c>
      <c r="C4" s="154"/>
      <c r="D4" s="155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6"/>
      <c r="R4" s="156"/>
      <c r="S4" s="157"/>
      <c r="T4" s="157"/>
      <c r="U4" s="157"/>
      <c r="V4" s="157"/>
      <c r="W4" s="158"/>
    </row>
    <row r="5" customFormat="false" ht="28.5" hidden="false" customHeight="true" outlineLevel="0" collapsed="false">
      <c r="A5" s="148"/>
      <c r="B5" s="101"/>
      <c r="C5" s="154"/>
      <c r="D5" s="151"/>
      <c r="E5" s="155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6"/>
      <c r="R5" s="156"/>
      <c r="S5" s="157"/>
      <c r="T5" s="157"/>
      <c r="U5" s="157"/>
      <c r="V5" s="157"/>
      <c r="W5" s="158"/>
    </row>
    <row r="6" customFormat="false" ht="28.5" hidden="false" customHeight="true" outlineLevel="0" collapsed="false">
      <c r="A6" s="148"/>
      <c r="B6" s="101" t="n">
        <f aca="false">Neu!B7</f>
        <v>0</v>
      </c>
      <c r="C6" s="154"/>
      <c r="D6" s="151"/>
      <c r="E6" s="151"/>
      <c r="F6" s="155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6"/>
      <c r="R6" s="156"/>
      <c r="S6" s="157"/>
      <c r="T6" s="157"/>
      <c r="U6" s="157"/>
      <c r="V6" s="157"/>
      <c r="W6" s="158"/>
    </row>
    <row r="7" customFormat="false" ht="28.5" hidden="false" customHeight="true" outlineLevel="0" collapsed="false">
      <c r="A7" s="148"/>
      <c r="B7" s="101" t="n">
        <f aca="false">Neu!B8</f>
        <v>0</v>
      </c>
      <c r="C7" s="154"/>
      <c r="D7" s="151"/>
      <c r="E7" s="151"/>
      <c r="F7" s="151"/>
      <c r="G7" s="155"/>
      <c r="H7" s="151"/>
      <c r="I7" s="151"/>
      <c r="J7" s="151"/>
      <c r="K7" s="151"/>
      <c r="L7" s="151"/>
      <c r="M7" s="151"/>
      <c r="N7" s="151"/>
      <c r="O7" s="151"/>
      <c r="P7" s="151"/>
      <c r="Q7" s="156"/>
      <c r="R7" s="156"/>
      <c r="S7" s="157"/>
      <c r="T7" s="157"/>
      <c r="U7" s="157"/>
      <c r="V7" s="157"/>
      <c r="W7" s="158"/>
    </row>
    <row r="8" customFormat="false" ht="28.5" hidden="false" customHeight="true" outlineLevel="0" collapsed="false">
      <c r="A8" s="148"/>
      <c r="B8" s="101" t="n">
        <f aca="false">Neu!B9</f>
        <v>0</v>
      </c>
      <c r="C8" s="154"/>
      <c r="D8" s="151"/>
      <c r="E8" s="151"/>
      <c r="F8" s="151"/>
      <c r="G8" s="151"/>
      <c r="H8" s="155"/>
      <c r="I8" s="151"/>
      <c r="J8" s="151"/>
      <c r="K8" s="151"/>
      <c r="L8" s="151"/>
      <c r="M8" s="151"/>
      <c r="N8" s="151"/>
      <c r="O8" s="151"/>
      <c r="P8" s="151"/>
      <c r="Q8" s="156"/>
      <c r="R8" s="156"/>
      <c r="S8" s="157"/>
      <c r="T8" s="157"/>
      <c r="U8" s="157"/>
      <c r="V8" s="157"/>
      <c r="W8" s="158"/>
    </row>
    <row r="9" customFormat="false" ht="28.5" hidden="false" customHeight="true" outlineLevel="0" collapsed="false">
      <c r="A9" s="148"/>
      <c r="B9" s="101" t="n">
        <f aca="false">Neu!B10</f>
        <v>0</v>
      </c>
      <c r="C9" s="154"/>
      <c r="D9" s="151"/>
      <c r="E9" s="151"/>
      <c r="F9" s="151"/>
      <c r="G9" s="151"/>
      <c r="H9" s="151"/>
      <c r="I9" s="155"/>
      <c r="J9" s="151"/>
      <c r="K9" s="151"/>
      <c r="L9" s="151"/>
      <c r="M9" s="151"/>
      <c r="N9" s="151"/>
      <c r="O9" s="151"/>
      <c r="P9" s="151"/>
      <c r="Q9" s="156"/>
      <c r="R9" s="156"/>
      <c r="S9" s="157"/>
      <c r="T9" s="157"/>
      <c r="U9" s="157"/>
      <c r="V9" s="157"/>
      <c r="W9" s="158"/>
    </row>
    <row r="10" customFormat="false" ht="28.5" hidden="false" customHeight="true" outlineLevel="0" collapsed="false">
      <c r="A10" s="148"/>
      <c r="B10" s="101" t="n">
        <f aca="false">Neu!B11</f>
        <v>0</v>
      </c>
      <c r="C10" s="154"/>
      <c r="D10" s="151"/>
      <c r="E10" s="151"/>
      <c r="F10" s="151"/>
      <c r="G10" s="151"/>
      <c r="H10" s="151"/>
      <c r="I10" s="151"/>
      <c r="J10" s="155"/>
      <c r="K10" s="151"/>
      <c r="L10" s="151"/>
      <c r="M10" s="151"/>
      <c r="N10" s="151"/>
      <c r="O10" s="151"/>
      <c r="P10" s="151"/>
      <c r="Q10" s="156"/>
      <c r="R10" s="156"/>
      <c r="S10" s="157"/>
      <c r="T10" s="157"/>
      <c r="U10" s="157"/>
      <c r="V10" s="157"/>
      <c r="W10" s="158"/>
    </row>
    <row r="11" customFormat="false" ht="28.5" hidden="false" customHeight="true" outlineLevel="0" collapsed="false">
      <c r="A11" s="148"/>
      <c r="B11" s="101" t="n">
        <f aca="false">Neu!B12</f>
        <v>0</v>
      </c>
      <c r="C11" s="154"/>
      <c r="D11" s="151"/>
      <c r="E11" s="151"/>
      <c r="F11" s="151"/>
      <c r="G11" s="151"/>
      <c r="H11" s="151"/>
      <c r="I11" s="151"/>
      <c r="J11" s="151"/>
      <c r="K11" s="155"/>
      <c r="L11" s="151"/>
      <c r="M11" s="151"/>
      <c r="N11" s="151"/>
      <c r="O11" s="151"/>
      <c r="P11" s="151"/>
      <c r="Q11" s="156"/>
      <c r="R11" s="156"/>
      <c r="S11" s="157"/>
      <c r="T11" s="157"/>
      <c r="U11" s="157"/>
      <c r="V11" s="157"/>
      <c r="W11" s="158"/>
    </row>
    <row r="12" customFormat="false" ht="28.5" hidden="false" customHeight="true" outlineLevel="0" collapsed="false">
      <c r="A12" s="148"/>
      <c r="B12" s="101" t="n">
        <f aca="false">Neu!B13</f>
        <v>0</v>
      </c>
      <c r="C12" s="154"/>
      <c r="D12" s="151"/>
      <c r="E12" s="151"/>
      <c r="F12" s="151"/>
      <c r="G12" s="151"/>
      <c r="H12" s="151"/>
      <c r="I12" s="151"/>
      <c r="J12" s="151"/>
      <c r="K12" s="151"/>
      <c r="L12" s="155"/>
      <c r="M12" s="151"/>
      <c r="N12" s="151"/>
      <c r="O12" s="151"/>
      <c r="P12" s="151"/>
      <c r="Q12" s="156"/>
      <c r="R12" s="156"/>
      <c r="S12" s="157"/>
      <c r="T12" s="157"/>
      <c r="U12" s="157"/>
      <c r="V12" s="157"/>
      <c r="W12" s="158"/>
    </row>
    <row r="13" customFormat="false" ht="28.5" hidden="false" customHeight="true" outlineLevel="0" collapsed="false">
      <c r="A13" s="148"/>
      <c r="B13" s="101" t="n">
        <f aca="false">Neu!B14</f>
        <v>0</v>
      </c>
      <c r="C13" s="154"/>
      <c r="D13" s="151"/>
      <c r="E13" s="151"/>
      <c r="F13" s="151"/>
      <c r="G13" s="151"/>
      <c r="H13" s="151"/>
      <c r="I13" s="151"/>
      <c r="J13" s="151"/>
      <c r="K13" s="151"/>
      <c r="L13" s="151"/>
      <c r="M13" s="155"/>
      <c r="N13" s="151"/>
      <c r="O13" s="151"/>
      <c r="P13" s="151"/>
      <c r="Q13" s="156"/>
      <c r="R13" s="156"/>
      <c r="S13" s="157"/>
      <c r="T13" s="157"/>
      <c r="U13" s="157"/>
      <c r="V13" s="157"/>
      <c r="W13" s="158"/>
    </row>
    <row r="14" customFormat="false" ht="28.5" hidden="false" customHeight="true" outlineLevel="0" collapsed="false">
      <c r="A14" s="148"/>
      <c r="B14" s="101" t="n">
        <f aca="false">Neu!B15</f>
        <v>0</v>
      </c>
      <c r="C14" s="154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5"/>
      <c r="O14" s="151"/>
      <c r="P14" s="151"/>
      <c r="Q14" s="156"/>
      <c r="R14" s="156"/>
      <c r="S14" s="157"/>
      <c r="T14" s="157"/>
      <c r="U14" s="157"/>
      <c r="V14" s="157"/>
      <c r="W14" s="158"/>
    </row>
    <row r="15" customFormat="false" ht="28.5" hidden="false" customHeight="true" outlineLevel="0" collapsed="false">
      <c r="A15" s="148"/>
      <c r="B15" s="101" t="n">
        <f aca="false">Neu!B16</f>
        <v>0</v>
      </c>
      <c r="C15" s="154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5"/>
      <c r="P15" s="151"/>
      <c r="Q15" s="156"/>
      <c r="R15" s="156"/>
      <c r="S15" s="157"/>
      <c r="T15" s="157"/>
      <c r="U15" s="157"/>
      <c r="V15" s="157"/>
      <c r="W15" s="158"/>
    </row>
    <row r="16" customFormat="false" ht="28.5" hidden="false" customHeight="true" outlineLevel="0" collapsed="false">
      <c r="A16" s="148"/>
      <c r="B16" s="101" t="n">
        <f aca="false">Neu!B17</f>
        <v>0</v>
      </c>
      <c r="C16" s="154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5"/>
      <c r="Q16" s="156"/>
      <c r="R16" s="156"/>
      <c r="S16" s="157"/>
      <c r="T16" s="157"/>
      <c r="U16" s="157"/>
      <c r="V16" s="157"/>
      <c r="W16" s="158"/>
    </row>
    <row r="17" customFormat="false" ht="28.5" hidden="false" customHeight="true" outlineLevel="0" collapsed="false">
      <c r="A17" s="148"/>
      <c r="B17" s="101" t="n">
        <f aca="false">Neu!B18</f>
        <v>0</v>
      </c>
      <c r="C17" s="159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1"/>
      <c r="R17" s="156"/>
      <c r="S17" s="157"/>
      <c r="T17" s="157"/>
      <c r="U17" s="157"/>
      <c r="V17" s="157"/>
      <c r="W17" s="158"/>
    </row>
    <row r="18" customFormat="false" ht="28.5" hidden="false" customHeight="true" outlineLevel="0" collapsed="false">
      <c r="B18" s="101" t="n">
        <f aca="false">Neu!B19</f>
        <v>0</v>
      </c>
      <c r="C18" s="154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5"/>
      <c r="S18" s="157"/>
      <c r="T18" s="157"/>
      <c r="U18" s="157"/>
      <c r="V18" s="157"/>
      <c r="W18" s="158"/>
    </row>
    <row r="19" customFormat="false" ht="28.5" hidden="false" customHeight="true" outlineLevel="0" collapsed="false">
      <c r="B19" s="101" t="n">
        <f aca="false">Neu!B20</f>
        <v>0</v>
      </c>
      <c r="C19" s="154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5"/>
      <c r="T19" s="157"/>
      <c r="U19" s="157"/>
      <c r="V19" s="157"/>
      <c r="W19" s="158"/>
    </row>
    <row r="20" customFormat="false" ht="28.5" hidden="false" customHeight="true" outlineLevel="0" collapsed="false">
      <c r="B20" s="101" t="n">
        <f aca="false">Neu!B21</f>
        <v>0</v>
      </c>
      <c r="C20" s="154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5"/>
      <c r="U20" s="157"/>
      <c r="V20" s="157"/>
      <c r="W20" s="158"/>
    </row>
    <row r="21" customFormat="false" ht="28.5" hidden="false" customHeight="true" outlineLevel="0" collapsed="false">
      <c r="B21" s="101" t="n">
        <f aca="false">Neu!B22</f>
        <v>0</v>
      </c>
      <c r="C21" s="154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5"/>
      <c r="V21" s="157"/>
      <c r="W21" s="158"/>
    </row>
    <row r="22" customFormat="false" ht="28.5" hidden="false" customHeight="true" outlineLevel="0" collapsed="false">
      <c r="B22" s="101" t="n">
        <f aca="false">Neu!B23</f>
        <v>0</v>
      </c>
      <c r="C22" s="154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5"/>
      <c r="W22" s="158"/>
    </row>
    <row r="23" customFormat="false" ht="28.5" hidden="false" customHeight="true" outlineLevel="0" collapsed="false">
      <c r="B23" s="56" t="n">
        <f aca="false">Neu!B24</f>
        <v>0</v>
      </c>
      <c r="C23" s="162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4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82">
      <formula>0</formula>
    </cfRule>
  </conditionalFormatting>
  <conditionalFormatting sqref="C2:W2">
    <cfRule type="cellIs" priority="3" operator="equal" aboveAverage="0" equalAverage="0" bottom="0" percent="0" rank="0" text="" dxfId="83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priority="5" operator="equal" aboveAverage="0" equalAverage="0" bottom="0" percent="0" rank="0" text="" dxfId="84">
      <formula>0</formula>
    </cfRule>
    <cfRule type="cellIs" priority="6" operator="equal" aboveAverage="0" equalAverage="0" bottom="0" percent="0" rank="0" text="" dxfId="85">
      <formula>0</formula>
    </cfRule>
  </conditionalFormatting>
  <conditionalFormatting sqref="E4:W4 F5:W5 G6:W6 H7:W7 I8:W8 J9:W9 K10:W10 L11:W11 M12:W12 N13:W13 O14:W14 P15:W15 Q16:W16 R17:W17 S18:W18 T19:W19 U20:W20 V21:W21 W22 D3:W3">
    <cfRule type="colorScale" priority="7">
      <colorScale>
        <cfvo type="min" val="0"/>
        <cfvo type="max" val="0"/>
        <color rgb="FFDAE3F3"/>
        <color rgb="FFFF00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796875" defaultRowHeight="14.25" zeroHeight="false" outlineLevelRow="0" outlineLevelCol="0"/>
  <cols>
    <col collapsed="false" customWidth="true" hidden="false" outlineLevel="0" max="1" min="1" style="165" width="35.46"/>
    <col collapsed="false" customWidth="true" hidden="false" outlineLevel="0" max="2" min="2" style="166" width="10.82"/>
    <col collapsed="false" customWidth="false" hidden="false" outlineLevel="0" max="3" min="3" style="166" width="9.18"/>
    <col collapsed="false" customWidth="true" hidden="false" outlineLevel="0" max="4" min="4" style="166" width="17.17"/>
    <col collapsed="false" customWidth="false" hidden="false" outlineLevel="0" max="1024" min="5" style="166" width="9.18"/>
  </cols>
  <sheetData>
    <row r="1" customFormat="false" ht="14.25" hidden="false" customHeight="false" outlineLevel="0" collapsed="false">
      <c r="A1" s="167"/>
      <c r="B1" s="168" t="s">
        <v>162</v>
      </c>
      <c r="C1" s="168" t="s">
        <v>163</v>
      </c>
      <c r="D1" s="168" t="s">
        <v>164</v>
      </c>
    </row>
    <row r="2" customFormat="false" ht="14.25" hidden="false" customHeight="false" outlineLevel="0" collapsed="false">
      <c r="A2" s="167" t="s">
        <v>165</v>
      </c>
      <c r="B2" s="53" t="n">
        <v>0</v>
      </c>
      <c r="C2" s="53" t="n">
        <v>200</v>
      </c>
      <c r="D2" s="53" t="n">
        <v>10</v>
      </c>
    </row>
    <row r="3" customFormat="false" ht="14.25" hidden="false" customHeight="false" outlineLevel="0" collapsed="false">
      <c r="A3" s="167" t="s">
        <v>166</v>
      </c>
      <c r="B3" s="53" t="n">
        <v>0</v>
      </c>
      <c r="C3" s="53" t="n">
        <v>200</v>
      </c>
      <c r="D3" s="53" t="n">
        <v>10</v>
      </c>
    </row>
    <row r="4" customFormat="false" ht="14.25" hidden="false" customHeight="false" outlineLevel="0" collapsed="false">
      <c r="A4" s="167" t="s">
        <v>167</v>
      </c>
      <c r="B4" s="53" t="n">
        <v>0</v>
      </c>
      <c r="C4" s="53" t="n">
        <v>200</v>
      </c>
      <c r="D4" s="5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2025-06-23T13:23:20Z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