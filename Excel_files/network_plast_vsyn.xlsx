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udickman\CWRU_Research\SNNAPinNEURON\excel\"/>
    </mc:Choice>
  </mc:AlternateContent>
  <xr:revisionPtr revIDLastSave="0" documentId="13_ncr:1_{02CECB9F-FCB5-4900-93CB-A778C27A2CE3}" xr6:coauthVersionLast="47" xr6:coauthVersionMax="47" xr10:uidLastSave="{00000000-0000-0000-0000-000000000000}"/>
  <bookViews>
    <workbookView xWindow="-110" yWindow="-110" windowWidth="19420" windowHeight="10300" tabRatio="816" activeTab="3" xr2:uid="{00000000-000D-0000-FFFF-FFFF00000000}"/>
  </bookViews>
  <sheets>
    <sheet name="Neu" sheetId="3" r:id="rId1"/>
    <sheet name="rockon.smu" sheetId="13" r:id="rId2"/>
    <sheet name="synapse.smu" sheetId="14" r:id="rId3"/>
    <sheet name="cs_g" sheetId="1" r:id="rId4"/>
    <sheet name="cs_E" sheetId="2" r:id="rId5"/>
    <sheet name="cs_FAT" sheetId="4" r:id="rId6"/>
    <sheet name="es" sheetId="5" r:id="rId7"/>
    <sheet name="noise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1" i="3" l="1"/>
  <c r="Z32" i="3"/>
  <c r="Z33" i="3"/>
  <c r="Z34" i="3"/>
  <c r="D5" i="3"/>
  <c r="D6" i="3" s="1"/>
  <c r="FT27" i="3"/>
  <c r="FS27" i="3"/>
  <c r="FP27" i="3"/>
  <c r="FO27" i="3"/>
  <c r="FT26" i="3"/>
  <c r="FS26" i="3"/>
  <c r="FR26" i="3"/>
  <c r="FP26" i="3"/>
  <c r="FO26" i="3"/>
  <c r="FN26" i="3"/>
  <c r="IO27" i="3"/>
  <c r="IN27" i="3"/>
  <c r="IM27" i="3"/>
  <c r="IL27" i="3"/>
  <c r="IK27" i="3"/>
  <c r="IJ27" i="3"/>
  <c r="II27" i="3"/>
  <c r="IH27" i="3"/>
  <c r="IG27" i="3"/>
  <c r="IF27" i="3"/>
  <c r="IE27" i="3"/>
  <c r="ID27" i="3"/>
  <c r="HV27" i="3"/>
  <c r="HU27" i="3"/>
  <c r="HT27" i="3"/>
  <c r="HS27" i="3"/>
  <c r="HR27" i="3"/>
  <c r="HQ27" i="3"/>
  <c r="HP27" i="3"/>
  <c r="IO26" i="3"/>
  <c r="IN26" i="3"/>
  <c r="IM26" i="3"/>
  <c r="IL26" i="3"/>
  <c r="IK26" i="3"/>
  <c r="IJ26" i="3"/>
  <c r="II26" i="3"/>
  <c r="IH26" i="3"/>
  <c r="IG26" i="3"/>
  <c r="IF26" i="3"/>
  <c r="IE26" i="3"/>
  <c r="ID26" i="3"/>
  <c r="HV26" i="3"/>
  <c r="HU26" i="3"/>
  <c r="HT26" i="3"/>
  <c r="HR26" i="3"/>
  <c r="HQ26" i="3"/>
  <c r="HP26" i="3"/>
  <c r="L60" i="3" l="1"/>
  <c r="K60" i="3"/>
  <c r="L59" i="3"/>
  <c r="K59" i="3"/>
  <c r="L58" i="3"/>
  <c r="K58" i="3"/>
  <c r="BD51" i="3" l="1"/>
  <c r="BD50" i="3"/>
  <c r="BD49" i="3"/>
  <c r="BD48" i="3"/>
  <c r="BD47" i="3"/>
  <c r="BD46" i="3"/>
  <c r="BD45" i="3"/>
  <c r="BD44" i="3"/>
  <c r="BD43" i="3"/>
  <c r="BD42" i="3"/>
  <c r="BD41" i="3"/>
  <c r="BD40" i="3"/>
  <c r="BD39" i="3"/>
  <c r="BD38" i="3"/>
  <c r="BD37" i="3"/>
  <c r="BD36" i="3"/>
  <c r="BD35" i="3"/>
  <c r="BD34" i="3"/>
  <c r="BD33" i="3"/>
  <c r="BD32" i="3"/>
  <c r="BD31" i="3"/>
  <c r="A4" i="3" l="1"/>
  <c r="A5" i="3"/>
  <c r="A6" i="3"/>
  <c r="A7" i="3"/>
  <c r="G2" i="4"/>
  <c r="P3" i="5"/>
  <c r="M3" i="5"/>
  <c r="G3" i="5"/>
  <c r="D3" i="5"/>
  <c r="E3" i="5"/>
  <c r="F3" i="5"/>
  <c r="H3" i="5"/>
  <c r="I3" i="5"/>
  <c r="J3" i="5"/>
  <c r="K3" i="5"/>
  <c r="L3" i="5"/>
  <c r="N3" i="5"/>
  <c r="O3" i="5"/>
  <c r="Q3" i="5"/>
  <c r="R3" i="5"/>
  <c r="S3" i="5"/>
  <c r="T3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H7" i="5"/>
  <c r="I7" i="5"/>
  <c r="J7" i="5"/>
  <c r="K7" i="5"/>
  <c r="L7" i="5"/>
  <c r="M7" i="5"/>
  <c r="N7" i="5"/>
  <c r="O7" i="5"/>
  <c r="P7" i="5"/>
  <c r="Q7" i="5"/>
  <c r="R7" i="5"/>
  <c r="S7" i="5"/>
  <c r="T7" i="5"/>
  <c r="I8" i="5"/>
  <c r="J8" i="5"/>
  <c r="K8" i="5"/>
  <c r="L8" i="5"/>
  <c r="M8" i="5"/>
  <c r="N8" i="5"/>
  <c r="O8" i="5"/>
  <c r="P8" i="5"/>
  <c r="Q8" i="5"/>
  <c r="R8" i="5"/>
  <c r="S8" i="5"/>
  <c r="T8" i="5"/>
  <c r="J9" i="5"/>
  <c r="K9" i="5"/>
  <c r="L9" i="5"/>
  <c r="M9" i="5"/>
  <c r="N9" i="5"/>
  <c r="O9" i="5"/>
  <c r="P9" i="5"/>
  <c r="Q9" i="5"/>
  <c r="R9" i="5"/>
  <c r="S9" i="5"/>
  <c r="T9" i="5"/>
  <c r="K10" i="5"/>
  <c r="L10" i="5"/>
  <c r="M10" i="5"/>
  <c r="N10" i="5"/>
  <c r="O10" i="5"/>
  <c r="P10" i="5"/>
  <c r="Q10" i="5"/>
  <c r="R10" i="5"/>
  <c r="S10" i="5"/>
  <c r="T10" i="5"/>
  <c r="L11" i="5"/>
  <c r="M11" i="5"/>
  <c r="N11" i="5"/>
  <c r="O11" i="5"/>
  <c r="P11" i="5"/>
  <c r="Q11" i="5"/>
  <c r="R11" i="5"/>
  <c r="S11" i="5"/>
  <c r="T11" i="5"/>
  <c r="M12" i="5"/>
  <c r="N12" i="5"/>
  <c r="O12" i="5"/>
  <c r="P12" i="5"/>
  <c r="Q12" i="5"/>
  <c r="R12" i="5"/>
  <c r="S12" i="5"/>
  <c r="T12" i="5"/>
  <c r="N13" i="5"/>
  <c r="O13" i="5"/>
  <c r="P13" i="5"/>
  <c r="Q13" i="5"/>
  <c r="R13" i="5"/>
  <c r="S13" i="5"/>
  <c r="T13" i="5"/>
  <c r="O14" i="5"/>
  <c r="P14" i="5"/>
  <c r="Q14" i="5"/>
  <c r="R14" i="5"/>
  <c r="S14" i="5"/>
  <c r="T14" i="5"/>
  <c r="P15" i="5"/>
  <c r="Q15" i="5"/>
  <c r="R15" i="5"/>
  <c r="S15" i="5"/>
  <c r="T15" i="5"/>
  <c r="Q16" i="5"/>
  <c r="R16" i="5"/>
  <c r="S16" i="5"/>
  <c r="T16" i="5"/>
  <c r="R17" i="5"/>
  <c r="S17" i="5"/>
  <c r="T17" i="5"/>
  <c r="S18" i="5"/>
  <c r="T18" i="5"/>
  <c r="T19" i="5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Y5" i="2" l="1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4" i="2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4" i="1"/>
  <c r="B43" i="1" l="1"/>
  <c r="B41" i="1"/>
  <c r="B39" i="1"/>
  <c r="B37" i="1"/>
  <c r="B35" i="1"/>
  <c r="B33" i="1"/>
  <c r="B31" i="1"/>
  <c r="B29" i="1"/>
  <c r="B27" i="1"/>
  <c r="B25" i="1"/>
  <c r="B23" i="1"/>
  <c r="B21" i="1"/>
  <c r="B19" i="1"/>
  <c r="B17" i="1"/>
  <c r="B15" i="1"/>
  <c r="B13" i="1"/>
  <c r="B11" i="1"/>
  <c r="B9" i="1"/>
  <c r="B7" i="1"/>
  <c r="B5" i="1"/>
  <c r="B3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Y38" i="4"/>
  <c r="Y39" i="4"/>
  <c r="Y40" i="4"/>
  <c r="Y41" i="4"/>
  <c r="Y42" i="4"/>
  <c r="Y43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4" i="4"/>
  <c r="Y5" i="4"/>
  <c r="Y6" i="4"/>
  <c r="Y7" i="4"/>
  <c r="Y8" i="4"/>
  <c r="Y9" i="4"/>
  <c r="Y3" i="4"/>
  <c r="Z33" i="4" l="1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B43" i="4"/>
  <c r="B41" i="4"/>
  <c r="B39" i="4"/>
  <c r="B37" i="4"/>
  <c r="B35" i="4"/>
  <c r="B33" i="4"/>
  <c r="B31" i="4"/>
  <c r="B29" i="4"/>
  <c r="B27" i="4"/>
  <c r="B25" i="4"/>
  <c r="B23" i="4"/>
  <c r="B21" i="4"/>
  <c r="B19" i="4"/>
  <c r="B17" i="4"/>
  <c r="B15" i="4"/>
  <c r="B13" i="4"/>
  <c r="B11" i="4"/>
  <c r="B9" i="4"/>
  <c r="B7" i="4"/>
  <c r="B5" i="4"/>
  <c r="B3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F2" i="4"/>
  <c r="E2" i="4"/>
  <c r="D2" i="4"/>
  <c r="C2" i="4"/>
  <c r="B43" i="2"/>
  <c r="B41" i="2"/>
  <c r="B39" i="2"/>
  <c r="B37" i="2"/>
  <c r="B35" i="2"/>
  <c r="B33" i="2"/>
  <c r="B31" i="2"/>
  <c r="B29" i="2"/>
  <c r="B27" i="2"/>
  <c r="B25" i="2"/>
  <c r="B23" i="2"/>
  <c r="B21" i="2"/>
  <c r="B19" i="2"/>
  <c r="B17" i="2"/>
  <c r="B15" i="2"/>
  <c r="B13" i="2"/>
  <c r="B11" i="2"/>
  <c r="B9" i="2"/>
  <c r="B7" i="2"/>
  <c r="B5" i="2"/>
  <c r="B3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W45" i="4" l="1"/>
  <c r="Z48" i="3"/>
  <c r="Z49" i="3"/>
  <c r="Z50" i="3"/>
  <c r="Z51" i="3"/>
  <c r="O48" i="3"/>
  <c r="O49" i="3"/>
  <c r="O50" i="3"/>
  <c r="O51" i="3"/>
  <c r="D48" i="3"/>
  <c r="D49" i="3"/>
  <c r="D50" i="3"/>
  <c r="D51" i="3"/>
  <c r="A24" i="3"/>
  <c r="W22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8" i="5"/>
  <c r="W7" i="5"/>
  <c r="W6" i="5"/>
  <c r="W5" i="5"/>
  <c r="W4" i="5"/>
  <c r="W3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V4" i="5"/>
  <c r="V3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U3" i="5"/>
  <c r="B16" i="5"/>
  <c r="B17" i="5"/>
  <c r="B18" i="5"/>
  <c r="B19" i="5"/>
  <c r="B20" i="5"/>
  <c r="B21" i="5"/>
  <c r="B22" i="5"/>
  <c r="B23" i="5"/>
  <c r="W2" i="5"/>
  <c r="V2" i="5"/>
  <c r="U2" i="5"/>
  <c r="T2" i="5"/>
  <c r="S2" i="5"/>
  <c r="R2" i="5"/>
  <c r="Q2" i="5"/>
  <c r="P2" i="5"/>
  <c r="Z47" i="3" l="1"/>
  <c r="Z46" i="3"/>
  <c r="Z45" i="3"/>
  <c r="Z44" i="3"/>
  <c r="Z43" i="3"/>
  <c r="Z42" i="3"/>
  <c r="Z41" i="3"/>
  <c r="Z40" i="3"/>
  <c r="Z39" i="3"/>
  <c r="Z38" i="3"/>
  <c r="Z37" i="3"/>
  <c r="Z36" i="3"/>
  <c r="Z35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B15" i="5" l="1"/>
  <c r="B14" i="5"/>
  <c r="B13" i="5"/>
  <c r="B12" i="5"/>
  <c r="B11" i="5"/>
  <c r="B10" i="5"/>
  <c r="B9" i="5"/>
  <c r="B8" i="5"/>
  <c r="B7" i="5"/>
  <c r="B6" i="5"/>
  <c r="B5" i="5"/>
  <c r="B4" i="5"/>
  <c r="B3" i="5"/>
  <c r="O2" i="5"/>
  <c r="N2" i="5"/>
  <c r="M2" i="5"/>
  <c r="L2" i="5"/>
  <c r="K2" i="5"/>
  <c r="J2" i="5"/>
  <c r="I2" i="5"/>
  <c r="H2" i="5"/>
  <c r="G2" i="5"/>
  <c r="F2" i="5"/>
  <c r="E2" i="5"/>
  <c r="D2" i="5"/>
  <c r="C2" i="5"/>
</calcChain>
</file>

<file path=xl/sharedStrings.xml><?xml version="1.0" encoding="utf-8"?>
<sst xmlns="http://schemas.openxmlformats.org/spreadsheetml/2006/main" count="737" uniqueCount="181">
  <si>
    <t>Name</t>
  </si>
  <si>
    <t>Template</t>
  </si>
  <si>
    <t>g</t>
  </si>
  <si>
    <t>E</t>
  </si>
  <si>
    <t>Postsynaptic</t>
  </si>
  <si>
    <t>Presynaptic</t>
  </si>
  <si>
    <t>u1</t>
  </si>
  <si>
    <t>u2</t>
  </si>
  <si>
    <t>h</t>
  </si>
  <si>
    <t>s</t>
  </si>
  <si>
    <t>p</t>
  </si>
  <si>
    <t>tx</t>
  </si>
  <si>
    <t>ud</t>
  </si>
  <si>
    <t>ur</t>
  </si>
  <si>
    <t>duration</t>
  </si>
  <si>
    <t>Amplitude</t>
  </si>
  <si>
    <t>step size</t>
  </si>
  <si>
    <t>jitter in step size</t>
  </si>
  <si>
    <t>votage-dependent conductance (.vdg)</t>
  </si>
  <si>
    <t>electrical synapse (.es)</t>
  </si>
  <si>
    <t>chemical synapse (.cs)</t>
  </si>
  <si>
    <t>smu</t>
  </si>
  <si>
    <t>name</t>
  </si>
  <si>
    <t>stepsize</t>
  </si>
  <si>
    <t>graph</t>
  </si>
  <si>
    <t>store</t>
  </si>
  <si>
    <t>method</t>
  </si>
  <si>
    <t>variable</t>
  </si>
  <si>
    <t>start</t>
  </si>
  <si>
    <t>stop</t>
  </si>
  <si>
    <t># ticks</t>
  </si>
  <si>
    <t>time</t>
  </si>
  <si>
    <t>min</t>
  </si>
  <si>
    <t>max</t>
  </si>
  <si>
    <t>color</t>
  </si>
  <si>
    <t>variable 1</t>
  </si>
  <si>
    <t>graph (ous)</t>
  </si>
  <si>
    <t>Current injection</t>
  </si>
  <si>
    <t>neuron</t>
  </si>
  <si>
    <t>magnitude</t>
  </si>
  <si>
    <t>Size</t>
  </si>
  <si>
    <t>variable 2</t>
  </si>
  <si>
    <t>variable 3</t>
  </si>
  <si>
    <t>variable 4</t>
  </si>
  <si>
    <t>V</t>
  </si>
  <si>
    <t>example</t>
  </si>
  <si>
    <t>example variables</t>
  </si>
  <si>
    <t>Ivd</t>
  </si>
  <si>
    <t>current by voltage gated conductance</t>
  </si>
  <si>
    <t>voltage</t>
  </si>
  <si>
    <t>A</t>
  </si>
  <si>
    <t>B</t>
  </si>
  <si>
    <t>activation of conductance</t>
  </si>
  <si>
    <t>Inactivation of conductance</t>
  </si>
  <si>
    <t>Ics</t>
  </si>
  <si>
    <t>Cion</t>
  </si>
  <si>
    <t>amount of ion</t>
  </si>
  <si>
    <t xml:space="preserve">    variable.conductance.neuron</t>
  </si>
  <si>
    <t xml:space="preserve">    Ivd.Na.N1</t>
  </si>
  <si>
    <t xml:space="preserve">    variable.neuron</t>
  </si>
  <si>
    <t xml:space="preserve">    V.N1</t>
  </si>
  <si>
    <t>conductance</t>
  </si>
  <si>
    <t xml:space="preserve">neuron </t>
  </si>
  <si>
    <t>red indicates simlation longer than graph duration</t>
  </si>
  <si>
    <t xml:space="preserve">                         stimulation (.trt)</t>
  </si>
  <si>
    <t>output variables</t>
  </si>
  <si>
    <t>type "all" in first cell to output all graphed variables or type individual channels</t>
  </si>
  <si>
    <t>potential</t>
  </si>
  <si>
    <t>Voltage clamp</t>
  </si>
  <si>
    <t>red</t>
  </si>
  <si>
    <t>syntax</t>
  </si>
  <si>
    <t>synapse</t>
  </si>
  <si>
    <t>variable.pre.post.type</t>
  </si>
  <si>
    <t>Ics.N1.N4.f_exc</t>
  </si>
  <si>
    <t>example synapses</t>
  </si>
  <si>
    <t>f_exc</t>
  </si>
  <si>
    <t>s_exc</t>
  </si>
  <si>
    <t>f_inh</t>
  </si>
  <si>
    <t>s_inh</t>
  </si>
  <si>
    <t>fast inhibitory</t>
  </si>
  <si>
    <t>fast excitatory</t>
  </si>
  <si>
    <t>slow inhibitory</t>
  </si>
  <si>
    <t>slow excitatory</t>
  </si>
  <si>
    <t>Ies.N1.N4</t>
  </si>
  <si>
    <t>chem syn current</t>
  </si>
  <si>
    <t>elec syn current</t>
  </si>
  <si>
    <t>Ies</t>
  </si>
  <si>
    <t>File</t>
  </si>
  <si>
    <t>leak</t>
  </si>
  <si>
    <t>vdg</t>
  </si>
  <si>
    <t>Na</t>
  </si>
  <si>
    <t>tmx</t>
  </si>
  <si>
    <t>tmin</t>
  </si>
  <si>
    <t>K</t>
  </si>
  <si>
    <t>all</t>
  </si>
  <si>
    <t>An</t>
  </si>
  <si>
    <t>Bn</t>
  </si>
  <si>
    <t>th1</t>
  </si>
  <si>
    <t>ts1</t>
  </si>
  <si>
    <t>tp1</t>
  </si>
  <si>
    <t>th2</t>
  </si>
  <si>
    <t>ts2</t>
  </si>
  <si>
    <t>tp2</t>
  </si>
  <si>
    <t>ion</t>
  </si>
  <si>
    <t>Ca</t>
  </si>
  <si>
    <t>K1</t>
  </si>
  <si>
    <t>K2</t>
  </si>
  <si>
    <t>ch</t>
  </si>
  <si>
    <t>Ion pools</t>
  </si>
  <si>
    <t>Conductance to ion</t>
  </si>
  <si>
    <t>Ion to conductance</t>
  </si>
  <si>
    <t>fBr = BR</t>
  </si>
  <si>
    <t>fBr = 1 + BR</t>
  </si>
  <si>
    <t>channel requires ion</t>
  </si>
  <si>
    <t>ion enhances channel only</t>
  </si>
  <si>
    <t>ion inhibits channel only</t>
  </si>
  <si>
    <t>b</t>
  </si>
  <si>
    <t>fBr = 1/(1 + b*(BR))</t>
  </si>
  <si>
    <t>Kca</t>
  </si>
  <si>
    <t>p1</t>
  </si>
  <si>
    <t>p2</t>
  </si>
  <si>
    <t>opt2</t>
  </si>
  <si>
    <t>opt1</t>
  </si>
  <si>
    <t xml:space="preserve">opt1  1: </t>
  </si>
  <si>
    <t xml:space="preserve"> 2: </t>
  </si>
  <si>
    <t xml:space="preserve">3: </t>
  </si>
  <si>
    <t xml:space="preserve">opt2  1: </t>
  </si>
  <si>
    <t xml:space="preserve">2: </t>
  </si>
  <si>
    <t xml:space="preserve">4: </t>
  </si>
  <si>
    <t xml:space="preserve">5: </t>
  </si>
  <si>
    <t>BR = ion/(p1 + ion)</t>
  </si>
  <si>
    <t>BR = ion/(p1+ ion) + 1</t>
  </si>
  <si>
    <t>BR = 1/(1 + p1*ion)</t>
  </si>
  <si>
    <t>BR = exp((p1+ ion)/p2)</t>
  </si>
  <si>
    <t>cm</t>
  </si>
  <si>
    <t>IVDxREG</t>
  </si>
  <si>
    <t>currrent by conductance and regulation</t>
  </si>
  <si>
    <t>CaL</t>
  </si>
  <si>
    <t>CaR</t>
  </si>
  <si>
    <t>KA</t>
  </si>
  <si>
    <t>Napp</t>
  </si>
  <si>
    <t>sIVD_reg</t>
  </si>
  <si>
    <t>for total current</t>
  </si>
  <si>
    <t>slex</t>
  </si>
  <si>
    <t>trt current</t>
  </si>
  <si>
    <t>d(ion)/dt = K1*(K2*sum(Ivd) - ion)</t>
  </si>
  <si>
    <t>HCN</t>
  </si>
  <si>
    <t>depression</t>
  </si>
  <si>
    <t>facilitation</t>
  </si>
  <si>
    <t>taus</t>
  </si>
  <si>
    <t>u</t>
  </si>
  <si>
    <t>fBR</t>
  </si>
  <si>
    <t>fBR.ion.ch.neuron</t>
  </si>
  <si>
    <t>minimum activation</t>
  </si>
  <si>
    <t>half in/activation</t>
  </si>
  <si>
    <t>slope</t>
  </si>
  <si>
    <t>power</t>
  </si>
  <si>
    <t>maximum tau</t>
  </si>
  <si>
    <t>minimum tau</t>
  </si>
  <si>
    <t>CaN</t>
  </si>
  <si>
    <t>K_pp</t>
  </si>
  <si>
    <t>if u2 is empty it is assumed equal to u1</t>
  </si>
  <si>
    <t>midrange</t>
  </si>
  <si>
    <t>Voltage dependence</t>
  </si>
  <si>
    <t>fast</t>
  </si>
  <si>
    <t>slow</t>
  </si>
  <si>
    <t>Ach</t>
  </si>
  <si>
    <t>Colorbar</t>
  </si>
  <si>
    <t>Ca2</t>
  </si>
  <si>
    <t>rockon</t>
  </si>
  <si>
    <t>Initial voltage</t>
  </si>
  <si>
    <t>mV</t>
  </si>
  <si>
    <t>dBR/dt = (ion - BR)/p1  initial: p2</t>
  </si>
  <si>
    <t>KTEA</t>
  </si>
  <si>
    <t>C</t>
  </si>
  <si>
    <t>V.A</t>
  </si>
  <si>
    <t>V.B</t>
  </si>
  <si>
    <t>V.C</t>
  </si>
  <si>
    <t>green</t>
  </si>
  <si>
    <t>cyan</t>
  </si>
  <si>
    <t>A.A.C.f_exc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</si>
</sst>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CD6D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CD0F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CC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8">
    <xf numFmtId="0" fontId="0" fillId="0" borderId="0" xfId="0"/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3" borderId="0" xfId="0" applyFill="1"/>
    <xf numFmtId="0" fontId="0" fillId="3" borderId="3" xfId="0" applyFill="1" applyBorder="1"/>
    <xf numFmtId="0" fontId="0" fillId="4" borderId="1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" xfId="0" applyFill="1" applyBorder="1"/>
    <xf numFmtId="0" fontId="2" fillId="3" borderId="0" xfId="0" applyFont="1" applyFill="1" applyAlignment="1">
      <alignment horizontal="right"/>
    </xf>
    <xf numFmtId="0" fontId="2" fillId="3" borderId="0" xfId="0" applyFont="1" applyFill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/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0" fillId="3" borderId="32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3" borderId="0" xfId="0" applyFill="1" applyAlignment="1">
      <alignment horizontal="left" indent="1"/>
    </xf>
    <xf numFmtId="0" fontId="0" fillId="3" borderId="0" xfId="0" applyFill="1" applyAlignment="1">
      <alignment horizontal="right"/>
    </xf>
    <xf numFmtId="0" fontId="0" fillId="3" borderId="38" xfId="0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29" xfId="0" applyFill="1" applyBorder="1"/>
    <xf numFmtId="0" fontId="1" fillId="3" borderId="0" xfId="0" applyFont="1" applyFill="1"/>
    <xf numFmtId="49" fontId="0" fillId="3" borderId="0" xfId="0" applyNumberFormat="1" applyFill="1" applyAlignment="1">
      <alignment horizontal="right"/>
    </xf>
    <xf numFmtId="49" fontId="0" fillId="3" borderId="0" xfId="0" applyNumberFormat="1" applyFill="1"/>
    <xf numFmtId="0" fontId="2" fillId="4" borderId="13" xfId="0" applyFont="1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4" borderId="43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3" borderId="46" xfId="0" applyFill="1" applyBorder="1"/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3" borderId="47" xfId="0" applyFill="1" applyBorder="1"/>
    <xf numFmtId="0" fontId="0" fillId="4" borderId="5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5" borderId="52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4" borderId="53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54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38" xfId="0" applyFill="1" applyBorder="1"/>
    <xf numFmtId="0" fontId="0" fillId="3" borderId="39" xfId="0" applyFill="1" applyBorder="1"/>
    <xf numFmtId="0" fontId="0" fillId="4" borderId="32" xfId="0" applyFill="1" applyBorder="1"/>
    <xf numFmtId="0" fontId="0" fillId="4" borderId="33" xfId="0" applyFill="1" applyBorder="1"/>
    <xf numFmtId="0" fontId="0" fillId="4" borderId="13" xfId="0" applyFill="1" applyBorder="1"/>
    <xf numFmtId="0" fontId="0" fillId="3" borderId="33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right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51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0" fillId="3" borderId="6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52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3" fillId="2" borderId="41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3" fillId="4" borderId="6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4" borderId="49" xfId="0" applyFont="1" applyFill="1" applyBorder="1" applyAlignment="1">
      <alignment horizontal="center" vertical="center"/>
    </xf>
    <xf numFmtId="0" fontId="3" fillId="4" borderId="60" xfId="0" applyFont="1" applyFill="1" applyBorder="1" applyAlignment="1">
      <alignment horizontal="center" vertical="center"/>
    </xf>
    <xf numFmtId="0" fontId="3" fillId="4" borderId="50" xfId="0" applyFont="1" applyFill="1" applyBorder="1" applyAlignment="1">
      <alignment horizontal="center" vertical="center"/>
    </xf>
    <xf numFmtId="0" fontId="3" fillId="2" borderId="67" xfId="0" applyFont="1" applyFill="1" applyBorder="1" applyAlignment="1">
      <alignment horizontal="center" vertical="center"/>
    </xf>
    <xf numFmtId="0" fontId="3" fillId="4" borderId="68" xfId="0" applyFont="1" applyFill="1" applyBorder="1" applyAlignment="1">
      <alignment horizontal="center" vertical="center"/>
    </xf>
    <xf numFmtId="0" fontId="3" fillId="4" borderId="54" xfId="0" applyFont="1" applyFill="1" applyBorder="1" applyAlignment="1">
      <alignment horizontal="center" vertical="center"/>
    </xf>
    <xf numFmtId="0" fontId="3" fillId="4" borderId="69" xfId="0" applyFont="1" applyFill="1" applyBorder="1" applyAlignment="1">
      <alignment horizontal="center" vertical="center"/>
    </xf>
    <xf numFmtId="0" fontId="3" fillId="4" borderId="56" xfId="0" applyFont="1" applyFill="1" applyBorder="1" applyAlignment="1">
      <alignment horizontal="center" vertical="center"/>
    </xf>
    <xf numFmtId="0" fontId="3" fillId="4" borderId="67" xfId="0" applyFont="1" applyFill="1" applyBorder="1" applyAlignment="1">
      <alignment horizontal="center" vertical="center"/>
    </xf>
    <xf numFmtId="0" fontId="3" fillId="2" borderId="69" xfId="0" applyFont="1" applyFill="1" applyBorder="1" applyAlignment="1">
      <alignment horizontal="center" vertical="center"/>
    </xf>
    <xf numFmtId="0" fontId="3" fillId="4" borderId="57" xfId="0" applyFont="1" applyFill="1" applyBorder="1" applyAlignment="1">
      <alignment horizontal="center" vertical="center"/>
    </xf>
    <xf numFmtId="0" fontId="3" fillId="4" borderId="70" xfId="0" applyFont="1" applyFill="1" applyBorder="1" applyAlignment="1">
      <alignment horizontal="center" vertical="center"/>
    </xf>
    <xf numFmtId="0" fontId="3" fillId="4" borderId="71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0" fillId="3" borderId="63" xfId="0" applyFill="1" applyBorder="1" applyAlignment="1">
      <alignment horizontal="center" vertical="center"/>
    </xf>
    <xf numFmtId="0" fontId="3" fillId="4" borderId="61" xfId="0" applyFont="1" applyFill="1" applyBorder="1" applyAlignment="1">
      <alignment horizontal="center" vertical="center"/>
    </xf>
    <xf numFmtId="0" fontId="3" fillId="4" borderId="65" xfId="0" applyFont="1" applyFill="1" applyBorder="1" applyAlignment="1">
      <alignment horizontal="center" vertical="center"/>
    </xf>
    <xf numFmtId="0" fontId="3" fillId="2" borderId="61" xfId="0" applyFont="1" applyFill="1" applyBorder="1" applyAlignment="1">
      <alignment horizontal="center" vertical="center"/>
    </xf>
    <xf numFmtId="0" fontId="3" fillId="2" borderId="59" xfId="0" applyFont="1" applyFill="1" applyBorder="1" applyAlignment="1">
      <alignment horizontal="center" vertical="center"/>
    </xf>
    <xf numFmtId="0" fontId="3" fillId="4" borderId="76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center" vertical="center"/>
    </xf>
    <xf numFmtId="0" fontId="0" fillId="4" borderId="2" xfId="0" applyFill="1" applyBorder="1"/>
    <xf numFmtId="0" fontId="0" fillId="4" borderId="38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4" borderId="49" xfId="0" applyFill="1" applyBorder="1" applyAlignment="1">
      <alignment horizontal="center"/>
    </xf>
    <xf numFmtId="0" fontId="0" fillId="4" borderId="50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52" xfId="0" applyFill="1" applyBorder="1" applyAlignment="1">
      <alignment horizontal="center"/>
    </xf>
    <xf numFmtId="0" fontId="0" fillId="4" borderId="54" xfId="0" applyFill="1" applyBorder="1" applyAlignment="1">
      <alignment horizontal="center"/>
    </xf>
    <xf numFmtId="0" fontId="0" fillId="4" borderId="6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64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67" xfId="0" applyFill="1" applyBorder="1" applyAlignment="1">
      <alignment horizontal="center"/>
    </xf>
    <xf numFmtId="0" fontId="0" fillId="3" borderId="68" xfId="0" applyFill="1" applyBorder="1" applyAlignment="1">
      <alignment horizontal="center"/>
    </xf>
    <xf numFmtId="0" fontId="0" fillId="4" borderId="53" xfId="0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0" fillId="3" borderId="69" xfId="0" applyFill="1" applyBorder="1" applyAlignment="1">
      <alignment horizontal="center"/>
    </xf>
    <xf numFmtId="0" fontId="0" fillId="16" borderId="29" xfId="0" applyFill="1" applyBorder="1" applyAlignment="1">
      <alignment horizontal="center"/>
    </xf>
    <xf numFmtId="0" fontId="0" fillId="16" borderId="30" xfId="0" applyFill="1" applyBorder="1" applyAlignment="1">
      <alignment horizontal="center"/>
    </xf>
    <xf numFmtId="0" fontId="0" fillId="16" borderId="31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8" borderId="30" xfId="0" applyFill="1" applyBorder="1" applyAlignment="1">
      <alignment horizontal="center"/>
    </xf>
    <xf numFmtId="0" fontId="0" fillId="8" borderId="31" xfId="0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31" xfId="0" applyFill="1" applyBorder="1" applyAlignment="1">
      <alignment horizontal="center"/>
    </xf>
    <xf numFmtId="0" fontId="0" fillId="15" borderId="29" xfId="0" applyFill="1" applyBorder="1" applyAlignment="1">
      <alignment horizontal="center"/>
    </xf>
    <xf numFmtId="0" fontId="0" fillId="15" borderId="30" xfId="0" applyFill="1" applyBorder="1" applyAlignment="1">
      <alignment horizontal="center"/>
    </xf>
    <xf numFmtId="0" fontId="0" fillId="15" borderId="31" xfId="0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0" fillId="11" borderId="31" xfId="0" applyFill="1" applyBorder="1" applyAlignment="1">
      <alignment horizontal="center"/>
    </xf>
    <xf numFmtId="0" fontId="0" fillId="6" borderId="29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6" borderId="31" xfId="0" applyFill="1" applyBorder="1" applyAlignment="1">
      <alignment horizontal="center"/>
    </xf>
    <xf numFmtId="0" fontId="0" fillId="13" borderId="29" xfId="0" applyFill="1" applyBorder="1" applyAlignment="1">
      <alignment horizontal="center"/>
    </xf>
    <xf numFmtId="0" fontId="0" fillId="13" borderId="30" xfId="0" applyFill="1" applyBorder="1" applyAlignment="1">
      <alignment horizontal="center"/>
    </xf>
    <xf numFmtId="0" fontId="0" fillId="13" borderId="31" xfId="0" applyFill="1" applyBorder="1" applyAlignment="1">
      <alignment horizontal="center"/>
    </xf>
    <xf numFmtId="0" fontId="0" fillId="12" borderId="29" xfId="0" applyFill="1" applyBorder="1" applyAlignment="1">
      <alignment horizontal="center"/>
    </xf>
    <xf numFmtId="0" fontId="0" fillId="12" borderId="30" xfId="0" applyFill="1" applyBorder="1" applyAlignment="1">
      <alignment horizontal="center"/>
    </xf>
    <xf numFmtId="0" fontId="0" fillId="12" borderId="31" xfId="0" applyFill="1" applyBorder="1" applyAlignment="1">
      <alignment horizontal="center"/>
    </xf>
    <xf numFmtId="0" fontId="0" fillId="10" borderId="29" xfId="0" applyFill="1" applyBorder="1" applyAlignment="1">
      <alignment horizontal="center"/>
    </xf>
    <xf numFmtId="0" fontId="0" fillId="10" borderId="30" xfId="0" applyFill="1" applyBorder="1" applyAlignment="1">
      <alignment horizontal="center"/>
    </xf>
    <xf numFmtId="0" fontId="0" fillId="10" borderId="31" xfId="0" applyFill="1" applyBorder="1" applyAlignment="1">
      <alignment horizontal="center"/>
    </xf>
    <xf numFmtId="0" fontId="0" fillId="14" borderId="29" xfId="0" applyFill="1" applyBorder="1" applyAlignment="1">
      <alignment horizontal="center"/>
    </xf>
    <xf numFmtId="0" fontId="0" fillId="14" borderId="30" xfId="0" applyFill="1" applyBorder="1" applyAlignment="1">
      <alignment horizontal="center"/>
    </xf>
    <xf numFmtId="0" fontId="0" fillId="14" borderId="31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8" xfId="0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0" fillId="3" borderId="45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3" borderId="72" xfId="0" applyFill="1" applyBorder="1" applyAlignment="1">
      <alignment horizontal="center" vertical="center"/>
    </xf>
    <xf numFmtId="0" fontId="0" fillId="3" borderId="73" xfId="0" applyFill="1" applyBorder="1" applyAlignment="1">
      <alignment horizontal="center" vertical="center"/>
    </xf>
    <xf numFmtId="0" fontId="0" fillId="3" borderId="7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0" fillId="3" borderId="7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15" xfId="0" applyFill="1" applyBorder="1" applyAlignment="1">
      <alignment horizontal="center" vertical="center" textRotation="90"/>
    </xf>
  </cellXfs>
  <cellStyles count="1">
    <cellStyle name="Normal" xfId="0" builtinId="0"/>
  </cellStyles>
  <dxfs count="190">
    <dxf>
      <font>
        <strike val="0"/>
        <color theme="4" tint="0.79998168889431442"/>
      </font>
    </dxf>
    <dxf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</dxfs>
  <tableStyles count="0" defaultTableStyle="TableStyleMedium2" defaultPivotStyle="PivotStyleLight16"/>
  <colors>
    <mruColors>
      <color rgb="FFFF6D6D"/>
      <color rgb="FFFFCCCC"/>
      <color rgb="FFFF9B9D"/>
      <color rgb="FFCCECFF"/>
      <color rgb="FFFFCDCD"/>
      <color rgb="FFFCD0FA"/>
      <color rgb="FFFCD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93134</xdr:colOff>
      <xdr:row>5</xdr:row>
      <xdr:rowOff>4762</xdr:rowOff>
    </xdr:from>
    <xdr:ext cx="2400300" cy="4392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𝑑𝐴𝑡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𝑑𝑡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−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e>
                        </m:d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type m:val="skw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𝑑𝐴𝑡</m:t>
                                </m:r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𝑑𝑡</m:t>
                                </m:r>
                              </m:den>
                            </m:f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𝐴𝑡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𝑑𝐴𝑡/𝑑𝑡=(𝑋𝑡 −(𝑢_1+𝑢_2 )(𝑑𝐴𝑡⁄𝑑𝑡)−𝐴𝑡)/(𝑢_1 𝑢_2 )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62"/>
  <sheetViews>
    <sheetView zoomScale="130" zoomScaleNormal="130" workbookViewId="0">
      <pane xSplit="1" topLeftCell="B1" activePane="topRight" state="frozen"/>
      <selection pane="topRight" activeCell="F7" sqref="F7"/>
    </sheetView>
  </sheetViews>
  <sheetFormatPr defaultColWidth="9.1796875" defaultRowHeight="14.5" x14ac:dyDescent="0.35"/>
  <cols>
    <col min="1" max="2" width="9.1796875" style="14"/>
    <col min="3" max="3" width="10.453125" style="14" customWidth="1"/>
    <col min="4" max="4" width="8.1796875" style="14" customWidth="1"/>
    <col min="5" max="5" width="8.54296875" style="14" customWidth="1"/>
    <col min="6" max="6" width="6.26953125" style="14" customWidth="1"/>
    <col min="7" max="7" width="5.54296875" style="14" customWidth="1"/>
    <col min="8" max="8" width="6" style="14" customWidth="1"/>
    <col min="9" max="9" width="6.81640625" style="14" customWidth="1"/>
    <col min="10" max="10" width="6" style="14" customWidth="1"/>
    <col min="11" max="11" width="7" style="14" customWidth="1"/>
    <col min="12" max="13" width="6" style="14" customWidth="1"/>
    <col min="14" max="14" width="8.54296875" style="14" customWidth="1"/>
    <col min="15" max="15" width="10.1796875" style="14" customWidth="1"/>
    <col min="16" max="25" width="6" style="14" customWidth="1"/>
    <col min="26" max="26" width="7.1796875" style="14" customWidth="1"/>
    <col min="27" max="27" width="8.26953125" style="14" customWidth="1"/>
    <col min="28" max="33" width="6" style="14" customWidth="1"/>
    <col min="34" max="37" width="5.26953125" style="14" customWidth="1"/>
    <col min="38" max="38" width="6.453125" style="14" customWidth="1"/>
    <col min="39" max="39" width="5.81640625" style="14" customWidth="1"/>
    <col min="40" max="40" width="5.26953125" style="14" customWidth="1"/>
    <col min="41" max="41" width="6.54296875" style="14" customWidth="1"/>
    <col min="42" max="42" width="8.26953125" style="14" customWidth="1"/>
    <col min="43" max="52" width="5.26953125" style="14" customWidth="1"/>
    <col min="53" max="54" width="6.54296875" style="14" customWidth="1"/>
    <col min="55" max="55" width="5.1796875" style="14" customWidth="1"/>
    <col min="56" max="57" width="7.7265625" style="14" customWidth="1"/>
    <col min="58" max="59" width="5.1796875" style="14" customWidth="1"/>
    <col min="60" max="60" width="3.81640625" style="14" customWidth="1"/>
    <col min="61" max="61" width="6.1796875" style="14" customWidth="1"/>
    <col min="62" max="62" width="4" style="14" customWidth="1"/>
    <col min="63" max="66" width="6.1796875" style="14" customWidth="1"/>
    <col min="67" max="67" width="3.81640625" style="14" customWidth="1"/>
    <col min="68" max="68" width="7.26953125" style="14" customWidth="1"/>
    <col min="69" max="69" width="7.81640625" style="14" customWidth="1"/>
    <col min="70" max="71" width="6.1796875" style="14" customWidth="1"/>
    <col min="72" max="72" width="4" style="14" customWidth="1"/>
    <col min="73" max="74" width="6.1796875" style="14" customWidth="1"/>
    <col min="75" max="75" width="3.54296875" style="14" customWidth="1"/>
    <col min="76" max="78" width="6.1796875" style="14" customWidth="1"/>
    <col min="79" max="79" width="4" style="14" customWidth="1"/>
    <col min="80" max="80" width="7.1796875" style="14" customWidth="1"/>
    <col min="81" max="81" width="7.7265625" style="14" customWidth="1"/>
    <col min="82" max="83" width="6.1796875" style="14" customWidth="1"/>
    <col min="84" max="84" width="4.54296875" style="14" customWidth="1"/>
    <col min="85" max="86" width="6.1796875" style="14" customWidth="1"/>
    <col min="87" max="87" width="4.26953125" style="14" customWidth="1"/>
    <col min="88" max="88" width="6.453125" style="14" customWidth="1"/>
    <col min="89" max="89" width="2.81640625" style="14" customWidth="1"/>
    <col min="90" max="90" width="4.1796875" style="14" customWidth="1"/>
    <col min="91" max="92" width="4.54296875" style="14" customWidth="1"/>
    <col min="93" max="93" width="5.54296875" style="14" customWidth="1"/>
    <col min="94" max="94" width="3" style="14" customWidth="1"/>
    <col min="95" max="95" width="7.26953125" style="14" customWidth="1"/>
    <col min="96" max="96" width="7.54296875" style="14" customWidth="1"/>
    <col min="97" max="97" width="5.81640625" style="14" customWidth="1"/>
    <col min="98" max="98" width="5.7265625" style="14" customWidth="1"/>
    <col min="99" max="99" width="4" style="14" customWidth="1"/>
    <col min="100" max="101" width="5.26953125" style="14" customWidth="1"/>
    <col min="102" max="102" width="4" style="14" customWidth="1"/>
    <col min="103" max="103" width="4.54296875" style="14" customWidth="1"/>
    <col min="104" max="104" width="6.81640625" style="14" customWidth="1"/>
    <col min="105" max="105" width="6.453125" style="14" customWidth="1"/>
    <col min="106" max="106" width="3" style="14" customWidth="1"/>
    <col min="107" max="107" width="7.26953125" style="14" customWidth="1"/>
    <col min="108" max="108" width="7.453125" style="14" customWidth="1"/>
    <col min="109" max="109" width="6.26953125" style="14" customWidth="1"/>
    <col min="110" max="110" width="5.7265625" style="14" customWidth="1"/>
    <col min="111" max="114" width="4" style="14" customWidth="1"/>
    <col min="115" max="115" width="6.1796875" style="14" customWidth="1"/>
    <col min="116" max="116" width="4" style="14" customWidth="1"/>
    <col min="117" max="120" width="6.1796875" style="14" customWidth="1"/>
    <col min="121" max="121" width="4" style="14" customWidth="1"/>
    <col min="122" max="122" width="8.453125" style="14" customWidth="1"/>
    <col min="123" max="123" width="7.453125" style="14" customWidth="1"/>
    <col min="124" max="125" width="6.1796875" style="14" customWidth="1"/>
    <col min="126" max="126" width="4.26953125" style="14" customWidth="1"/>
    <col min="127" max="128" width="6.1796875" style="14" customWidth="1"/>
    <col min="129" max="129" width="5" style="14" customWidth="1"/>
    <col min="130" max="130" width="6.1796875" style="14" customWidth="1"/>
    <col min="131" max="131" width="7" style="14" customWidth="1"/>
    <col min="132" max="132" width="6.1796875" style="14" customWidth="1"/>
    <col min="133" max="133" width="4.26953125" style="14" customWidth="1"/>
    <col min="134" max="134" width="7.1796875" style="14" customWidth="1"/>
    <col min="135" max="135" width="8" style="14" customWidth="1"/>
    <col min="136" max="137" width="6.1796875" style="14" customWidth="1"/>
    <col min="138" max="138" width="4.26953125" style="14" customWidth="1"/>
    <col min="139" max="140" width="6.1796875" style="14" customWidth="1"/>
    <col min="141" max="141" width="4.81640625" style="14" customWidth="1"/>
    <col min="142" max="142" width="6.453125" style="14" customWidth="1"/>
    <col min="143" max="143" width="2.81640625" style="14" customWidth="1"/>
    <col min="144" max="144" width="4.1796875" style="14" customWidth="1"/>
    <col min="145" max="145" width="4.54296875" style="14" customWidth="1"/>
    <col min="146" max="146" width="5.26953125" style="14" customWidth="1"/>
    <col min="147" max="147" width="5.54296875" style="14" customWidth="1"/>
    <col min="148" max="148" width="3" style="14" customWidth="1"/>
    <col min="149" max="149" width="7.26953125" style="14" customWidth="1"/>
    <col min="150" max="150" width="7.54296875" style="14" customWidth="1"/>
    <col min="151" max="151" width="5.81640625" style="14" customWidth="1"/>
    <col min="152" max="152" width="5.7265625" style="14" customWidth="1"/>
    <col min="153" max="153" width="4" style="14" customWidth="1"/>
    <col min="154" max="155" width="5.26953125" style="14" customWidth="1"/>
    <col min="156" max="156" width="4" style="14" customWidth="1"/>
    <col min="157" max="157" width="4.54296875" style="14" customWidth="1"/>
    <col min="158" max="158" width="6.81640625" style="14" customWidth="1"/>
    <col min="159" max="159" width="6.453125" style="14" customWidth="1"/>
    <col min="160" max="160" width="3" style="14" customWidth="1"/>
    <col min="161" max="161" width="7.26953125" style="14" customWidth="1"/>
    <col min="162" max="162" width="7.453125" style="14" customWidth="1"/>
    <col min="163" max="163" width="6.26953125" style="14" customWidth="1"/>
    <col min="164" max="164" width="5.7265625" style="14" customWidth="1"/>
    <col min="165" max="165" width="4" style="14" customWidth="1"/>
    <col min="166" max="166" width="5.26953125" style="14" customWidth="1"/>
    <col min="167" max="168" width="4" style="14" customWidth="1"/>
    <col min="169" max="174" width="6.1796875" style="14" customWidth="1"/>
    <col min="175" max="175" width="3.81640625" style="14" customWidth="1"/>
    <col min="176" max="177" width="7.54296875" style="14" customWidth="1"/>
    <col min="178" max="183" width="6.1796875" style="14" customWidth="1"/>
    <col min="184" max="184" width="6.81640625" style="14" customWidth="1"/>
    <col min="185" max="186" width="6.1796875" style="14" customWidth="1"/>
    <col min="187" max="187" width="4" style="14" customWidth="1"/>
    <col min="188" max="188" width="7.1796875" style="14" customWidth="1"/>
    <col min="189" max="191" width="6.1796875" style="14" customWidth="1"/>
    <col min="192" max="192" width="4.54296875" style="14" customWidth="1"/>
    <col min="193" max="194" width="6.1796875" style="14" customWidth="1"/>
    <col min="195" max="195" width="4.26953125" style="14" customWidth="1"/>
    <col min="196" max="201" width="6.1796875" style="14" customWidth="1"/>
    <col min="202" max="202" width="3.81640625" style="14" customWidth="1"/>
    <col min="203" max="203" width="7.1796875" style="14" customWidth="1"/>
    <col min="204" max="210" width="6.1796875" style="14" customWidth="1"/>
    <col min="211" max="211" width="6.81640625" style="14" customWidth="1"/>
    <col min="212" max="213" width="6.1796875" style="14" customWidth="1"/>
    <col min="214" max="214" width="4" style="14" customWidth="1"/>
    <col min="215" max="215" width="7.1796875" style="14" customWidth="1"/>
    <col min="216" max="218" width="6.1796875" style="14" customWidth="1"/>
    <col min="219" max="219" width="6" style="14" customWidth="1"/>
    <col min="220" max="221" width="6.1796875" style="14" customWidth="1"/>
    <col min="222" max="222" width="4.26953125" style="14" customWidth="1"/>
    <col min="223" max="228" width="6.1796875" style="14" customWidth="1"/>
    <col min="229" max="229" width="3.81640625" style="14" customWidth="1"/>
    <col min="230" max="230" width="7.26953125" style="14" customWidth="1"/>
    <col min="231" max="231" width="7.54296875" style="14" customWidth="1"/>
    <col min="232" max="240" width="6.1796875" style="14" customWidth="1"/>
    <col min="241" max="241" width="4" style="14" customWidth="1"/>
    <col min="242" max="242" width="7.1796875" style="14" customWidth="1"/>
    <col min="243" max="245" width="6.1796875" style="14" customWidth="1"/>
    <col min="246" max="246" width="4.54296875" style="14" customWidth="1"/>
    <col min="247" max="248" width="6.1796875" style="14" customWidth="1"/>
    <col min="249" max="249" width="4.26953125" style="14" customWidth="1"/>
    <col min="250" max="250" width="6.81640625" style="14" customWidth="1"/>
    <col min="251" max="251" width="4.453125" style="14" customWidth="1"/>
    <col min="252" max="255" width="7.54296875" style="14" customWidth="1"/>
    <col min="256" max="256" width="4.1796875" style="14" customWidth="1"/>
    <col min="257" max="260" width="7.54296875" style="14" customWidth="1"/>
    <col min="261" max="261" width="5" style="14" customWidth="1"/>
    <col min="262" max="263" width="7.54296875" style="14" customWidth="1"/>
    <col min="264" max="264" width="5.453125" style="14" customWidth="1"/>
    <col min="265" max="267" width="7.54296875" style="14" customWidth="1"/>
    <col min="268" max="268" width="4.81640625" style="14" customWidth="1"/>
    <col min="269" max="272" width="7.54296875" style="14" customWidth="1"/>
    <col min="273" max="273" width="5.54296875" style="14" customWidth="1"/>
    <col min="274" max="275" width="7.54296875" style="14" customWidth="1"/>
    <col min="276" max="276" width="5.453125" style="14" customWidth="1"/>
    <col min="277" max="277" width="8" style="14" customWidth="1"/>
    <col min="278" max="278" width="5.1796875" style="14" customWidth="1"/>
    <col min="279" max="282" width="8" style="14" customWidth="1"/>
    <col min="283" max="283" width="5.1796875" style="14" customWidth="1"/>
    <col min="284" max="287" width="8" style="14" customWidth="1"/>
    <col min="288" max="288" width="5.1796875" style="14" customWidth="1"/>
    <col min="289" max="290" width="8" style="14" customWidth="1"/>
    <col min="291" max="291" width="5.1796875" style="14" customWidth="1"/>
    <col min="292" max="294" width="8" style="14" customWidth="1"/>
    <col min="295" max="295" width="5.1796875" style="14" customWidth="1"/>
    <col min="296" max="299" width="8" style="14" customWidth="1"/>
    <col min="300" max="300" width="5.1796875" style="14" customWidth="1"/>
    <col min="301" max="302" width="8" style="14" customWidth="1"/>
    <col min="303" max="303" width="5.1796875" style="14" customWidth="1"/>
    <col min="304" max="16384" width="9.1796875" style="14"/>
  </cols>
  <sheetData>
    <row r="1" spans="1:303" x14ac:dyDescent="0.35">
      <c r="D1" s="51" t="s">
        <v>87</v>
      </c>
      <c r="E1" s="169" t="s">
        <v>88</v>
      </c>
      <c r="F1" s="170"/>
      <c r="G1" s="194" t="s">
        <v>90</v>
      </c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6"/>
      <c r="AH1" s="174" t="s">
        <v>93</v>
      </c>
      <c r="AI1" s="174"/>
      <c r="AJ1" s="174"/>
      <c r="AK1" s="174"/>
      <c r="AL1" s="174"/>
      <c r="AM1" s="174"/>
      <c r="AN1" s="174"/>
      <c r="AO1" s="174"/>
      <c r="AP1" s="174"/>
      <c r="AQ1" s="174"/>
      <c r="AR1" s="174"/>
      <c r="AS1" s="174"/>
      <c r="AT1" s="174"/>
      <c r="AU1" s="174"/>
      <c r="AV1" s="174"/>
      <c r="AW1" s="174"/>
      <c r="AX1" s="174"/>
      <c r="AY1" s="174"/>
      <c r="AZ1" s="174"/>
      <c r="BA1" s="174"/>
      <c r="BB1" s="174"/>
      <c r="BC1" s="174"/>
      <c r="BD1" s="174"/>
      <c r="BE1" s="174"/>
      <c r="BF1" s="174"/>
      <c r="BG1" s="174"/>
      <c r="BH1" s="175"/>
      <c r="BI1" s="191" t="s">
        <v>139</v>
      </c>
      <c r="BJ1" s="192"/>
      <c r="BK1" s="192"/>
      <c r="BL1" s="192"/>
      <c r="BM1" s="192"/>
      <c r="BN1" s="192"/>
      <c r="BO1" s="192"/>
      <c r="BP1" s="192"/>
      <c r="BQ1" s="192"/>
      <c r="BR1" s="192"/>
      <c r="BS1" s="192"/>
      <c r="BT1" s="192"/>
      <c r="BU1" s="192"/>
      <c r="BV1" s="192"/>
      <c r="BW1" s="192"/>
      <c r="BX1" s="192"/>
      <c r="BY1" s="192"/>
      <c r="BZ1" s="192"/>
      <c r="CA1" s="192"/>
      <c r="CB1" s="192"/>
      <c r="CC1" s="192"/>
      <c r="CD1" s="192"/>
      <c r="CE1" s="192"/>
      <c r="CF1" s="192"/>
      <c r="CG1" s="192"/>
      <c r="CH1" s="192"/>
      <c r="CI1" s="193"/>
      <c r="CJ1" s="176" t="s">
        <v>137</v>
      </c>
      <c r="CK1" s="177"/>
      <c r="CL1" s="177"/>
      <c r="CM1" s="177"/>
      <c r="CN1" s="177"/>
      <c r="CO1" s="177"/>
      <c r="CP1" s="177"/>
      <c r="CQ1" s="177"/>
      <c r="CR1" s="177"/>
      <c r="CS1" s="177"/>
      <c r="CT1" s="177"/>
      <c r="CU1" s="177"/>
      <c r="CV1" s="177"/>
      <c r="CW1" s="177"/>
      <c r="CX1" s="177"/>
      <c r="CY1" s="177"/>
      <c r="CZ1" s="177"/>
      <c r="DA1" s="177"/>
      <c r="DB1" s="177"/>
      <c r="DC1" s="177"/>
      <c r="DD1" s="177"/>
      <c r="DE1" s="177"/>
      <c r="DF1" s="177"/>
      <c r="DG1" s="177"/>
      <c r="DH1" s="177"/>
      <c r="DI1" s="177"/>
      <c r="DJ1" s="178"/>
      <c r="DK1" s="171" t="s">
        <v>138</v>
      </c>
      <c r="DL1" s="172"/>
      <c r="DM1" s="172"/>
      <c r="DN1" s="172"/>
      <c r="DO1" s="172"/>
      <c r="DP1" s="172"/>
      <c r="DQ1" s="172"/>
      <c r="DR1" s="172"/>
      <c r="DS1" s="172"/>
      <c r="DT1" s="172"/>
      <c r="DU1" s="172"/>
      <c r="DV1" s="172"/>
      <c r="DW1" s="172"/>
      <c r="DX1" s="172"/>
      <c r="DY1" s="172"/>
      <c r="DZ1" s="172"/>
      <c r="EA1" s="172"/>
      <c r="EB1" s="172"/>
      <c r="EC1" s="172"/>
      <c r="ED1" s="172"/>
      <c r="EE1" s="172"/>
      <c r="EF1" s="172"/>
      <c r="EG1" s="172"/>
      <c r="EH1" s="172"/>
      <c r="EI1" s="172"/>
      <c r="EJ1" s="172"/>
      <c r="EK1" s="173"/>
      <c r="EL1" s="188" t="s">
        <v>159</v>
      </c>
      <c r="EM1" s="189"/>
      <c r="EN1" s="189"/>
      <c r="EO1" s="189"/>
      <c r="EP1" s="189"/>
      <c r="EQ1" s="189"/>
      <c r="ER1" s="189"/>
      <c r="ES1" s="189"/>
      <c r="ET1" s="189"/>
      <c r="EU1" s="189"/>
      <c r="EV1" s="189"/>
      <c r="EW1" s="189"/>
      <c r="EX1" s="189"/>
      <c r="EY1" s="189"/>
      <c r="EZ1" s="189"/>
      <c r="FA1" s="189"/>
      <c r="FB1" s="189"/>
      <c r="FC1" s="189"/>
      <c r="FD1" s="189"/>
      <c r="FE1" s="189"/>
      <c r="FF1" s="189"/>
      <c r="FG1" s="189"/>
      <c r="FH1" s="189"/>
      <c r="FI1" s="189"/>
      <c r="FJ1" s="189"/>
      <c r="FK1" s="189"/>
      <c r="FL1" s="190"/>
      <c r="FM1" s="182" t="s">
        <v>118</v>
      </c>
      <c r="FN1" s="183"/>
      <c r="FO1" s="183"/>
      <c r="FP1" s="183"/>
      <c r="FQ1" s="183"/>
      <c r="FR1" s="183"/>
      <c r="FS1" s="183"/>
      <c r="FT1" s="183"/>
      <c r="FU1" s="183"/>
      <c r="FV1" s="183"/>
      <c r="FW1" s="183"/>
      <c r="FX1" s="183"/>
      <c r="FY1" s="183"/>
      <c r="FZ1" s="183"/>
      <c r="GA1" s="183"/>
      <c r="GB1" s="183"/>
      <c r="GC1" s="183"/>
      <c r="GD1" s="183"/>
      <c r="GE1" s="183"/>
      <c r="GF1" s="183"/>
      <c r="GG1" s="183"/>
      <c r="GH1" s="183"/>
      <c r="GI1" s="183"/>
      <c r="GJ1" s="183"/>
      <c r="GK1" s="183"/>
      <c r="GL1" s="183"/>
      <c r="GM1" s="184"/>
      <c r="GN1" s="197" t="s">
        <v>173</v>
      </c>
      <c r="GO1" s="198"/>
      <c r="GP1" s="198"/>
      <c r="GQ1" s="198"/>
      <c r="GR1" s="198"/>
      <c r="GS1" s="198"/>
      <c r="GT1" s="198"/>
      <c r="GU1" s="198"/>
      <c r="GV1" s="198"/>
      <c r="GW1" s="198"/>
      <c r="GX1" s="198"/>
      <c r="GY1" s="198"/>
      <c r="GZ1" s="198"/>
      <c r="HA1" s="198"/>
      <c r="HB1" s="198"/>
      <c r="HC1" s="198"/>
      <c r="HD1" s="198"/>
      <c r="HE1" s="198"/>
      <c r="HF1" s="198"/>
      <c r="HG1" s="198"/>
      <c r="HH1" s="198"/>
      <c r="HI1" s="198"/>
      <c r="HJ1" s="198"/>
      <c r="HK1" s="198"/>
      <c r="HL1" s="198"/>
      <c r="HM1" s="198"/>
      <c r="HN1" s="199"/>
      <c r="HO1" s="185" t="s">
        <v>140</v>
      </c>
      <c r="HP1" s="186"/>
      <c r="HQ1" s="186"/>
      <c r="HR1" s="186"/>
      <c r="HS1" s="186"/>
      <c r="HT1" s="186"/>
      <c r="HU1" s="186"/>
      <c r="HV1" s="186"/>
      <c r="HW1" s="186"/>
      <c r="HX1" s="186"/>
      <c r="HY1" s="186"/>
      <c r="HZ1" s="186"/>
      <c r="IA1" s="186"/>
      <c r="IB1" s="186"/>
      <c r="IC1" s="186"/>
      <c r="ID1" s="186"/>
      <c r="IE1" s="186"/>
      <c r="IF1" s="186"/>
      <c r="IG1" s="186"/>
      <c r="IH1" s="186"/>
      <c r="II1" s="186"/>
      <c r="IJ1" s="186"/>
      <c r="IK1" s="186"/>
      <c r="IL1" s="186"/>
      <c r="IM1" s="186"/>
      <c r="IN1" s="186"/>
      <c r="IO1" s="187"/>
      <c r="IP1" s="179" t="s">
        <v>146</v>
      </c>
      <c r="IQ1" s="180"/>
      <c r="IR1" s="180"/>
      <c r="IS1" s="180"/>
      <c r="IT1" s="180"/>
      <c r="IU1" s="180"/>
      <c r="IV1" s="180"/>
      <c r="IW1" s="180"/>
      <c r="IX1" s="180"/>
      <c r="IY1" s="180"/>
      <c r="IZ1" s="180"/>
      <c r="JA1" s="180"/>
      <c r="JB1" s="180"/>
      <c r="JC1" s="180"/>
      <c r="JD1" s="180"/>
      <c r="JE1" s="180"/>
      <c r="JF1" s="180"/>
      <c r="JG1" s="180"/>
      <c r="JH1" s="180"/>
      <c r="JI1" s="180"/>
      <c r="JJ1" s="180"/>
      <c r="JK1" s="180"/>
      <c r="JL1" s="180"/>
      <c r="JM1" s="180"/>
      <c r="JN1" s="180"/>
      <c r="JO1" s="180"/>
      <c r="JP1" s="181"/>
      <c r="JQ1" s="161" t="s">
        <v>160</v>
      </c>
      <c r="JR1" s="162"/>
      <c r="JS1" s="162"/>
      <c r="JT1" s="162"/>
      <c r="JU1" s="162"/>
      <c r="JV1" s="162"/>
      <c r="JW1" s="162"/>
      <c r="JX1" s="162"/>
      <c r="JY1" s="162"/>
      <c r="JZ1" s="162"/>
      <c r="KA1" s="162"/>
      <c r="KB1" s="162"/>
      <c r="KC1" s="162"/>
      <c r="KD1" s="162"/>
      <c r="KE1" s="162"/>
      <c r="KF1" s="162"/>
      <c r="KG1" s="162"/>
      <c r="KH1" s="162"/>
      <c r="KI1" s="162"/>
      <c r="KJ1" s="162"/>
      <c r="KK1" s="162"/>
      <c r="KL1" s="162"/>
      <c r="KM1" s="162"/>
      <c r="KN1" s="162"/>
      <c r="KO1" s="162"/>
      <c r="KP1" s="162"/>
      <c r="KQ1" s="163"/>
    </row>
    <row r="2" spans="1:303" ht="15" thickBot="1" x14ac:dyDescent="0.4">
      <c r="E2" s="164" t="s">
        <v>89</v>
      </c>
      <c r="F2" s="168"/>
      <c r="G2" s="164" t="s">
        <v>89</v>
      </c>
      <c r="H2" s="165"/>
      <c r="I2" s="166"/>
      <c r="J2" s="167" t="s">
        <v>50</v>
      </c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6"/>
      <c r="V2" s="167" t="s">
        <v>51</v>
      </c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8"/>
      <c r="AH2" s="165" t="s">
        <v>89</v>
      </c>
      <c r="AI2" s="165"/>
      <c r="AJ2" s="166"/>
      <c r="AK2" s="167" t="s">
        <v>50</v>
      </c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6"/>
      <c r="AW2" s="167" t="s">
        <v>51</v>
      </c>
      <c r="AX2" s="165"/>
      <c r="AY2" s="165"/>
      <c r="AZ2" s="165"/>
      <c r="BA2" s="165"/>
      <c r="BB2" s="165"/>
      <c r="BC2" s="165"/>
      <c r="BD2" s="165"/>
      <c r="BE2" s="165"/>
      <c r="BF2" s="165"/>
      <c r="BG2" s="165"/>
      <c r="BH2" s="168"/>
      <c r="BI2" s="164" t="s">
        <v>89</v>
      </c>
      <c r="BJ2" s="165"/>
      <c r="BK2" s="166"/>
      <c r="BL2" s="167" t="s">
        <v>50</v>
      </c>
      <c r="BM2" s="165"/>
      <c r="BN2" s="165"/>
      <c r="BO2" s="165"/>
      <c r="BP2" s="165"/>
      <c r="BQ2" s="165"/>
      <c r="BR2" s="165"/>
      <c r="BS2" s="165"/>
      <c r="BT2" s="165"/>
      <c r="BU2" s="165"/>
      <c r="BV2" s="165"/>
      <c r="BW2" s="166"/>
      <c r="BX2" s="167" t="s">
        <v>51</v>
      </c>
      <c r="BY2" s="165"/>
      <c r="BZ2" s="165"/>
      <c r="CA2" s="165"/>
      <c r="CB2" s="165"/>
      <c r="CC2" s="165"/>
      <c r="CD2" s="165"/>
      <c r="CE2" s="165"/>
      <c r="CF2" s="165"/>
      <c r="CG2" s="165"/>
      <c r="CH2" s="165"/>
      <c r="CI2" s="168"/>
      <c r="CJ2" s="164" t="s">
        <v>89</v>
      </c>
      <c r="CK2" s="165"/>
      <c r="CL2" s="166"/>
      <c r="CM2" s="167" t="s">
        <v>50</v>
      </c>
      <c r="CN2" s="165"/>
      <c r="CO2" s="165"/>
      <c r="CP2" s="165"/>
      <c r="CQ2" s="165"/>
      <c r="CR2" s="165"/>
      <c r="CS2" s="165"/>
      <c r="CT2" s="165"/>
      <c r="CU2" s="165"/>
      <c r="CV2" s="165"/>
      <c r="CW2" s="165"/>
      <c r="CX2" s="166"/>
      <c r="CY2" s="167" t="s">
        <v>51</v>
      </c>
      <c r="CZ2" s="165"/>
      <c r="DA2" s="165"/>
      <c r="DB2" s="165"/>
      <c r="DC2" s="165"/>
      <c r="DD2" s="165"/>
      <c r="DE2" s="165"/>
      <c r="DF2" s="165"/>
      <c r="DG2" s="165"/>
      <c r="DH2" s="165"/>
      <c r="DI2" s="165"/>
      <c r="DJ2" s="168"/>
      <c r="DK2" s="164" t="s">
        <v>89</v>
      </c>
      <c r="DL2" s="165"/>
      <c r="DM2" s="166"/>
      <c r="DN2" s="167" t="s">
        <v>50</v>
      </c>
      <c r="DO2" s="165"/>
      <c r="DP2" s="165"/>
      <c r="DQ2" s="165"/>
      <c r="DR2" s="165"/>
      <c r="DS2" s="165"/>
      <c r="DT2" s="165"/>
      <c r="DU2" s="165"/>
      <c r="DV2" s="165"/>
      <c r="DW2" s="165"/>
      <c r="DX2" s="165"/>
      <c r="DY2" s="166"/>
      <c r="DZ2" s="167" t="s">
        <v>51</v>
      </c>
      <c r="EA2" s="165"/>
      <c r="EB2" s="165"/>
      <c r="EC2" s="165"/>
      <c r="ED2" s="165"/>
      <c r="EE2" s="165"/>
      <c r="EF2" s="165"/>
      <c r="EG2" s="165"/>
      <c r="EH2" s="165"/>
      <c r="EI2" s="165"/>
      <c r="EJ2" s="165"/>
      <c r="EK2" s="168"/>
      <c r="EL2" s="164" t="s">
        <v>89</v>
      </c>
      <c r="EM2" s="165"/>
      <c r="EN2" s="166"/>
      <c r="EO2" s="167" t="s">
        <v>50</v>
      </c>
      <c r="EP2" s="165"/>
      <c r="EQ2" s="165"/>
      <c r="ER2" s="165"/>
      <c r="ES2" s="165"/>
      <c r="ET2" s="165"/>
      <c r="EU2" s="165"/>
      <c r="EV2" s="165"/>
      <c r="EW2" s="165"/>
      <c r="EX2" s="165"/>
      <c r="EY2" s="165"/>
      <c r="EZ2" s="166"/>
      <c r="FA2" s="167" t="s">
        <v>51</v>
      </c>
      <c r="FB2" s="165"/>
      <c r="FC2" s="165"/>
      <c r="FD2" s="165"/>
      <c r="FE2" s="165"/>
      <c r="FF2" s="165"/>
      <c r="FG2" s="165"/>
      <c r="FH2" s="165"/>
      <c r="FI2" s="165"/>
      <c r="FJ2" s="165"/>
      <c r="FK2" s="165"/>
      <c r="FL2" s="168"/>
      <c r="FM2" s="164" t="s">
        <v>89</v>
      </c>
      <c r="FN2" s="165"/>
      <c r="FO2" s="166"/>
      <c r="FP2" s="167" t="s">
        <v>50</v>
      </c>
      <c r="FQ2" s="165"/>
      <c r="FR2" s="165"/>
      <c r="FS2" s="165"/>
      <c r="FT2" s="165"/>
      <c r="FU2" s="165"/>
      <c r="FV2" s="165"/>
      <c r="FW2" s="165"/>
      <c r="FX2" s="165"/>
      <c r="FY2" s="165"/>
      <c r="FZ2" s="165"/>
      <c r="GA2" s="166"/>
      <c r="GB2" s="167" t="s">
        <v>51</v>
      </c>
      <c r="GC2" s="165"/>
      <c r="GD2" s="165"/>
      <c r="GE2" s="165"/>
      <c r="GF2" s="165"/>
      <c r="GG2" s="165"/>
      <c r="GH2" s="165"/>
      <c r="GI2" s="165"/>
      <c r="GJ2" s="165"/>
      <c r="GK2" s="165"/>
      <c r="GL2" s="165"/>
      <c r="GM2" s="168"/>
      <c r="GN2" s="164" t="s">
        <v>89</v>
      </c>
      <c r="GO2" s="165"/>
      <c r="GP2" s="166"/>
      <c r="GQ2" s="167" t="s">
        <v>50</v>
      </c>
      <c r="GR2" s="165"/>
      <c r="GS2" s="165"/>
      <c r="GT2" s="165"/>
      <c r="GU2" s="165"/>
      <c r="GV2" s="165"/>
      <c r="GW2" s="165"/>
      <c r="GX2" s="165"/>
      <c r="GY2" s="165"/>
      <c r="GZ2" s="165"/>
      <c r="HA2" s="165"/>
      <c r="HB2" s="166"/>
      <c r="HC2" s="167" t="s">
        <v>51</v>
      </c>
      <c r="HD2" s="165"/>
      <c r="HE2" s="165"/>
      <c r="HF2" s="165"/>
      <c r="HG2" s="165"/>
      <c r="HH2" s="165"/>
      <c r="HI2" s="165"/>
      <c r="HJ2" s="165"/>
      <c r="HK2" s="165"/>
      <c r="HL2" s="165"/>
      <c r="HM2" s="165"/>
      <c r="HN2" s="168"/>
      <c r="HO2" s="164" t="s">
        <v>89</v>
      </c>
      <c r="HP2" s="165"/>
      <c r="HQ2" s="166"/>
      <c r="HR2" s="167" t="s">
        <v>50</v>
      </c>
      <c r="HS2" s="165"/>
      <c r="HT2" s="165"/>
      <c r="HU2" s="165"/>
      <c r="HV2" s="165"/>
      <c r="HW2" s="165"/>
      <c r="HX2" s="165"/>
      <c r="HY2" s="165"/>
      <c r="HZ2" s="165"/>
      <c r="IA2" s="165"/>
      <c r="IB2" s="165"/>
      <c r="IC2" s="166"/>
      <c r="ID2" s="167" t="s">
        <v>51</v>
      </c>
      <c r="IE2" s="165"/>
      <c r="IF2" s="165"/>
      <c r="IG2" s="165"/>
      <c r="IH2" s="165"/>
      <c r="II2" s="165"/>
      <c r="IJ2" s="165"/>
      <c r="IK2" s="165"/>
      <c r="IL2" s="165"/>
      <c r="IM2" s="165"/>
      <c r="IN2" s="165"/>
      <c r="IO2" s="168"/>
      <c r="IP2" s="164" t="s">
        <v>89</v>
      </c>
      <c r="IQ2" s="165"/>
      <c r="IR2" s="166"/>
      <c r="IS2" s="167" t="s">
        <v>50</v>
      </c>
      <c r="IT2" s="165"/>
      <c r="IU2" s="165"/>
      <c r="IV2" s="165"/>
      <c r="IW2" s="165"/>
      <c r="IX2" s="165"/>
      <c r="IY2" s="165"/>
      <c r="IZ2" s="165"/>
      <c r="JA2" s="165"/>
      <c r="JB2" s="165"/>
      <c r="JC2" s="165"/>
      <c r="JD2" s="166"/>
      <c r="JE2" s="167" t="s">
        <v>51</v>
      </c>
      <c r="JF2" s="165"/>
      <c r="JG2" s="165"/>
      <c r="JH2" s="165"/>
      <c r="JI2" s="165"/>
      <c r="JJ2" s="165"/>
      <c r="JK2" s="165"/>
      <c r="JL2" s="165"/>
      <c r="JM2" s="165"/>
      <c r="JN2" s="165"/>
      <c r="JO2" s="165"/>
      <c r="JP2" s="168"/>
      <c r="JQ2" s="164" t="s">
        <v>89</v>
      </c>
      <c r="JR2" s="165"/>
      <c r="JS2" s="166"/>
      <c r="JT2" s="167" t="s">
        <v>50</v>
      </c>
      <c r="JU2" s="165"/>
      <c r="JV2" s="165"/>
      <c r="JW2" s="165"/>
      <c r="JX2" s="165"/>
      <c r="JY2" s="165"/>
      <c r="JZ2" s="165"/>
      <c r="KA2" s="165"/>
      <c r="KB2" s="165"/>
      <c r="KC2" s="165"/>
      <c r="KD2" s="165"/>
      <c r="KE2" s="166"/>
      <c r="KF2" s="167" t="s">
        <v>51</v>
      </c>
      <c r="KG2" s="165"/>
      <c r="KH2" s="165"/>
      <c r="KI2" s="165"/>
      <c r="KJ2" s="165"/>
      <c r="KK2" s="165"/>
      <c r="KL2" s="165"/>
      <c r="KM2" s="165"/>
      <c r="KN2" s="165"/>
      <c r="KO2" s="165"/>
      <c r="KP2" s="165"/>
      <c r="KQ2" s="168"/>
    </row>
    <row r="3" spans="1:303" ht="15" thickBot="1" x14ac:dyDescent="0.4">
      <c r="B3" s="87" t="s">
        <v>0</v>
      </c>
      <c r="C3" s="88" t="s">
        <v>1</v>
      </c>
      <c r="D3" s="54" t="s">
        <v>134</v>
      </c>
      <c r="E3" s="156" t="s">
        <v>2</v>
      </c>
      <c r="F3" s="157" t="s">
        <v>3</v>
      </c>
      <c r="G3" s="159" t="s">
        <v>2</v>
      </c>
      <c r="H3" s="60" t="s">
        <v>10</v>
      </c>
      <c r="I3" s="60" t="s">
        <v>3</v>
      </c>
      <c r="J3" s="60" t="s">
        <v>95</v>
      </c>
      <c r="K3" s="60" t="s">
        <v>8</v>
      </c>
      <c r="L3" s="60" t="s">
        <v>9</v>
      </c>
      <c r="M3" s="60" t="s">
        <v>10</v>
      </c>
      <c r="N3" s="60" t="s">
        <v>91</v>
      </c>
      <c r="O3" s="60" t="s">
        <v>92</v>
      </c>
      <c r="P3" s="60" t="s">
        <v>97</v>
      </c>
      <c r="Q3" s="60" t="s">
        <v>98</v>
      </c>
      <c r="R3" s="60" t="s">
        <v>99</v>
      </c>
      <c r="S3" s="60" t="s">
        <v>100</v>
      </c>
      <c r="T3" s="60" t="s">
        <v>101</v>
      </c>
      <c r="U3" s="60" t="s">
        <v>102</v>
      </c>
      <c r="V3" s="60" t="s">
        <v>96</v>
      </c>
      <c r="W3" s="60" t="s">
        <v>8</v>
      </c>
      <c r="X3" s="60" t="s">
        <v>9</v>
      </c>
      <c r="Y3" s="60" t="s">
        <v>10</v>
      </c>
      <c r="Z3" s="60" t="s">
        <v>91</v>
      </c>
      <c r="AA3" s="60" t="s">
        <v>92</v>
      </c>
      <c r="AB3" s="60" t="s">
        <v>97</v>
      </c>
      <c r="AC3" s="60" t="s">
        <v>98</v>
      </c>
      <c r="AD3" s="60" t="s">
        <v>99</v>
      </c>
      <c r="AE3" s="60" t="s">
        <v>100</v>
      </c>
      <c r="AF3" s="60" t="s">
        <v>101</v>
      </c>
      <c r="AG3" s="160" t="s">
        <v>102</v>
      </c>
      <c r="AH3" s="144" t="s">
        <v>2</v>
      </c>
      <c r="AI3" s="93" t="s">
        <v>10</v>
      </c>
      <c r="AJ3" s="93" t="s">
        <v>3</v>
      </c>
      <c r="AK3" s="93" t="s">
        <v>95</v>
      </c>
      <c r="AL3" s="93" t="s">
        <v>8</v>
      </c>
      <c r="AM3" s="93" t="s">
        <v>9</v>
      </c>
      <c r="AN3" s="93" t="s">
        <v>10</v>
      </c>
      <c r="AO3" s="93" t="s">
        <v>91</v>
      </c>
      <c r="AP3" s="93" t="s">
        <v>92</v>
      </c>
      <c r="AQ3" s="93" t="s">
        <v>97</v>
      </c>
      <c r="AR3" s="93" t="s">
        <v>98</v>
      </c>
      <c r="AS3" s="93" t="s">
        <v>99</v>
      </c>
      <c r="AT3" s="93" t="s">
        <v>100</v>
      </c>
      <c r="AU3" s="93" t="s">
        <v>101</v>
      </c>
      <c r="AV3" s="93" t="s">
        <v>102</v>
      </c>
      <c r="AW3" s="93" t="s">
        <v>96</v>
      </c>
      <c r="AX3" s="93" t="s">
        <v>8</v>
      </c>
      <c r="AY3" s="93" t="s">
        <v>9</v>
      </c>
      <c r="AZ3" s="93" t="s">
        <v>10</v>
      </c>
      <c r="BA3" s="93" t="s">
        <v>91</v>
      </c>
      <c r="BB3" s="93" t="s">
        <v>92</v>
      </c>
      <c r="BC3" s="93" t="s">
        <v>97</v>
      </c>
      <c r="BD3" s="93" t="s">
        <v>98</v>
      </c>
      <c r="BE3" s="93" t="s">
        <v>99</v>
      </c>
      <c r="BF3" s="93" t="s">
        <v>100</v>
      </c>
      <c r="BG3" s="93" t="s">
        <v>101</v>
      </c>
      <c r="BH3" s="94" t="s">
        <v>102</v>
      </c>
      <c r="BI3" s="92" t="s">
        <v>2</v>
      </c>
      <c r="BJ3" s="93" t="s">
        <v>10</v>
      </c>
      <c r="BK3" s="93" t="s">
        <v>3</v>
      </c>
      <c r="BL3" s="93" t="s">
        <v>95</v>
      </c>
      <c r="BM3" s="93" t="s">
        <v>8</v>
      </c>
      <c r="BN3" s="93" t="s">
        <v>9</v>
      </c>
      <c r="BO3" s="93" t="s">
        <v>10</v>
      </c>
      <c r="BP3" s="93" t="s">
        <v>91</v>
      </c>
      <c r="BQ3" s="93" t="s">
        <v>92</v>
      </c>
      <c r="BR3" s="93" t="s">
        <v>97</v>
      </c>
      <c r="BS3" s="93" t="s">
        <v>98</v>
      </c>
      <c r="BT3" s="93" t="s">
        <v>99</v>
      </c>
      <c r="BU3" s="93" t="s">
        <v>100</v>
      </c>
      <c r="BV3" s="93" t="s">
        <v>101</v>
      </c>
      <c r="BW3" s="93" t="s">
        <v>102</v>
      </c>
      <c r="BX3" s="93" t="s">
        <v>96</v>
      </c>
      <c r="BY3" s="93" t="s">
        <v>8</v>
      </c>
      <c r="BZ3" s="93" t="s">
        <v>9</v>
      </c>
      <c r="CA3" s="93" t="s">
        <v>10</v>
      </c>
      <c r="CB3" s="93" t="s">
        <v>91</v>
      </c>
      <c r="CC3" s="93" t="s">
        <v>92</v>
      </c>
      <c r="CD3" s="93" t="s">
        <v>97</v>
      </c>
      <c r="CE3" s="93" t="s">
        <v>98</v>
      </c>
      <c r="CF3" s="93" t="s">
        <v>99</v>
      </c>
      <c r="CG3" s="93" t="s">
        <v>100</v>
      </c>
      <c r="CH3" s="93" t="s">
        <v>101</v>
      </c>
      <c r="CI3" s="94" t="s">
        <v>102</v>
      </c>
      <c r="CJ3" s="92" t="s">
        <v>2</v>
      </c>
      <c r="CK3" s="93" t="s">
        <v>10</v>
      </c>
      <c r="CL3" s="93" t="s">
        <v>3</v>
      </c>
      <c r="CM3" s="93" t="s">
        <v>95</v>
      </c>
      <c r="CN3" s="93" t="s">
        <v>8</v>
      </c>
      <c r="CO3" s="93" t="s">
        <v>9</v>
      </c>
      <c r="CP3" s="93" t="s">
        <v>10</v>
      </c>
      <c r="CQ3" s="93" t="s">
        <v>91</v>
      </c>
      <c r="CR3" s="93" t="s">
        <v>92</v>
      </c>
      <c r="CS3" s="93" t="s">
        <v>97</v>
      </c>
      <c r="CT3" s="93" t="s">
        <v>98</v>
      </c>
      <c r="CU3" s="93" t="s">
        <v>99</v>
      </c>
      <c r="CV3" s="93" t="s">
        <v>100</v>
      </c>
      <c r="CW3" s="93" t="s">
        <v>101</v>
      </c>
      <c r="CX3" s="93" t="s">
        <v>102</v>
      </c>
      <c r="CY3" s="93" t="s">
        <v>96</v>
      </c>
      <c r="CZ3" s="93" t="s">
        <v>8</v>
      </c>
      <c r="DA3" s="93" t="s">
        <v>9</v>
      </c>
      <c r="DB3" s="93" t="s">
        <v>10</v>
      </c>
      <c r="DC3" s="93" t="s">
        <v>91</v>
      </c>
      <c r="DD3" s="93" t="s">
        <v>92</v>
      </c>
      <c r="DE3" s="93" t="s">
        <v>97</v>
      </c>
      <c r="DF3" s="93" t="s">
        <v>98</v>
      </c>
      <c r="DG3" s="93" t="s">
        <v>99</v>
      </c>
      <c r="DH3" s="93" t="s">
        <v>100</v>
      </c>
      <c r="DI3" s="93" t="s">
        <v>101</v>
      </c>
      <c r="DJ3" s="94" t="s">
        <v>102</v>
      </c>
      <c r="DK3" s="92" t="s">
        <v>2</v>
      </c>
      <c r="DL3" s="93" t="s">
        <v>10</v>
      </c>
      <c r="DM3" s="93" t="s">
        <v>3</v>
      </c>
      <c r="DN3" s="93" t="s">
        <v>95</v>
      </c>
      <c r="DO3" s="93" t="s">
        <v>8</v>
      </c>
      <c r="DP3" s="93" t="s">
        <v>9</v>
      </c>
      <c r="DQ3" s="93" t="s">
        <v>10</v>
      </c>
      <c r="DR3" s="93" t="s">
        <v>91</v>
      </c>
      <c r="DS3" s="93" t="s">
        <v>92</v>
      </c>
      <c r="DT3" s="93" t="s">
        <v>97</v>
      </c>
      <c r="DU3" s="93" t="s">
        <v>98</v>
      </c>
      <c r="DV3" s="93" t="s">
        <v>99</v>
      </c>
      <c r="DW3" s="93" t="s">
        <v>100</v>
      </c>
      <c r="DX3" s="93" t="s">
        <v>101</v>
      </c>
      <c r="DY3" s="93" t="s">
        <v>102</v>
      </c>
      <c r="DZ3" s="93" t="s">
        <v>96</v>
      </c>
      <c r="EA3" s="93" t="s">
        <v>8</v>
      </c>
      <c r="EB3" s="93" t="s">
        <v>9</v>
      </c>
      <c r="EC3" s="93" t="s">
        <v>10</v>
      </c>
      <c r="ED3" s="93" t="s">
        <v>91</v>
      </c>
      <c r="EE3" s="93" t="s">
        <v>92</v>
      </c>
      <c r="EF3" s="93" t="s">
        <v>97</v>
      </c>
      <c r="EG3" s="93" t="s">
        <v>98</v>
      </c>
      <c r="EH3" s="93" t="s">
        <v>99</v>
      </c>
      <c r="EI3" s="93" t="s">
        <v>100</v>
      </c>
      <c r="EJ3" s="93" t="s">
        <v>101</v>
      </c>
      <c r="EK3" s="94" t="s">
        <v>102</v>
      </c>
      <c r="EL3" s="92" t="s">
        <v>2</v>
      </c>
      <c r="EM3" s="93" t="s">
        <v>10</v>
      </c>
      <c r="EN3" s="93" t="s">
        <v>3</v>
      </c>
      <c r="EO3" s="93" t="s">
        <v>95</v>
      </c>
      <c r="EP3" s="93" t="s">
        <v>8</v>
      </c>
      <c r="EQ3" s="93" t="s">
        <v>9</v>
      </c>
      <c r="ER3" s="93" t="s">
        <v>10</v>
      </c>
      <c r="ES3" s="93" t="s">
        <v>91</v>
      </c>
      <c r="ET3" s="93" t="s">
        <v>92</v>
      </c>
      <c r="EU3" s="93" t="s">
        <v>97</v>
      </c>
      <c r="EV3" s="93" t="s">
        <v>98</v>
      </c>
      <c r="EW3" s="93" t="s">
        <v>99</v>
      </c>
      <c r="EX3" s="93" t="s">
        <v>100</v>
      </c>
      <c r="EY3" s="93" t="s">
        <v>101</v>
      </c>
      <c r="EZ3" s="93" t="s">
        <v>102</v>
      </c>
      <c r="FA3" s="93" t="s">
        <v>96</v>
      </c>
      <c r="FB3" s="93" t="s">
        <v>8</v>
      </c>
      <c r="FC3" s="93" t="s">
        <v>9</v>
      </c>
      <c r="FD3" s="93" t="s">
        <v>10</v>
      </c>
      <c r="FE3" s="93" t="s">
        <v>91</v>
      </c>
      <c r="FF3" s="93" t="s">
        <v>92</v>
      </c>
      <c r="FG3" s="93" t="s">
        <v>97</v>
      </c>
      <c r="FH3" s="93" t="s">
        <v>98</v>
      </c>
      <c r="FI3" s="93" t="s">
        <v>99</v>
      </c>
      <c r="FJ3" s="93" t="s">
        <v>100</v>
      </c>
      <c r="FK3" s="93" t="s">
        <v>101</v>
      </c>
      <c r="FL3" s="94" t="s">
        <v>102</v>
      </c>
      <c r="FM3" s="92" t="s">
        <v>2</v>
      </c>
      <c r="FN3" s="93" t="s">
        <v>10</v>
      </c>
      <c r="FO3" s="93" t="s">
        <v>3</v>
      </c>
      <c r="FP3" s="93" t="s">
        <v>95</v>
      </c>
      <c r="FQ3" s="93" t="s">
        <v>8</v>
      </c>
      <c r="FR3" s="93" t="s">
        <v>9</v>
      </c>
      <c r="FS3" s="93" t="s">
        <v>10</v>
      </c>
      <c r="FT3" s="93" t="s">
        <v>91</v>
      </c>
      <c r="FU3" s="93" t="s">
        <v>92</v>
      </c>
      <c r="FV3" s="93" t="s">
        <v>97</v>
      </c>
      <c r="FW3" s="93" t="s">
        <v>98</v>
      </c>
      <c r="FX3" s="93" t="s">
        <v>99</v>
      </c>
      <c r="FY3" s="93" t="s">
        <v>100</v>
      </c>
      <c r="FZ3" s="93" t="s">
        <v>101</v>
      </c>
      <c r="GA3" s="93" t="s">
        <v>102</v>
      </c>
      <c r="GB3" s="93" t="s">
        <v>96</v>
      </c>
      <c r="GC3" s="93" t="s">
        <v>8</v>
      </c>
      <c r="GD3" s="93" t="s">
        <v>9</v>
      </c>
      <c r="GE3" s="93" t="s">
        <v>10</v>
      </c>
      <c r="GF3" s="93" t="s">
        <v>91</v>
      </c>
      <c r="GG3" s="93" t="s">
        <v>92</v>
      </c>
      <c r="GH3" s="93" t="s">
        <v>97</v>
      </c>
      <c r="GI3" s="93" t="s">
        <v>98</v>
      </c>
      <c r="GJ3" s="93" t="s">
        <v>99</v>
      </c>
      <c r="GK3" s="93" t="s">
        <v>100</v>
      </c>
      <c r="GL3" s="93" t="s">
        <v>101</v>
      </c>
      <c r="GM3" s="94" t="s">
        <v>102</v>
      </c>
      <c r="GN3" s="92" t="s">
        <v>2</v>
      </c>
      <c r="GO3" s="93" t="s">
        <v>10</v>
      </c>
      <c r="GP3" s="93" t="s">
        <v>3</v>
      </c>
      <c r="GQ3" s="93" t="s">
        <v>95</v>
      </c>
      <c r="GR3" s="93" t="s">
        <v>8</v>
      </c>
      <c r="GS3" s="93" t="s">
        <v>9</v>
      </c>
      <c r="GT3" s="93" t="s">
        <v>10</v>
      </c>
      <c r="GU3" s="93" t="s">
        <v>91</v>
      </c>
      <c r="GV3" s="93" t="s">
        <v>92</v>
      </c>
      <c r="GW3" s="93" t="s">
        <v>97</v>
      </c>
      <c r="GX3" s="93" t="s">
        <v>98</v>
      </c>
      <c r="GY3" s="93" t="s">
        <v>99</v>
      </c>
      <c r="GZ3" s="93" t="s">
        <v>100</v>
      </c>
      <c r="HA3" s="93" t="s">
        <v>101</v>
      </c>
      <c r="HB3" s="93" t="s">
        <v>102</v>
      </c>
      <c r="HC3" s="93" t="s">
        <v>96</v>
      </c>
      <c r="HD3" s="93" t="s">
        <v>8</v>
      </c>
      <c r="HE3" s="93" t="s">
        <v>9</v>
      </c>
      <c r="HF3" s="93" t="s">
        <v>10</v>
      </c>
      <c r="HG3" s="93" t="s">
        <v>91</v>
      </c>
      <c r="HH3" s="93" t="s">
        <v>92</v>
      </c>
      <c r="HI3" s="93" t="s">
        <v>97</v>
      </c>
      <c r="HJ3" s="93" t="s">
        <v>98</v>
      </c>
      <c r="HK3" s="93" t="s">
        <v>99</v>
      </c>
      <c r="HL3" s="93" t="s">
        <v>100</v>
      </c>
      <c r="HM3" s="93" t="s">
        <v>101</v>
      </c>
      <c r="HN3" s="94" t="s">
        <v>102</v>
      </c>
      <c r="HO3" s="92" t="s">
        <v>2</v>
      </c>
      <c r="HP3" s="93" t="s">
        <v>10</v>
      </c>
      <c r="HQ3" s="93" t="s">
        <v>3</v>
      </c>
      <c r="HR3" s="93" t="s">
        <v>95</v>
      </c>
      <c r="HS3" s="93" t="s">
        <v>8</v>
      </c>
      <c r="HT3" s="93" t="s">
        <v>9</v>
      </c>
      <c r="HU3" s="93" t="s">
        <v>10</v>
      </c>
      <c r="HV3" s="93" t="s">
        <v>91</v>
      </c>
      <c r="HW3" s="93" t="s">
        <v>92</v>
      </c>
      <c r="HX3" s="93" t="s">
        <v>97</v>
      </c>
      <c r="HY3" s="93" t="s">
        <v>98</v>
      </c>
      <c r="HZ3" s="93" t="s">
        <v>99</v>
      </c>
      <c r="IA3" s="93" t="s">
        <v>100</v>
      </c>
      <c r="IB3" s="93" t="s">
        <v>101</v>
      </c>
      <c r="IC3" s="93" t="s">
        <v>102</v>
      </c>
      <c r="ID3" s="93" t="s">
        <v>96</v>
      </c>
      <c r="IE3" s="93" t="s">
        <v>8</v>
      </c>
      <c r="IF3" s="93" t="s">
        <v>9</v>
      </c>
      <c r="IG3" s="93" t="s">
        <v>10</v>
      </c>
      <c r="IH3" s="93" t="s">
        <v>91</v>
      </c>
      <c r="II3" s="93" t="s">
        <v>92</v>
      </c>
      <c r="IJ3" s="93" t="s">
        <v>97</v>
      </c>
      <c r="IK3" s="93" t="s">
        <v>98</v>
      </c>
      <c r="IL3" s="93" t="s">
        <v>99</v>
      </c>
      <c r="IM3" s="93" t="s">
        <v>100</v>
      </c>
      <c r="IN3" s="93" t="s">
        <v>101</v>
      </c>
      <c r="IO3" s="94" t="s">
        <v>102</v>
      </c>
      <c r="IP3" s="92" t="s">
        <v>2</v>
      </c>
      <c r="IQ3" s="93" t="s">
        <v>10</v>
      </c>
      <c r="IR3" s="93" t="s">
        <v>3</v>
      </c>
      <c r="IS3" s="93" t="s">
        <v>95</v>
      </c>
      <c r="IT3" s="93" t="s">
        <v>8</v>
      </c>
      <c r="IU3" s="93" t="s">
        <v>9</v>
      </c>
      <c r="IV3" s="93" t="s">
        <v>10</v>
      </c>
      <c r="IW3" s="93" t="s">
        <v>91</v>
      </c>
      <c r="IX3" s="93" t="s">
        <v>92</v>
      </c>
      <c r="IY3" s="93" t="s">
        <v>97</v>
      </c>
      <c r="IZ3" s="93" t="s">
        <v>98</v>
      </c>
      <c r="JA3" s="93" t="s">
        <v>99</v>
      </c>
      <c r="JB3" s="93" t="s">
        <v>100</v>
      </c>
      <c r="JC3" s="93" t="s">
        <v>101</v>
      </c>
      <c r="JD3" s="93" t="s">
        <v>102</v>
      </c>
      <c r="JE3" s="93" t="s">
        <v>96</v>
      </c>
      <c r="JF3" s="93" t="s">
        <v>8</v>
      </c>
      <c r="JG3" s="93" t="s">
        <v>9</v>
      </c>
      <c r="JH3" s="93" t="s">
        <v>10</v>
      </c>
      <c r="JI3" s="93" t="s">
        <v>91</v>
      </c>
      <c r="JJ3" s="93" t="s">
        <v>92</v>
      </c>
      <c r="JK3" s="93" t="s">
        <v>97</v>
      </c>
      <c r="JL3" s="93" t="s">
        <v>98</v>
      </c>
      <c r="JM3" s="93" t="s">
        <v>99</v>
      </c>
      <c r="JN3" s="93" t="s">
        <v>100</v>
      </c>
      <c r="JO3" s="93" t="s">
        <v>101</v>
      </c>
      <c r="JP3" s="94" t="s">
        <v>102</v>
      </c>
      <c r="JQ3" s="92" t="s">
        <v>2</v>
      </c>
      <c r="JR3" s="93" t="s">
        <v>10</v>
      </c>
      <c r="JS3" s="93" t="s">
        <v>3</v>
      </c>
      <c r="JT3" s="93" t="s">
        <v>95</v>
      </c>
      <c r="JU3" s="93" t="s">
        <v>8</v>
      </c>
      <c r="JV3" s="93" t="s">
        <v>9</v>
      </c>
      <c r="JW3" s="93" t="s">
        <v>10</v>
      </c>
      <c r="JX3" s="93" t="s">
        <v>91</v>
      </c>
      <c r="JY3" s="93" t="s">
        <v>92</v>
      </c>
      <c r="JZ3" s="93" t="s">
        <v>97</v>
      </c>
      <c r="KA3" s="93" t="s">
        <v>98</v>
      </c>
      <c r="KB3" s="93" t="s">
        <v>99</v>
      </c>
      <c r="KC3" s="93" t="s">
        <v>100</v>
      </c>
      <c r="KD3" s="93" t="s">
        <v>101</v>
      </c>
      <c r="KE3" s="93" t="s">
        <v>102</v>
      </c>
      <c r="KF3" s="93" t="s">
        <v>96</v>
      </c>
      <c r="KG3" s="93" t="s">
        <v>8</v>
      </c>
      <c r="KH3" s="93" t="s">
        <v>9</v>
      </c>
      <c r="KI3" s="93" t="s">
        <v>10</v>
      </c>
      <c r="KJ3" s="93" t="s">
        <v>91</v>
      </c>
      <c r="KK3" s="93" t="s">
        <v>92</v>
      </c>
      <c r="KL3" s="93" t="s">
        <v>97</v>
      </c>
      <c r="KM3" s="93" t="s">
        <v>98</v>
      </c>
      <c r="KN3" s="93" t="s">
        <v>99</v>
      </c>
      <c r="KO3" s="93" t="s">
        <v>100</v>
      </c>
      <c r="KP3" s="93" t="s">
        <v>101</v>
      </c>
      <c r="KQ3" s="94" t="s">
        <v>102</v>
      </c>
    </row>
    <row r="4" spans="1:303" x14ac:dyDescent="0.35">
      <c r="A4" s="86" t="str">
        <f>Neu!B4</f>
        <v>A</v>
      </c>
      <c r="B4" s="140" t="s">
        <v>50</v>
      </c>
      <c r="C4" s="20"/>
      <c r="D4" s="45">
        <v>3.0000000000000001E-3</v>
      </c>
      <c r="E4" s="141">
        <v>0.1</v>
      </c>
      <c r="F4" s="158">
        <v>-70</v>
      </c>
      <c r="G4" s="141">
        <v>8</v>
      </c>
      <c r="H4" s="142">
        <v>3</v>
      </c>
      <c r="I4" s="142">
        <v>50</v>
      </c>
      <c r="J4" s="142">
        <v>0</v>
      </c>
      <c r="K4" s="142">
        <v>-49</v>
      </c>
      <c r="L4" s="142">
        <v>5</v>
      </c>
      <c r="M4" s="142">
        <v>1</v>
      </c>
      <c r="N4" s="142">
        <v>6.0000000000000001E-3</v>
      </c>
      <c r="O4" s="142">
        <v>1E-3</v>
      </c>
      <c r="P4" s="142">
        <v>-55</v>
      </c>
      <c r="Q4" s="142">
        <v>4</v>
      </c>
      <c r="R4" s="142">
        <v>1</v>
      </c>
      <c r="S4" s="142"/>
      <c r="T4" s="142"/>
      <c r="U4" s="142"/>
      <c r="V4" s="142">
        <v>0</v>
      </c>
      <c r="W4" s="142">
        <v>-55</v>
      </c>
      <c r="X4" s="142">
        <v>5</v>
      </c>
      <c r="Y4" s="142">
        <v>1</v>
      </c>
      <c r="Z4" s="142">
        <v>0.02</v>
      </c>
      <c r="AA4" s="142">
        <v>5.0000000000000001E-3</v>
      </c>
      <c r="AB4" s="142">
        <v>-50</v>
      </c>
      <c r="AC4" s="142">
        <v>10</v>
      </c>
      <c r="AD4" s="142">
        <v>1</v>
      </c>
      <c r="AE4" s="142"/>
      <c r="AF4" s="142"/>
      <c r="AG4" s="143"/>
      <c r="AH4" s="17">
        <v>32</v>
      </c>
      <c r="AI4" s="65">
        <v>4</v>
      </c>
      <c r="AJ4" s="65">
        <v>-80</v>
      </c>
      <c r="AK4" s="65">
        <v>0</v>
      </c>
      <c r="AL4" s="65">
        <v>-35</v>
      </c>
      <c r="AM4" s="65">
        <v>9</v>
      </c>
      <c r="AN4" s="65">
        <v>1</v>
      </c>
      <c r="AO4" s="65">
        <v>0.08</v>
      </c>
      <c r="AP4" s="65">
        <v>8.0000000000000002E-3</v>
      </c>
      <c r="AQ4" s="65">
        <v>-20</v>
      </c>
      <c r="AR4" s="65">
        <v>10</v>
      </c>
      <c r="AS4" s="65">
        <v>1</v>
      </c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  <c r="CW4" s="65"/>
      <c r="CX4" s="65"/>
      <c r="CY4" s="65"/>
      <c r="CZ4" s="65"/>
      <c r="DA4" s="65"/>
      <c r="DB4" s="65"/>
      <c r="DC4" s="65"/>
      <c r="DD4" s="65"/>
      <c r="DE4" s="65"/>
      <c r="DF4" s="65"/>
      <c r="DG4" s="65"/>
      <c r="DH4" s="65"/>
      <c r="DI4" s="65"/>
      <c r="DJ4" s="65"/>
      <c r="DK4" s="65"/>
      <c r="DL4" s="65"/>
      <c r="DM4" s="65"/>
      <c r="DN4" s="65"/>
      <c r="DO4" s="65"/>
      <c r="DP4" s="65"/>
      <c r="DQ4" s="65"/>
      <c r="DR4" s="65"/>
      <c r="DS4" s="65"/>
      <c r="DT4" s="65"/>
      <c r="DU4" s="65"/>
      <c r="DV4" s="65"/>
      <c r="DW4" s="65"/>
      <c r="DX4" s="65"/>
      <c r="DY4" s="65"/>
      <c r="DZ4" s="65"/>
      <c r="EA4" s="65"/>
      <c r="EB4" s="65"/>
      <c r="EC4" s="65"/>
      <c r="ED4" s="65"/>
      <c r="EE4" s="65"/>
      <c r="EF4" s="65"/>
      <c r="EG4" s="65"/>
      <c r="EH4" s="65"/>
      <c r="EI4" s="65"/>
      <c r="EJ4" s="65"/>
      <c r="EK4" s="45"/>
      <c r="EL4" s="141"/>
      <c r="EM4" s="142"/>
      <c r="EN4" s="142"/>
      <c r="EO4" s="142"/>
      <c r="EP4" s="142"/>
      <c r="EQ4" s="142"/>
      <c r="ER4" s="142"/>
      <c r="ES4" s="142"/>
      <c r="ET4" s="142"/>
      <c r="EU4" s="142"/>
      <c r="EV4" s="142"/>
      <c r="EW4" s="142"/>
      <c r="EX4" s="142"/>
      <c r="EY4" s="142"/>
      <c r="EZ4" s="142"/>
      <c r="FA4" s="142"/>
      <c r="FB4" s="142"/>
      <c r="FC4" s="142"/>
      <c r="FD4" s="142"/>
      <c r="FE4" s="142"/>
      <c r="FF4" s="142"/>
      <c r="FG4" s="142"/>
      <c r="FH4" s="142"/>
      <c r="FI4" s="142"/>
      <c r="FJ4" s="142"/>
      <c r="FK4" s="142"/>
      <c r="FL4" s="143"/>
      <c r="FM4" s="17"/>
      <c r="FN4" s="65"/>
      <c r="FO4" s="65"/>
      <c r="FP4" s="65"/>
      <c r="FQ4" s="65"/>
      <c r="FR4" s="65"/>
      <c r="FS4" s="65"/>
      <c r="FT4" s="65"/>
      <c r="FU4" s="65"/>
      <c r="FV4" s="65"/>
      <c r="FW4" s="65"/>
      <c r="FX4" s="65"/>
      <c r="FY4" s="65"/>
      <c r="FZ4" s="65"/>
      <c r="GA4" s="65"/>
      <c r="GB4" s="65"/>
      <c r="GC4" s="65"/>
      <c r="GD4" s="65"/>
      <c r="GE4" s="65"/>
      <c r="GF4" s="65"/>
      <c r="GG4" s="65"/>
      <c r="GH4" s="65"/>
      <c r="GI4" s="65"/>
      <c r="GJ4" s="65"/>
      <c r="GK4" s="65"/>
      <c r="GL4" s="65"/>
      <c r="GM4" s="45"/>
      <c r="GN4" s="141"/>
      <c r="GO4" s="142"/>
      <c r="GP4" s="142"/>
      <c r="GQ4" s="142"/>
      <c r="GR4" s="142"/>
      <c r="GS4" s="142"/>
      <c r="GT4" s="142"/>
      <c r="GU4" s="142"/>
      <c r="GV4" s="142"/>
      <c r="GW4" s="142"/>
      <c r="GX4" s="142"/>
      <c r="GY4" s="142"/>
      <c r="GZ4" s="142"/>
      <c r="HA4" s="142"/>
      <c r="HB4" s="142"/>
      <c r="HC4" s="142"/>
      <c r="HD4" s="142"/>
      <c r="HE4" s="142"/>
      <c r="HF4" s="142"/>
      <c r="HG4" s="142"/>
      <c r="HH4" s="142"/>
      <c r="HI4" s="142"/>
      <c r="HJ4" s="142"/>
      <c r="HK4" s="142"/>
      <c r="HL4" s="142"/>
      <c r="HM4" s="142"/>
      <c r="HN4" s="143"/>
      <c r="HO4" s="141"/>
      <c r="HP4" s="142"/>
      <c r="HQ4" s="142"/>
      <c r="HR4" s="142"/>
      <c r="HS4" s="142"/>
      <c r="HT4" s="142"/>
      <c r="HU4" s="142"/>
      <c r="HV4" s="142"/>
      <c r="HW4" s="142"/>
      <c r="HX4" s="142"/>
      <c r="HY4" s="142"/>
      <c r="HZ4" s="142"/>
      <c r="IA4" s="142"/>
      <c r="IB4" s="142"/>
      <c r="IC4" s="142"/>
      <c r="ID4" s="142"/>
      <c r="IE4" s="142"/>
      <c r="IF4" s="142"/>
      <c r="IG4" s="142"/>
      <c r="IH4" s="145"/>
      <c r="II4" s="145"/>
      <c r="IJ4" s="145"/>
      <c r="IK4" s="145"/>
      <c r="IL4" s="145"/>
      <c r="IM4" s="145"/>
      <c r="IN4" s="145"/>
      <c r="IO4" s="146"/>
      <c r="IP4" s="17"/>
      <c r="IQ4" s="65"/>
      <c r="IR4" s="65"/>
      <c r="IS4" s="65"/>
      <c r="IT4" s="65"/>
      <c r="IU4" s="65"/>
      <c r="IV4" s="65"/>
      <c r="IW4" s="65"/>
      <c r="IX4" s="65"/>
      <c r="IY4" s="65"/>
      <c r="IZ4" s="65"/>
      <c r="JA4" s="65"/>
      <c r="JB4" s="65"/>
      <c r="JC4" s="65"/>
      <c r="JD4" s="65"/>
      <c r="JE4" s="65"/>
      <c r="JF4" s="65"/>
      <c r="JG4" s="65"/>
      <c r="JH4" s="65"/>
      <c r="JI4" s="65"/>
      <c r="JJ4" s="65"/>
      <c r="JK4" s="65"/>
      <c r="JL4" s="65"/>
      <c r="JM4" s="65"/>
      <c r="JN4" s="65"/>
      <c r="JO4" s="65"/>
      <c r="JP4" s="65"/>
      <c r="JQ4" s="39"/>
      <c r="JR4" s="65"/>
      <c r="JS4" s="65"/>
      <c r="JT4" s="65"/>
      <c r="JU4" s="65"/>
      <c r="JV4" s="65"/>
      <c r="JW4" s="65"/>
      <c r="JX4" s="65"/>
      <c r="JY4" s="65"/>
      <c r="JZ4" s="65"/>
      <c r="KA4" s="65"/>
      <c r="KB4" s="65"/>
      <c r="KC4" s="65"/>
      <c r="KD4" s="65"/>
      <c r="KE4" s="65"/>
      <c r="KF4" s="65"/>
      <c r="KG4" s="65"/>
      <c r="KH4" s="65"/>
      <c r="KI4" s="65"/>
      <c r="KJ4" s="65"/>
      <c r="KK4" s="65"/>
      <c r="KL4" s="65"/>
      <c r="KM4" s="65"/>
      <c r="KN4" s="65"/>
      <c r="KO4" s="65"/>
      <c r="KP4" s="65"/>
      <c r="KQ4" s="16"/>
    </row>
    <row r="5" spans="1:303" x14ac:dyDescent="0.35">
      <c r="A5" s="86" t="str">
        <f>Neu!B5</f>
        <v>B</v>
      </c>
      <c r="B5" s="140" t="s">
        <v>51</v>
      </c>
      <c r="C5" s="20"/>
      <c r="D5" s="45">
        <f>D4</f>
        <v>3.0000000000000001E-3</v>
      </c>
      <c r="E5" s="39">
        <v>0.1</v>
      </c>
      <c r="F5" s="45">
        <v>-70</v>
      </c>
      <c r="G5" s="39">
        <v>8</v>
      </c>
      <c r="H5" s="65">
        <v>3</v>
      </c>
      <c r="I5" s="65">
        <v>50</v>
      </c>
      <c r="J5" s="65">
        <v>0</v>
      </c>
      <c r="K5" s="65">
        <v>-49</v>
      </c>
      <c r="L5" s="65">
        <v>5</v>
      </c>
      <c r="M5" s="65">
        <v>1</v>
      </c>
      <c r="N5" s="65">
        <v>6.0000000000000001E-3</v>
      </c>
      <c r="O5" s="65">
        <v>1E-3</v>
      </c>
      <c r="P5" s="65">
        <v>-55</v>
      </c>
      <c r="Q5" s="65">
        <v>4</v>
      </c>
      <c r="R5" s="65">
        <v>1</v>
      </c>
      <c r="S5" s="65"/>
      <c r="T5" s="65"/>
      <c r="U5" s="65"/>
      <c r="V5" s="65">
        <v>0</v>
      </c>
      <c r="W5" s="65">
        <v>-55</v>
      </c>
      <c r="X5" s="65">
        <v>5</v>
      </c>
      <c r="Y5" s="65">
        <v>1</v>
      </c>
      <c r="Z5" s="65">
        <v>0.02</v>
      </c>
      <c r="AA5" s="65">
        <v>5.0000000000000001E-3</v>
      </c>
      <c r="AB5" s="65">
        <v>-50</v>
      </c>
      <c r="AC5" s="65">
        <v>10</v>
      </c>
      <c r="AD5" s="65">
        <v>1</v>
      </c>
      <c r="AE5" s="65"/>
      <c r="AF5" s="65"/>
      <c r="AG5" s="16"/>
      <c r="AH5" s="17">
        <v>32</v>
      </c>
      <c r="AI5" s="65">
        <v>4</v>
      </c>
      <c r="AJ5" s="65">
        <v>-80</v>
      </c>
      <c r="AK5" s="65">
        <v>0</v>
      </c>
      <c r="AL5" s="65">
        <v>-35</v>
      </c>
      <c r="AM5" s="65">
        <v>9</v>
      </c>
      <c r="AN5" s="65">
        <v>1</v>
      </c>
      <c r="AO5" s="65">
        <v>0.08</v>
      </c>
      <c r="AP5" s="65">
        <v>8.0000000000000002E-3</v>
      </c>
      <c r="AQ5" s="65">
        <v>-20</v>
      </c>
      <c r="AR5" s="65">
        <v>10</v>
      </c>
      <c r="AS5" s="65">
        <v>1</v>
      </c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  <c r="CI5" s="65"/>
      <c r="CJ5" s="65"/>
      <c r="CK5" s="65"/>
      <c r="CL5" s="65"/>
      <c r="CM5" s="65"/>
      <c r="CN5" s="65"/>
      <c r="CO5" s="65"/>
      <c r="CP5" s="65"/>
      <c r="CQ5" s="65"/>
      <c r="CR5" s="65"/>
      <c r="CS5" s="65"/>
      <c r="CT5" s="65"/>
      <c r="CU5" s="65"/>
      <c r="CV5" s="65"/>
      <c r="CW5" s="65"/>
      <c r="CX5" s="65"/>
      <c r="CY5" s="65"/>
      <c r="CZ5" s="65"/>
      <c r="DA5" s="65"/>
      <c r="DB5" s="65"/>
      <c r="DC5" s="65"/>
      <c r="DD5" s="65"/>
      <c r="DE5" s="65"/>
      <c r="DF5" s="65"/>
      <c r="DG5" s="65"/>
      <c r="DH5" s="65"/>
      <c r="DI5" s="65"/>
      <c r="DJ5" s="65"/>
      <c r="DK5" s="65"/>
      <c r="DL5" s="65"/>
      <c r="DM5" s="65"/>
      <c r="DN5" s="65"/>
      <c r="DO5" s="65"/>
      <c r="DP5" s="65"/>
      <c r="DQ5" s="65"/>
      <c r="DR5" s="65"/>
      <c r="DS5" s="65"/>
      <c r="DT5" s="65"/>
      <c r="DU5" s="65"/>
      <c r="DV5" s="65"/>
      <c r="DW5" s="65"/>
      <c r="DX5" s="65"/>
      <c r="DY5" s="65"/>
      <c r="DZ5" s="65"/>
      <c r="EA5" s="65"/>
      <c r="EB5" s="65"/>
      <c r="EC5" s="65"/>
      <c r="ED5" s="65"/>
      <c r="EE5" s="65"/>
      <c r="EF5" s="65"/>
      <c r="EG5" s="65"/>
      <c r="EH5" s="65"/>
      <c r="EI5" s="65"/>
      <c r="EJ5" s="65"/>
      <c r="EK5" s="45"/>
      <c r="EL5" s="39"/>
      <c r="EM5" s="65"/>
      <c r="EN5" s="65"/>
      <c r="EO5" s="65"/>
      <c r="EP5" s="65"/>
      <c r="EQ5" s="65"/>
      <c r="ER5" s="65"/>
      <c r="ES5" s="65"/>
      <c r="ET5" s="65"/>
      <c r="EU5" s="65"/>
      <c r="EV5" s="65"/>
      <c r="EW5" s="65"/>
      <c r="EX5" s="65"/>
      <c r="EY5" s="65"/>
      <c r="EZ5" s="65"/>
      <c r="FA5" s="65"/>
      <c r="FB5" s="65"/>
      <c r="FC5" s="65"/>
      <c r="FD5" s="65"/>
      <c r="FE5" s="65"/>
      <c r="FF5" s="65"/>
      <c r="FG5" s="65"/>
      <c r="FH5" s="65"/>
      <c r="FI5" s="65"/>
      <c r="FJ5" s="65"/>
      <c r="FK5" s="65"/>
      <c r="FL5" s="16"/>
      <c r="FM5" s="17"/>
      <c r="FN5" s="65"/>
      <c r="FO5" s="65"/>
      <c r="FP5" s="65"/>
      <c r="FQ5" s="65"/>
      <c r="FR5" s="65"/>
      <c r="FS5" s="65"/>
      <c r="FT5" s="65"/>
      <c r="FU5" s="65"/>
      <c r="FV5" s="65"/>
      <c r="FW5" s="65"/>
      <c r="FX5" s="65"/>
      <c r="FY5" s="65"/>
      <c r="FZ5" s="65"/>
      <c r="GA5" s="65"/>
      <c r="GB5" s="65"/>
      <c r="GC5" s="65"/>
      <c r="GD5" s="65"/>
      <c r="GE5" s="65"/>
      <c r="GF5" s="65"/>
      <c r="GG5" s="65"/>
      <c r="GH5" s="65"/>
      <c r="GI5" s="65"/>
      <c r="GJ5" s="65"/>
      <c r="GK5" s="65"/>
      <c r="GL5" s="65"/>
      <c r="GM5" s="45"/>
      <c r="GN5" s="39"/>
      <c r="GO5" s="65"/>
      <c r="GP5" s="65"/>
      <c r="GQ5" s="65"/>
      <c r="GR5" s="65"/>
      <c r="GS5" s="65"/>
      <c r="GT5" s="65"/>
      <c r="GU5" s="65"/>
      <c r="GV5" s="65"/>
      <c r="GW5" s="65"/>
      <c r="GX5" s="65"/>
      <c r="GY5" s="65"/>
      <c r="GZ5" s="65"/>
      <c r="HA5" s="65"/>
      <c r="HB5" s="65"/>
      <c r="HC5" s="65"/>
      <c r="HD5" s="65"/>
      <c r="HE5" s="65"/>
      <c r="HF5" s="65"/>
      <c r="HG5" s="65"/>
      <c r="HH5" s="65"/>
      <c r="HI5" s="65"/>
      <c r="HJ5" s="65"/>
      <c r="HK5" s="65"/>
      <c r="HL5" s="65"/>
      <c r="HM5" s="65"/>
      <c r="HN5" s="16"/>
      <c r="HO5" s="39"/>
      <c r="HP5" s="65"/>
      <c r="HQ5" s="65"/>
      <c r="HR5" s="65"/>
      <c r="HS5" s="65"/>
      <c r="HT5" s="65"/>
      <c r="HU5" s="65"/>
      <c r="HV5" s="65"/>
      <c r="HW5" s="65"/>
      <c r="HX5" s="65"/>
      <c r="HY5" s="65"/>
      <c r="HZ5" s="65"/>
      <c r="IA5" s="65"/>
      <c r="IB5" s="65"/>
      <c r="IC5" s="65"/>
      <c r="ID5" s="65"/>
      <c r="IE5" s="65"/>
      <c r="IF5" s="65"/>
      <c r="IG5" s="45"/>
      <c r="IH5" s="65"/>
      <c r="II5" s="65"/>
      <c r="IJ5" s="65"/>
      <c r="IK5" s="65"/>
      <c r="IL5" s="65"/>
      <c r="IM5" s="65"/>
      <c r="IN5" s="65"/>
      <c r="IO5" s="65"/>
      <c r="IP5" s="17"/>
      <c r="IQ5" s="65"/>
      <c r="IR5" s="65"/>
      <c r="IS5" s="65"/>
      <c r="IT5" s="65"/>
      <c r="IU5" s="65"/>
      <c r="IV5" s="65"/>
      <c r="IW5" s="65"/>
      <c r="IX5" s="65"/>
      <c r="IY5" s="65"/>
      <c r="IZ5" s="65"/>
      <c r="JA5" s="65"/>
      <c r="JB5" s="65"/>
      <c r="JC5" s="65"/>
      <c r="JD5" s="65"/>
      <c r="JE5" s="65"/>
      <c r="JF5" s="65"/>
      <c r="JG5" s="65"/>
      <c r="JH5" s="65"/>
      <c r="JI5" s="65"/>
      <c r="JJ5" s="65"/>
      <c r="JK5" s="65"/>
      <c r="JL5" s="65"/>
      <c r="JM5" s="65"/>
      <c r="JN5" s="65"/>
      <c r="JO5" s="65"/>
      <c r="JP5" s="65"/>
      <c r="JQ5" s="39"/>
      <c r="JR5" s="65"/>
      <c r="JS5" s="65"/>
      <c r="JT5" s="65"/>
      <c r="JU5" s="65"/>
      <c r="JV5" s="65"/>
      <c r="JW5" s="65"/>
      <c r="JX5" s="65"/>
      <c r="JY5" s="65"/>
      <c r="JZ5" s="65"/>
      <c r="KA5" s="65"/>
      <c r="KB5" s="65"/>
      <c r="KC5" s="65"/>
      <c r="KD5" s="65"/>
      <c r="KE5" s="65"/>
      <c r="KF5" s="65"/>
      <c r="KG5" s="65"/>
      <c r="KH5" s="65"/>
      <c r="KI5" s="65"/>
      <c r="KJ5" s="65"/>
      <c r="KK5" s="65"/>
      <c r="KL5" s="65"/>
      <c r="KM5" s="65"/>
      <c r="KN5" s="65"/>
      <c r="KO5" s="65"/>
      <c r="KP5" s="65"/>
      <c r="KQ5" s="16"/>
    </row>
    <row r="6" spans="1:303" x14ac:dyDescent="0.35">
      <c r="A6" s="86" t="str">
        <f>Neu!B6</f>
        <v>C</v>
      </c>
      <c r="B6" s="140" t="s">
        <v>174</v>
      </c>
      <c r="C6" s="20"/>
      <c r="D6" s="45">
        <f>D5</f>
        <v>3.0000000000000001E-3</v>
      </c>
      <c r="E6" s="39">
        <v>0.1</v>
      </c>
      <c r="F6" s="45">
        <v>-70</v>
      </c>
      <c r="G6" s="39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16"/>
      <c r="AH6" s="17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I6" s="65"/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 s="65"/>
      <c r="EE6" s="65"/>
      <c r="EF6" s="65"/>
      <c r="EG6" s="65"/>
      <c r="EH6" s="65"/>
      <c r="EI6" s="65"/>
      <c r="EJ6" s="65"/>
      <c r="EK6" s="45"/>
      <c r="EL6" s="39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16"/>
      <c r="FM6" s="17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65"/>
      <c r="GA6" s="65"/>
      <c r="GB6" s="65"/>
      <c r="GC6" s="65"/>
      <c r="GD6" s="65"/>
      <c r="GE6" s="65"/>
      <c r="GF6" s="65"/>
      <c r="GG6" s="65"/>
      <c r="GH6" s="65"/>
      <c r="GI6" s="65"/>
      <c r="GJ6" s="65"/>
      <c r="GK6" s="65"/>
      <c r="GL6" s="65"/>
      <c r="GM6" s="45"/>
      <c r="GN6" s="39"/>
      <c r="GO6" s="65"/>
      <c r="GP6" s="65"/>
      <c r="GQ6" s="65"/>
      <c r="GR6" s="65"/>
      <c r="GS6" s="65"/>
      <c r="GT6" s="65"/>
      <c r="GU6" s="65"/>
      <c r="GV6" s="65"/>
      <c r="GW6" s="65"/>
      <c r="GX6" s="65"/>
      <c r="GY6" s="65"/>
      <c r="GZ6" s="65"/>
      <c r="HA6" s="65"/>
      <c r="HB6" s="65"/>
      <c r="HC6" s="65"/>
      <c r="HD6" s="65"/>
      <c r="HE6" s="65"/>
      <c r="HF6" s="65"/>
      <c r="HG6" s="65"/>
      <c r="HH6" s="65"/>
      <c r="HI6" s="65"/>
      <c r="HJ6" s="65"/>
      <c r="HK6" s="65"/>
      <c r="HL6" s="65"/>
      <c r="HM6" s="65"/>
      <c r="HN6" s="16"/>
      <c r="HO6" s="39"/>
      <c r="HP6" s="65"/>
      <c r="HQ6" s="65"/>
      <c r="HR6" s="65"/>
      <c r="HS6" s="65"/>
      <c r="HT6" s="65"/>
      <c r="HU6" s="65"/>
      <c r="HV6" s="65"/>
      <c r="HW6" s="65"/>
      <c r="HX6" s="65"/>
      <c r="HY6" s="65"/>
      <c r="HZ6" s="65"/>
      <c r="IA6" s="65"/>
      <c r="IB6" s="65"/>
      <c r="IC6" s="65"/>
      <c r="ID6" s="65"/>
      <c r="IE6" s="65"/>
      <c r="IF6" s="65"/>
      <c r="IG6" s="45"/>
      <c r="IH6" s="65"/>
      <c r="II6" s="65"/>
      <c r="IJ6" s="65"/>
      <c r="IK6" s="65"/>
      <c r="IL6" s="65"/>
      <c r="IM6" s="65"/>
      <c r="IN6" s="65"/>
      <c r="IO6" s="65"/>
      <c r="IP6" s="17"/>
      <c r="IQ6" s="65"/>
      <c r="IR6" s="65"/>
      <c r="IS6" s="65"/>
      <c r="IT6" s="65"/>
      <c r="IU6" s="65"/>
      <c r="IV6" s="65"/>
      <c r="IW6" s="65"/>
      <c r="IX6" s="65"/>
      <c r="IY6" s="65"/>
      <c r="IZ6" s="65"/>
      <c r="JA6" s="65"/>
      <c r="JB6" s="65"/>
      <c r="JC6" s="65"/>
      <c r="JD6" s="65"/>
      <c r="JE6" s="65"/>
      <c r="JF6" s="65"/>
      <c r="JG6" s="65"/>
      <c r="JH6" s="65"/>
      <c r="JI6" s="65"/>
      <c r="JJ6" s="65"/>
      <c r="JK6" s="65"/>
      <c r="JL6" s="65"/>
      <c r="JM6" s="65"/>
      <c r="JN6" s="65"/>
      <c r="JO6" s="65"/>
      <c r="JP6" s="65"/>
      <c r="JQ6" s="39"/>
      <c r="JR6" s="65"/>
      <c r="JS6" s="65"/>
      <c r="JT6" s="65"/>
      <c r="JU6" s="65"/>
      <c r="JV6" s="65"/>
      <c r="JW6" s="65"/>
      <c r="JX6" s="65"/>
      <c r="JY6" s="65"/>
      <c r="JZ6" s="65"/>
      <c r="KA6" s="65"/>
      <c r="KB6" s="65"/>
      <c r="KC6" s="65"/>
      <c r="KD6" s="65"/>
      <c r="KE6" s="65"/>
      <c r="KF6" s="65"/>
      <c r="KG6" s="65"/>
      <c r="KH6" s="65"/>
      <c r="KI6" s="65"/>
      <c r="KJ6" s="65"/>
      <c r="KK6" s="65"/>
      <c r="KL6" s="65"/>
      <c r="KM6" s="65"/>
      <c r="KN6" s="65"/>
      <c r="KO6" s="65"/>
      <c r="KP6" s="65"/>
      <c r="KQ6" s="16"/>
    </row>
    <row r="7" spans="1:303" x14ac:dyDescent="0.35">
      <c r="A7" s="86">
        <f>Neu!B7</f>
        <v>0</v>
      </c>
      <c r="B7" s="89"/>
      <c r="C7" s="20"/>
      <c r="D7" s="45"/>
      <c r="E7" s="39"/>
      <c r="F7" s="45"/>
      <c r="G7" s="39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16"/>
      <c r="AH7" s="17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16"/>
      <c r="BI7" s="39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16"/>
      <c r="CJ7" s="39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16"/>
      <c r="DK7" s="39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65"/>
      <c r="EJ7" s="65"/>
      <c r="EK7" s="45"/>
      <c r="EL7" s="39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  <c r="EY7" s="65"/>
      <c r="EZ7" s="65"/>
      <c r="FA7" s="65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16"/>
      <c r="FM7" s="17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65"/>
      <c r="GA7" s="65"/>
      <c r="GB7" s="65"/>
      <c r="GC7" s="65"/>
      <c r="GD7" s="65"/>
      <c r="GE7" s="65"/>
      <c r="GF7" s="65"/>
      <c r="GG7" s="65"/>
      <c r="GH7" s="65"/>
      <c r="GI7" s="65"/>
      <c r="GJ7" s="65"/>
      <c r="GK7" s="65"/>
      <c r="GL7" s="65"/>
      <c r="GM7" s="45"/>
      <c r="GN7" s="39"/>
      <c r="GO7" s="65"/>
      <c r="GP7" s="65"/>
      <c r="GQ7" s="65"/>
      <c r="GR7" s="65"/>
      <c r="GS7" s="65"/>
      <c r="GT7" s="65"/>
      <c r="GU7" s="65"/>
      <c r="GV7" s="65"/>
      <c r="GW7" s="65"/>
      <c r="GX7" s="65"/>
      <c r="GY7" s="65"/>
      <c r="GZ7" s="65"/>
      <c r="HA7" s="65"/>
      <c r="HB7" s="65"/>
      <c r="HC7" s="65"/>
      <c r="HD7" s="65"/>
      <c r="HE7" s="65"/>
      <c r="HF7" s="65"/>
      <c r="HG7" s="65"/>
      <c r="HH7" s="65"/>
      <c r="HI7" s="65"/>
      <c r="HJ7" s="65"/>
      <c r="HK7" s="65"/>
      <c r="HL7" s="65"/>
      <c r="HM7" s="65"/>
      <c r="HN7" s="16"/>
      <c r="HO7" s="39"/>
      <c r="HP7" s="65"/>
      <c r="HQ7" s="65"/>
      <c r="HR7" s="65"/>
      <c r="HS7" s="65"/>
      <c r="HT7" s="65"/>
      <c r="HU7" s="65"/>
      <c r="HV7" s="65"/>
      <c r="HW7" s="65"/>
      <c r="HX7" s="65"/>
      <c r="HY7" s="65"/>
      <c r="HZ7" s="65"/>
      <c r="IA7" s="65"/>
      <c r="IB7" s="65"/>
      <c r="IC7" s="65"/>
      <c r="ID7" s="65"/>
      <c r="IE7" s="65"/>
      <c r="IF7" s="65"/>
      <c r="IG7" s="45"/>
      <c r="IH7" s="65"/>
      <c r="II7" s="65"/>
      <c r="IJ7" s="65"/>
      <c r="IK7" s="65"/>
      <c r="IL7" s="65"/>
      <c r="IM7" s="65"/>
      <c r="IN7" s="65"/>
      <c r="IO7" s="16"/>
      <c r="IP7" s="17"/>
      <c r="IQ7" s="65"/>
      <c r="IR7" s="65"/>
      <c r="IS7" s="65"/>
      <c r="IT7" s="65"/>
      <c r="IU7" s="65"/>
      <c r="IV7" s="65"/>
      <c r="IW7" s="65"/>
      <c r="IX7" s="65"/>
      <c r="IY7" s="65"/>
      <c r="IZ7" s="65"/>
      <c r="JA7" s="65"/>
      <c r="JB7" s="65"/>
      <c r="JC7" s="65"/>
      <c r="JD7" s="65"/>
      <c r="JE7" s="65"/>
      <c r="JF7" s="65"/>
      <c r="JG7" s="65"/>
      <c r="JH7" s="65"/>
      <c r="JI7" s="65"/>
      <c r="JJ7" s="65"/>
      <c r="JK7" s="65"/>
      <c r="JL7" s="65"/>
      <c r="JM7" s="65"/>
      <c r="JN7" s="65"/>
      <c r="JO7" s="65"/>
      <c r="JP7" s="16"/>
      <c r="JQ7" s="39"/>
      <c r="JR7" s="65"/>
      <c r="JS7" s="65"/>
      <c r="JT7" s="65"/>
      <c r="JU7" s="65"/>
      <c r="JV7" s="65"/>
      <c r="JW7" s="65"/>
      <c r="JX7" s="65"/>
      <c r="JY7" s="65"/>
      <c r="JZ7" s="65"/>
      <c r="KA7" s="65"/>
      <c r="KB7" s="65"/>
      <c r="KC7" s="65"/>
      <c r="KD7" s="65"/>
      <c r="KE7" s="65"/>
      <c r="KF7" s="65"/>
      <c r="KG7" s="65"/>
      <c r="KH7" s="65"/>
      <c r="KI7" s="65"/>
      <c r="KJ7" s="65"/>
      <c r="KK7" s="65"/>
      <c r="KL7" s="65"/>
      <c r="KM7" s="65"/>
      <c r="KN7" s="65"/>
      <c r="KO7" s="65"/>
      <c r="KP7" s="65"/>
      <c r="KQ7" s="16"/>
    </row>
    <row r="8" spans="1:303" x14ac:dyDescent="0.35">
      <c r="A8" s="86">
        <f>Neu!B8</f>
        <v>0</v>
      </c>
      <c r="B8" s="89"/>
      <c r="C8" s="20"/>
      <c r="D8" s="45"/>
      <c r="E8" s="39"/>
      <c r="F8" s="45"/>
      <c r="G8" s="39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16"/>
      <c r="AH8" s="17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16"/>
      <c r="BI8" s="39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16"/>
      <c r="CJ8" s="39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5"/>
      <c r="DI8" s="65"/>
      <c r="DJ8" s="16"/>
      <c r="DK8" s="39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/>
      <c r="DW8" s="65"/>
      <c r="DX8" s="65"/>
      <c r="DY8" s="65"/>
      <c r="DZ8" s="65"/>
      <c r="EA8" s="65"/>
      <c r="EB8" s="65"/>
      <c r="EC8" s="65"/>
      <c r="ED8" s="65"/>
      <c r="EE8" s="65"/>
      <c r="EF8" s="65"/>
      <c r="EG8" s="65"/>
      <c r="EH8" s="65"/>
      <c r="EI8" s="65"/>
      <c r="EJ8" s="65"/>
      <c r="EK8" s="45"/>
      <c r="EL8" s="39"/>
      <c r="EM8" s="65"/>
      <c r="EN8" s="65"/>
      <c r="EO8" s="65"/>
      <c r="EP8" s="65"/>
      <c r="EQ8" s="65"/>
      <c r="ER8" s="65"/>
      <c r="ES8" s="65"/>
      <c r="ET8" s="65"/>
      <c r="EU8" s="65"/>
      <c r="EV8" s="65"/>
      <c r="EW8" s="65"/>
      <c r="EX8" s="65"/>
      <c r="EY8" s="65"/>
      <c r="EZ8" s="65"/>
      <c r="FA8" s="65"/>
      <c r="FB8" s="65"/>
      <c r="FC8" s="65"/>
      <c r="FD8" s="65"/>
      <c r="FE8" s="65"/>
      <c r="FF8" s="65"/>
      <c r="FG8" s="65"/>
      <c r="FH8" s="65"/>
      <c r="FI8" s="65"/>
      <c r="FJ8" s="65"/>
      <c r="FK8" s="65"/>
      <c r="FL8" s="16"/>
      <c r="FM8" s="17"/>
      <c r="FN8" s="65"/>
      <c r="FO8" s="65"/>
      <c r="FP8" s="65"/>
      <c r="FQ8" s="65"/>
      <c r="FR8" s="65"/>
      <c r="FS8" s="65"/>
      <c r="FT8" s="65"/>
      <c r="FU8" s="65"/>
      <c r="FV8" s="65"/>
      <c r="FW8" s="65"/>
      <c r="FX8" s="65"/>
      <c r="FY8" s="65"/>
      <c r="FZ8" s="65"/>
      <c r="GA8" s="65"/>
      <c r="GB8" s="65"/>
      <c r="GC8" s="65"/>
      <c r="GD8" s="65"/>
      <c r="GE8" s="65"/>
      <c r="GF8" s="65"/>
      <c r="GG8" s="65"/>
      <c r="GH8" s="65"/>
      <c r="GI8" s="65"/>
      <c r="GJ8" s="65"/>
      <c r="GK8" s="65"/>
      <c r="GL8" s="65"/>
      <c r="GM8" s="45"/>
      <c r="GN8" s="39"/>
      <c r="GO8" s="65"/>
      <c r="GP8" s="65"/>
      <c r="GQ8" s="65"/>
      <c r="GR8" s="65"/>
      <c r="GS8" s="65"/>
      <c r="GT8" s="65"/>
      <c r="GU8" s="65"/>
      <c r="GV8" s="65"/>
      <c r="GW8" s="65"/>
      <c r="GX8" s="65"/>
      <c r="GY8" s="65"/>
      <c r="GZ8" s="65"/>
      <c r="HA8" s="65"/>
      <c r="HB8" s="65"/>
      <c r="HC8" s="65"/>
      <c r="HD8" s="65"/>
      <c r="HE8" s="65"/>
      <c r="HF8" s="65"/>
      <c r="HG8" s="65"/>
      <c r="HH8" s="65"/>
      <c r="HI8" s="65"/>
      <c r="HJ8" s="65"/>
      <c r="HK8" s="65"/>
      <c r="HL8" s="65"/>
      <c r="HM8" s="65"/>
      <c r="HN8" s="16"/>
      <c r="HO8" s="39"/>
      <c r="HP8" s="65"/>
      <c r="HQ8" s="65"/>
      <c r="HR8" s="65"/>
      <c r="HS8" s="65"/>
      <c r="HT8" s="65"/>
      <c r="HU8" s="65"/>
      <c r="HV8" s="65"/>
      <c r="HW8" s="65"/>
      <c r="HX8" s="65"/>
      <c r="HY8" s="65"/>
      <c r="HZ8" s="65"/>
      <c r="IA8" s="65"/>
      <c r="IB8" s="65"/>
      <c r="IC8" s="65"/>
      <c r="ID8" s="65"/>
      <c r="IE8" s="65"/>
      <c r="IF8" s="65"/>
      <c r="IG8" s="45"/>
      <c r="IH8" s="65"/>
      <c r="II8" s="65"/>
      <c r="IJ8" s="65"/>
      <c r="IK8" s="65"/>
      <c r="IL8" s="65"/>
      <c r="IM8" s="65"/>
      <c r="IN8" s="65"/>
      <c r="IO8" s="16"/>
      <c r="IP8" s="17"/>
      <c r="IQ8" s="65"/>
      <c r="IR8" s="65"/>
      <c r="IS8" s="65"/>
      <c r="IT8" s="65"/>
      <c r="IU8" s="65"/>
      <c r="IV8" s="65"/>
      <c r="IW8" s="65"/>
      <c r="IX8" s="65"/>
      <c r="IY8" s="65"/>
      <c r="IZ8" s="65"/>
      <c r="JA8" s="65"/>
      <c r="JB8" s="65"/>
      <c r="JC8" s="65"/>
      <c r="JD8" s="65"/>
      <c r="JE8" s="65"/>
      <c r="JF8" s="65"/>
      <c r="JG8" s="65"/>
      <c r="JH8" s="65"/>
      <c r="JI8" s="65"/>
      <c r="JJ8" s="65"/>
      <c r="JK8" s="65"/>
      <c r="JL8" s="65"/>
      <c r="JM8" s="65"/>
      <c r="JN8" s="65"/>
      <c r="JO8" s="65"/>
      <c r="JP8" s="16"/>
      <c r="JQ8" s="39"/>
      <c r="JR8" s="65"/>
      <c r="JS8" s="65"/>
      <c r="JT8" s="65"/>
      <c r="JU8" s="65"/>
      <c r="JV8" s="65"/>
      <c r="JW8" s="65"/>
      <c r="JX8" s="65"/>
      <c r="JY8" s="65"/>
      <c r="JZ8" s="65"/>
      <c r="KA8" s="65"/>
      <c r="KB8" s="65"/>
      <c r="KC8" s="65"/>
      <c r="KD8" s="65"/>
      <c r="KE8" s="65"/>
      <c r="KF8" s="65"/>
      <c r="KG8" s="65"/>
      <c r="KH8" s="65"/>
      <c r="KI8" s="65"/>
      <c r="KJ8" s="65"/>
      <c r="KK8" s="65"/>
      <c r="KL8" s="65"/>
      <c r="KM8" s="65"/>
      <c r="KN8" s="65"/>
      <c r="KO8" s="65"/>
      <c r="KP8" s="65"/>
      <c r="KQ8" s="16"/>
    </row>
    <row r="9" spans="1:303" x14ac:dyDescent="0.35">
      <c r="A9" s="86">
        <f>Neu!B9</f>
        <v>0</v>
      </c>
      <c r="B9" s="89"/>
      <c r="C9" s="20"/>
      <c r="D9" s="45"/>
      <c r="E9" s="39"/>
      <c r="F9" s="45"/>
      <c r="G9" s="39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16"/>
      <c r="AH9" s="17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16"/>
      <c r="BI9" s="39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16"/>
      <c r="CJ9" s="39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16"/>
      <c r="DK9" s="39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/>
      <c r="EJ9" s="65"/>
      <c r="EK9" s="45"/>
      <c r="EL9" s="39"/>
      <c r="EM9" s="65"/>
      <c r="EN9" s="65"/>
      <c r="EO9" s="65"/>
      <c r="EP9" s="65"/>
      <c r="EQ9" s="65"/>
      <c r="ER9" s="65"/>
      <c r="ES9" s="65"/>
      <c r="ET9" s="65"/>
      <c r="EU9" s="65"/>
      <c r="EV9" s="65"/>
      <c r="EW9" s="65"/>
      <c r="EX9" s="65"/>
      <c r="EY9" s="65"/>
      <c r="EZ9" s="65"/>
      <c r="FA9" s="65"/>
      <c r="FB9" s="65"/>
      <c r="FC9" s="65"/>
      <c r="FD9" s="65"/>
      <c r="FE9" s="65"/>
      <c r="FF9" s="65"/>
      <c r="FG9" s="65"/>
      <c r="FH9" s="65"/>
      <c r="FI9" s="65"/>
      <c r="FJ9" s="65"/>
      <c r="FK9" s="65"/>
      <c r="FL9" s="16"/>
      <c r="FM9" s="17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65"/>
      <c r="GI9" s="65"/>
      <c r="GJ9" s="65"/>
      <c r="GK9" s="65"/>
      <c r="GL9" s="65"/>
      <c r="GM9" s="45"/>
      <c r="GN9" s="39"/>
      <c r="GO9" s="65"/>
      <c r="GP9" s="65"/>
      <c r="GQ9" s="65"/>
      <c r="GR9" s="65"/>
      <c r="GS9" s="65"/>
      <c r="GT9" s="65"/>
      <c r="GU9" s="65"/>
      <c r="GV9" s="65"/>
      <c r="GW9" s="65"/>
      <c r="GX9" s="65"/>
      <c r="GY9" s="65"/>
      <c r="GZ9" s="65"/>
      <c r="HA9" s="65"/>
      <c r="HB9" s="65"/>
      <c r="HC9" s="65"/>
      <c r="HD9" s="65"/>
      <c r="HE9" s="65"/>
      <c r="HF9" s="65"/>
      <c r="HG9" s="65"/>
      <c r="HH9" s="65"/>
      <c r="HI9" s="65"/>
      <c r="HJ9" s="65"/>
      <c r="HK9" s="65"/>
      <c r="HL9" s="65"/>
      <c r="HM9" s="65"/>
      <c r="HN9" s="16"/>
      <c r="HO9" s="39"/>
      <c r="HP9" s="65"/>
      <c r="HQ9" s="65"/>
      <c r="HR9" s="65"/>
      <c r="HS9" s="65"/>
      <c r="HT9" s="65"/>
      <c r="HU9" s="65"/>
      <c r="HV9" s="65"/>
      <c r="HW9" s="65"/>
      <c r="HX9" s="65"/>
      <c r="HY9" s="65"/>
      <c r="HZ9" s="65"/>
      <c r="IA9" s="65"/>
      <c r="IB9" s="65"/>
      <c r="IC9" s="65"/>
      <c r="ID9" s="65"/>
      <c r="IE9" s="65"/>
      <c r="IF9" s="65"/>
      <c r="IG9" s="65"/>
      <c r="IH9" s="147"/>
      <c r="II9" s="147"/>
      <c r="IJ9" s="147"/>
      <c r="IK9" s="147"/>
      <c r="IL9" s="147"/>
      <c r="IM9" s="147"/>
      <c r="IN9" s="147"/>
      <c r="IO9" s="148"/>
      <c r="IP9" s="17"/>
      <c r="IQ9" s="65"/>
      <c r="IR9" s="65"/>
      <c r="IS9" s="65"/>
      <c r="IT9" s="65"/>
      <c r="IU9" s="65"/>
      <c r="IV9" s="65"/>
      <c r="IW9" s="65"/>
      <c r="IX9" s="65"/>
      <c r="IY9" s="65"/>
      <c r="IZ9" s="65"/>
      <c r="JA9" s="65"/>
      <c r="JB9" s="65"/>
      <c r="JC9" s="65"/>
      <c r="JD9" s="65"/>
      <c r="JE9" s="65"/>
      <c r="JF9" s="65"/>
      <c r="JG9" s="65"/>
      <c r="JH9" s="65"/>
      <c r="JI9" s="65"/>
      <c r="JJ9" s="65"/>
      <c r="JK9" s="65"/>
      <c r="JL9" s="65"/>
      <c r="JM9" s="65"/>
      <c r="JN9" s="65"/>
      <c r="JO9" s="65"/>
      <c r="JP9" s="16"/>
      <c r="JQ9" s="39"/>
      <c r="JR9" s="65"/>
      <c r="JS9" s="65"/>
      <c r="JT9" s="65"/>
      <c r="JU9" s="65"/>
      <c r="JV9" s="65"/>
      <c r="JW9" s="65"/>
      <c r="JX9" s="65"/>
      <c r="JY9" s="65"/>
      <c r="JZ9" s="65"/>
      <c r="KA9" s="65"/>
      <c r="KB9" s="65"/>
      <c r="KC9" s="65"/>
      <c r="KD9" s="65"/>
      <c r="KE9" s="65"/>
      <c r="KF9" s="65"/>
      <c r="KG9" s="65"/>
      <c r="KH9" s="65"/>
      <c r="KI9" s="65"/>
      <c r="KJ9" s="65"/>
      <c r="KK9" s="65"/>
      <c r="KL9" s="65"/>
      <c r="KM9" s="65"/>
      <c r="KN9" s="65"/>
      <c r="KO9" s="65"/>
      <c r="KP9" s="65"/>
      <c r="KQ9" s="16"/>
    </row>
    <row r="10" spans="1:303" x14ac:dyDescent="0.35">
      <c r="A10" s="86">
        <f>Neu!B10</f>
        <v>0</v>
      </c>
      <c r="B10" s="89"/>
      <c r="C10" s="20"/>
      <c r="D10" s="45"/>
      <c r="E10" s="39"/>
      <c r="F10" s="45"/>
      <c r="G10" s="39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16"/>
      <c r="AH10" s="17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16"/>
      <c r="BI10" s="39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16"/>
      <c r="CJ10" s="39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16"/>
      <c r="DK10" s="39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45"/>
      <c r="EL10" s="39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16"/>
      <c r="FM10" s="17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5"/>
      <c r="GL10" s="65"/>
      <c r="GM10" s="45"/>
      <c r="GN10" s="39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  <c r="HD10" s="65"/>
      <c r="HE10" s="65"/>
      <c r="HF10" s="65"/>
      <c r="HG10" s="65"/>
      <c r="HH10" s="65"/>
      <c r="HI10" s="65"/>
      <c r="HJ10" s="65"/>
      <c r="HK10" s="65"/>
      <c r="HL10" s="65"/>
      <c r="HM10" s="65"/>
      <c r="HN10" s="16"/>
      <c r="HO10" s="39"/>
      <c r="HP10" s="65"/>
      <c r="HQ10" s="65"/>
      <c r="HR10" s="65"/>
      <c r="HS10" s="65"/>
      <c r="HT10" s="65"/>
      <c r="HU10" s="65"/>
      <c r="HV10" s="65"/>
      <c r="HW10" s="65"/>
      <c r="HX10" s="65"/>
      <c r="HY10" s="65"/>
      <c r="HZ10" s="65"/>
      <c r="IA10" s="65"/>
      <c r="IB10" s="65"/>
      <c r="IC10" s="65"/>
      <c r="ID10" s="65"/>
      <c r="IE10" s="65"/>
      <c r="IF10" s="65"/>
      <c r="IG10" s="65"/>
      <c r="IH10" s="65"/>
      <c r="II10" s="65"/>
      <c r="IJ10" s="65"/>
      <c r="IK10" s="65"/>
      <c r="IL10" s="65"/>
      <c r="IM10" s="65"/>
      <c r="IN10" s="65"/>
      <c r="IO10" s="16"/>
      <c r="IP10" s="17"/>
      <c r="IQ10" s="65"/>
      <c r="IR10" s="65"/>
      <c r="IS10" s="65"/>
      <c r="IT10" s="65"/>
      <c r="IU10" s="65"/>
      <c r="IV10" s="65"/>
      <c r="IW10" s="65"/>
      <c r="IX10" s="65"/>
      <c r="IY10" s="65"/>
      <c r="IZ10" s="65"/>
      <c r="JA10" s="65"/>
      <c r="JB10" s="65"/>
      <c r="JC10" s="65"/>
      <c r="JD10" s="65"/>
      <c r="JE10" s="65"/>
      <c r="JF10" s="65"/>
      <c r="JG10" s="65"/>
      <c r="JH10" s="65"/>
      <c r="JI10" s="65"/>
      <c r="JJ10" s="65"/>
      <c r="JK10" s="65"/>
      <c r="JL10" s="65"/>
      <c r="JM10" s="65"/>
      <c r="JN10" s="65"/>
      <c r="JO10" s="65"/>
      <c r="JP10" s="16"/>
      <c r="JQ10" s="39"/>
      <c r="JR10" s="65"/>
      <c r="JS10" s="65"/>
      <c r="JT10" s="65"/>
      <c r="JU10" s="65"/>
      <c r="JV10" s="65"/>
      <c r="JW10" s="65"/>
      <c r="JX10" s="65"/>
      <c r="JY10" s="65"/>
      <c r="JZ10" s="65"/>
      <c r="KA10" s="65"/>
      <c r="KB10" s="65"/>
      <c r="KC10" s="65"/>
      <c r="KD10" s="65"/>
      <c r="KE10" s="65"/>
      <c r="KF10" s="65"/>
      <c r="KG10" s="65"/>
      <c r="KH10" s="65"/>
      <c r="KI10" s="65"/>
      <c r="KJ10" s="65"/>
      <c r="KK10" s="65"/>
      <c r="KL10" s="65"/>
      <c r="KM10" s="65"/>
      <c r="KN10" s="65"/>
      <c r="KO10" s="65"/>
      <c r="KP10" s="65"/>
      <c r="KQ10" s="16"/>
    </row>
    <row r="11" spans="1:303" x14ac:dyDescent="0.35">
      <c r="A11" s="86">
        <f>Neu!B11</f>
        <v>0</v>
      </c>
      <c r="B11" s="89"/>
      <c r="C11" s="20"/>
      <c r="D11" s="45"/>
      <c r="E11" s="39"/>
      <c r="F11" s="45"/>
      <c r="G11" s="39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16"/>
      <c r="AH11" s="17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16"/>
      <c r="BI11" s="39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  <c r="CI11" s="16"/>
      <c r="CJ11" s="39"/>
      <c r="CK11" s="65"/>
      <c r="CL11" s="65"/>
      <c r="CM11" s="65"/>
      <c r="CN11" s="65"/>
      <c r="CO11" s="65"/>
      <c r="CP11" s="65"/>
      <c r="CQ11" s="65"/>
      <c r="CR11" s="65"/>
      <c r="CS11" s="65"/>
      <c r="CT11" s="65"/>
      <c r="CU11" s="65"/>
      <c r="CV11" s="65"/>
      <c r="CW11" s="65"/>
      <c r="CX11" s="65"/>
      <c r="CY11" s="65"/>
      <c r="CZ11" s="65"/>
      <c r="DA11" s="65"/>
      <c r="DB11" s="65"/>
      <c r="DC11" s="65"/>
      <c r="DD11" s="65"/>
      <c r="DE11" s="65"/>
      <c r="DF11" s="65"/>
      <c r="DG11" s="65"/>
      <c r="DH11" s="65"/>
      <c r="DI11" s="65"/>
      <c r="DJ11" s="16"/>
      <c r="DK11" s="39"/>
      <c r="DL11" s="65"/>
      <c r="DM11" s="65"/>
      <c r="DN11" s="65"/>
      <c r="DO11" s="65"/>
      <c r="DP11" s="65"/>
      <c r="DQ11" s="65"/>
      <c r="DR11" s="65"/>
      <c r="DS11" s="65"/>
      <c r="DT11" s="65"/>
      <c r="DU11" s="65"/>
      <c r="DV11" s="65"/>
      <c r="DW11" s="65"/>
      <c r="DX11" s="65"/>
      <c r="DY11" s="65"/>
      <c r="DZ11" s="65"/>
      <c r="EA11" s="65"/>
      <c r="EB11" s="65"/>
      <c r="EC11" s="65"/>
      <c r="ED11" s="65"/>
      <c r="EE11" s="65"/>
      <c r="EF11" s="65"/>
      <c r="EG11" s="65"/>
      <c r="EH11" s="65"/>
      <c r="EI11" s="65"/>
      <c r="EJ11" s="65"/>
      <c r="EK11" s="45"/>
      <c r="EL11" s="39"/>
      <c r="EM11" s="65"/>
      <c r="EN11" s="65"/>
      <c r="EO11" s="65"/>
      <c r="EP11" s="65"/>
      <c r="EQ11" s="65"/>
      <c r="ER11" s="65"/>
      <c r="ES11" s="65"/>
      <c r="ET11" s="65"/>
      <c r="EU11" s="65"/>
      <c r="EV11" s="65"/>
      <c r="EW11" s="65"/>
      <c r="EX11" s="65"/>
      <c r="EY11" s="65"/>
      <c r="EZ11" s="65"/>
      <c r="FA11" s="65"/>
      <c r="FB11" s="65"/>
      <c r="FC11" s="65"/>
      <c r="FD11" s="65"/>
      <c r="FE11" s="65"/>
      <c r="FF11" s="65"/>
      <c r="FG11" s="65"/>
      <c r="FH11" s="65"/>
      <c r="FI11" s="65"/>
      <c r="FJ11" s="65"/>
      <c r="FK11" s="65"/>
      <c r="FL11" s="16"/>
      <c r="FM11" s="17"/>
      <c r="FN11" s="65"/>
      <c r="FO11" s="65"/>
      <c r="FP11" s="65"/>
      <c r="FQ11" s="65"/>
      <c r="FR11" s="65"/>
      <c r="FS11" s="65"/>
      <c r="FT11" s="65"/>
      <c r="FU11" s="65"/>
      <c r="FV11" s="65"/>
      <c r="FW11" s="65"/>
      <c r="FX11" s="65"/>
      <c r="FY11" s="65"/>
      <c r="FZ11" s="65"/>
      <c r="GA11" s="65"/>
      <c r="GB11" s="65"/>
      <c r="GC11" s="65"/>
      <c r="GD11" s="65"/>
      <c r="GE11" s="65"/>
      <c r="GF11" s="65"/>
      <c r="GG11" s="65"/>
      <c r="GH11" s="65"/>
      <c r="GI11" s="65"/>
      <c r="GJ11" s="65"/>
      <c r="GK11" s="65"/>
      <c r="GL11" s="65"/>
      <c r="GM11" s="45"/>
      <c r="GN11" s="39"/>
      <c r="GO11" s="65"/>
      <c r="GP11" s="65"/>
      <c r="GQ11" s="65"/>
      <c r="GR11" s="65"/>
      <c r="GS11" s="65"/>
      <c r="GT11" s="65"/>
      <c r="GU11" s="65"/>
      <c r="GV11" s="65"/>
      <c r="GW11" s="65"/>
      <c r="GX11" s="65"/>
      <c r="GY11" s="65"/>
      <c r="GZ11" s="65"/>
      <c r="HA11" s="65"/>
      <c r="HB11" s="65"/>
      <c r="HC11" s="65"/>
      <c r="HD11" s="65"/>
      <c r="HE11" s="65"/>
      <c r="HF11" s="65"/>
      <c r="HG11" s="65"/>
      <c r="HH11" s="65"/>
      <c r="HI11" s="65"/>
      <c r="HJ11" s="65"/>
      <c r="HK11" s="65"/>
      <c r="HL11" s="65"/>
      <c r="HM11" s="65"/>
      <c r="HN11" s="16"/>
      <c r="HO11" s="39"/>
      <c r="HP11" s="65"/>
      <c r="HQ11" s="65"/>
      <c r="HR11" s="65"/>
      <c r="HS11" s="65"/>
      <c r="HT11" s="65"/>
      <c r="HU11" s="65"/>
      <c r="HV11" s="65"/>
      <c r="HW11" s="65"/>
      <c r="HX11" s="65"/>
      <c r="HY11" s="65"/>
      <c r="HZ11" s="65"/>
      <c r="IA11" s="65"/>
      <c r="IB11" s="65"/>
      <c r="IC11" s="65"/>
      <c r="ID11" s="65"/>
      <c r="IE11" s="65"/>
      <c r="IF11" s="65"/>
      <c r="IG11" s="65"/>
      <c r="IH11" s="65"/>
      <c r="II11" s="65"/>
      <c r="IJ11" s="65"/>
      <c r="IK11" s="65"/>
      <c r="IL11" s="65"/>
      <c r="IM11" s="65"/>
      <c r="IN11" s="65"/>
      <c r="IO11" s="16"/>
      <c r="IP11" s="17"/>
      <c r="IQ11" s="65"/>
      <c r="IR11" s="65"/>
      <c r="IS11" s="65"/>
      <c r="IT11" s="65"/>
      <c r="IU11" s="65"/>
      <c r="IV11" s="65"/>
      <c r="IW11" s="65"/>
      <c r="IX11" s="65"/>
      <c r="IY11" s="65"/>
      <c r="IZ11" s="65"/>
      <c r="JA11" s="65"/>
      <c r="JB11" s="65"/>
      <c r="JC11" s="65"/>
      <c r="JD11" s="65"/>
      <c r="JE11" s="65"/>
      <c r="JF11" s="65"/>
      <c r="JG11" s="65"/>
      <c r="JH11" s="65"/>
      <c r="JI11" s="65"/>
      <c r="JJ11" s="65"/>
      <c r="JK11" s="65"/>
      <c r="JL11" s="65"/>
      <c r="JM11" s="65"/>
      <c r="JN11" s="65"/>
      <c r="JO11" s="65"/>
      <c r="JP11" s="16"/>
      <c r="JQ11" s="39"/>
      <c r="JR11" s="65"/>
      <c r="JS11" s="65"/>
      <c r="JT11" s="65"/>
      <c r="JU11" s="65"/>
      <c r="JV11" s="65"/>
      <c r="JW11" s="65"/>
      <c r="JX11" s="65"/>
      <c r="JY11" s="65"/>
      <c r="JZ11" s="65"/>
      <c r="KA11" s="65"/>
      <c r="KB11" s="65"/>
      <c r="KC11" s="65"/>
      <c r="KD11" s="65"/>
      <c r="KE11" s="65"/>
      <c r="KF11" s="65"/>
      <c r="KG11" s="65"/>
      <c r="KH11" s="65"/>
      <c r="KI11" s="65"/>
      <c r="KJ11" s="65"/>
      <c r="KK11" s="65"/>
      <c r="KL11" s="65"/>
      <c r="KM11" s="65"/>
      <c r="KN11" s="65"/>
      <c r="KO11" s="65"/>
      <c r="KP11" s="65"/>
      <c r="KQ11" s="16"/>
    </row>
    <row r="12" spans="1:303" x14ac:dyDescent="0.35">
      <c r="A12" s="86">
        <f>Neu!B12</f>
        <v>0</v>
      </c>
      <c r="B12" s="89"/>
      <c r="C12" s="20"/>
      <c r="D12" s="45"/>
      <c r="E12" s="39"/>
      <c r="F12" s="45"/>
      <c r="G12" s="39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16"/>
      <c r="AH12" s="17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16"/>
      <c r="BI12" s="39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16"/>
      <c r="CJ12" s="39"/>
      <c r="CK12" s="65"/>
      <c r="CL12" s="65"/>
      <c r="CM12" s="65"/>
      <c r="CN12" s="65"/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16"/>
      <c r="DK12" s="39"/>
      <c r="DL12" s="65"/>
      <c r="DM12" s="65"/>
      <c r="DN12" s="65"/>
      <c r="DO12" s="65"/>
      <c r="DP12" s="65"/>
      <c r="DQ12" s="65"/>
      <c r="DR12" s="65"/>
      <c r="DS12" s="65"/>
      <c r="DT12" s="65"/>
      <c r="DU12" s="65"/>
      <c r="DV12" s="65"/>
      <c r="DW12" s="65"/>
      <c r="DX12" s="65"/>
      <c r="DY12" s="65"/>
      <c r="DZ12" s="65"/>
      <c r="EA12" s="65"/>
      <c r="EB12" s="65"/>
      <c r="EC12" s="65"/>
      <c r="ED12" s="65"/>
      <c r="EE12" s="65"/>
      <c r="EF12" s="65"/>
      <c r="EG12" s="65"/>
      <c r="EH12" s="65"/>
      <c r="EI12" s="65"/>
      <c r="EJ12" s="65"/>
      <c r="EK12" s="45"/>
      <c r="EL12" s="39"/>
      <c r="EM12" s="65"/>
      <c r="EN12" s="65"/>
      <c r="EO12" s="65"/>
      <c r="EP12" s="65"/>
      <c r="EQ12" s="65"/>
      <c r="ER12" s="65"/>
      <c r="ES12" s="65"/>
      <c r="ET12" s="65"/>
      <c r="EU12" s="65"/>
      <c r="EV12" s="65"/>
      <c r="EW12" s="65"/>
      <c r="EX12" s="65"/>
      <c r="EY12" s="65"/>
      <c r="EZ12" s="65"/>
      <c r="FA12" s="65"/>
      <c r="FB12" s="65"/>
      <c r="FC12" s="65"/>
      <c r="FD12" s="65"/>
      <c r="FE12" s="65"/>
      <c r="FF12" s="65"/>
      <c r="FG12" s="65"/>
      <c r="FH12" s="65"/>
      <c r="FI12" s="65"/>
      <c r="FJ12" s="65"/>
      <c r="FK12" s="65"/>
      <c r="FL12" s="16"/>
      <c r="FM12" s="17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45"/>
      <c r="GN12" s="39"/>
      <c r="GO12" s="65"/>
      <c r="GP12" s="65"/>
      <c r="GQ12" s="65"/>
      <c r="GR12" s="65"/>
      <c r="GS12" s="65"/>
      <c r="GT12" s="65"/>
      <c r="GU12" s="65"/>
      <c r="GV12" s="65"/>
      <c r="GW12" s="65"/>
      <c r="GX12" s="65"/>
      <c r="GY12" s="65"/>
      <c r="GZ12" s="65"/>
      <c r="HA12" s="65"/>
      <c r="HB12" s="65"/>
      <c r="HC12" s="65"/>
      <c r="HD12" s="65"/>
      <c r="HE12" s="65"/>
      <c r="HF12" s="65"/>
      <c r="HG12" s="65"/>
      <c r="HH12" s="65"/>
      <c r="HI12" s="65"/>
      <c r="HJ12" s="65"/>
      <c r="HK12" s="65"/>
      <c r="HL12" s="65"/>
      <c r="HM12" s="65"/>
      <c r="HN12" s="16"/>
      <c r="HO12" s="39"/>
      <c r="HP12" s="65"/>
      <c r="HQ12" s="65"/>
      <c r="HR12" s="65"/>
      <c r="HS12" s="65"/>
      <c r="HT12" s="65"/>
      <c r="HU12" s="65"/>
      <c r="HV12" s="65"/>
      <c r="HW12" s="65"/>
      <c r="HX12" s="65"/>
      <c r="HY12" s="65"/>
      <c r="HZ12" s="65"/>
      <c r="IA12" s="65"/>
      <c r="IB12" s="65"/>
      <c r="IC12" s="65"/>
      <c r="ID12" s="65"/>
      <c r="IE12" s="65"/>
      <c r="IF12" s="65"/>
      <c r="IG12" s="65"/>
      <c r="IH12" s="65"/>
      <c r="II12" s="65"/>
      <c r="IJ12" s="65"/>
      <c r="IK12" s="65"/>
      <c r="IL12" s="65"/>
      <c r="IM12" s="65"/>
      <c r="IN12" s="65"/>
      <c r="IO12" s="16"/>
      <c r="IP12" s="17"/>
      <c r="IQ12" s="65"/>
      <c r="IR12" s="65"/>
      <c r="IS12" s="65"/>
      <c r="IT12" s="65"/>
      <c r="IU12" s="65"/>
      <c r="IV12" s="65"/>
      <c r="IW12" s="65"/>
      <c r="IX12" s="65"/>
      <c r="IY12" s="65"/>
      <c r="IZ12" s="65"/>
      <c r="JA12" s="65"/>
      <c r="JB12" s="65"/>
      <c r="JC12" s="65"/>
      <c r="JD12" s="65"/>
      <c r="JE12" s="65"/>
      <c r="JF12" s="65"/>
      <c r="JG12" s="65"/>
      <c r="JH12" s="65"/>
      <c r="JI12" s="65"/>
      <c r="JJ12" s="65"/>
      <c r="JK12" s="65"/>
      <c r="JL12" s="65"/>
      <c r="JM12" s="65"/>
      <c r="JN12" s="65"/>
      <c r="JO12" s="65"/>
      <c r="JP12" s="16"/>
      <c r="JQ12" s="39"/>
      <c r="JR12" s="65"/>
      <c r="JS12" s="65"/>
      <c r="JT12" s="65"/>
      <c r="JU12" s="65"/>
      <c r="JV12" s="65"/>
      <c r="JW12" s="65"/>
      <c r="JX12" s="65"/>
      <c r="JY12" s="65"/>
      <c r="JZ12" s="65"/>
      <c r="KA12" s="65"/>
      <c r="KB12" s="65"/>
      <c r="KC12" s="65"/>
      <c r="KD12" s="65"/>
      <c r="KE12" s="65"/>
      <c r="KF12" s="65"/>
      <c r="KG12" s="65"/>
      <c r="KH12" s="65"/>
      <c r="KI12" s="65"/>
      <c r="KJ12" s="65"/>
      <c r="KK12" s="65"/>
      <c r="KL12" s="65"/>
      <c r="KM12" s="65"/>
      <c r="KN12" s="65"/>
      <c r="KO12" s="65"/>
      <c r="KP12" s="65"/>
      <c r="KQ12" s="16"/>
    </row>
    <row r="13" spans="1:303" x14ac:dyDescent="0.35">
      <c r="A13" s="86">
        <f>Neu!B13</f>
        <v>0</v>
      </c>
      <c r="B13" s="89"/>
      <c r="C13" s="20"/>
      <c r="D13" s="45"/>
      <c r="E13" s="39"/>
      <c r="F13" s="45"/>
      <c r="G13" s="39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16"/>
      <c r="AH13" s="17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16"/>
      <c r="BI13" s="39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16"/>
      <c r="CJ13" s="39"/>
      <c r="CK13" s="65"/>
      <c r="CL13" s="65"/>
      <c r="CM13" s="65"/>
      <c r="CN13" s="65"/>
      <c r="CO13" s="65"/>
      <c r="CP13" s="65"/>
      <c r="CQ13" s="65"/>
      <c r="CR13" s="65"/>
      <c r="CS13" s="65"/>
      <c r="CT13" s="65"/>
      <c r="CU13" s="65"/>
      <c r="CV13" s="65"/>
      <c r="CW13" s="65"/>
      <c r="CX13" s="65"/>
      <c r="CY13" s="65"/>
      <c r="CZ13" s="65"/>
      <c r="DA13" s="65"/>
      <c r="DB13" s="65"/>
      <c r="DC13" s="65"/>
      <c r="DD13" s="65"/>
      <c r="DE13" s="65"/>
      <c r="DF13" s="65"/>
      <c r="DG13" s="65"/>
      <c r="DH13" s="65"/>
      <c r="DI13" s="65"/>
      <c r="DJ13" s="16"/>
      <c r="DK13" s="39"/>
      <c r="DL13" s="65"/>
      <c r="DM13" s="65"/>
      <c r="DN13" s="65"/>
      <c r="DO13" s="65"/>
      <c r="DP13" s="65"/>
      <c r="DQ13" s="65"/>
      <c r="DR13" s="65"/>
      <c r="DS13" s="65"/>
      <c r="DT13" s="65"/>
      <c r="DU13" s="65"/>
      <c r="DV13" s="65"/>
      <c r="DW13" s="65"/>
      <c r="DX13" s="65"/>
      <c r="DY13" s="65"/>
      <c r="DZ13" s="65"/>
      <c r="EA13" s="65"/>
      <c r="EB13" s="65"/>
      <c r="EC13" s="65"/>
      <c r="ED13" s="65"/>
      <c r="EE13" s="65"/>
      <c r="EF13" s="65"/>
      <c r="EG13" s="65"/>
      <c r="EH13" s="65"/>
      <c r="EI13" s="65"/>
      <c r="EJ13" s="65"/>
      <c r="EK13" s="45"/>
      <c r="EL13" s="39"/>
      <c r="EM13" s="65"/>
      <c r="EN13" s="65"/>
      <c r="EO13" s="65"/>
      <c r="EP13" s="65"/>
      <c r="EQ13" s="65"/>
      <c r="ER13" s="65"/>
      <c r="ES13" s="65"/>
      <c r="ET13" s="65"/>
      <c r="EU13" s="65"/>
      <c r="EV13" s="65"/>
      <c r="EW13" s="65"/>
      <c r="EX13" s="65"/>
      <c r="EY13" s="65"/>
      <c r="EZ13" s="65"/>
      <c r="FA13" s="65"/>
      <c r="FB13" s="65"/>
      <c r="FC13" s="65"/>
      <c r="FD13" s="65"/>
      <c r="FE13" s="65"/>
      <c r="FF13" s="65"/>
      <c r="FG13" s="65"/>
      <c r="FH13" s="65"/>
      <c r="FI13" s="65"/>
      <c r="FJ13" s="65"/>
      <c r="FK13" s="65"/>
      <c r="FL13" s="16"/>
      <c r="FM13" s="17"/>
      <c r="FN13" s="65"/>
      <c r="FO13" s="65"/>
      <c r="FP13" s="65"/>
      <c r="FQ13" s="65"/>
      <c r="FR13" s="65"/>
      <c r="FS13" s="65"/>
      <c r="FT13" s="65"/>
      <c r="FU13" s="65"/>
      <c r="FV13" s="65"/>
      <c r="FW13" s="65"/>
      <c r="FX13" s="65"/>
      <c r="FY13" s="65"/>
      <c r="FZ13" s="65"/>
      <c r="GA13" s="65"/>
      <c r="GB13" s="65"/>
      <c r="GC13" s="65"/>
      <c r="GD13" s="65"/>
      <c r="GE13" s="65"/>
      <c r="GF13" s="65"/>
      <c r="GG13" s="65"/>
      <c r="GH13" s="65"/>
      <c r="GI13" s="65"/>
      <c r="GJ13" s="65"/>
      <c r="GK13" s="65"/>
      <c r="GL13" s="65"/>
      <c r="GM13" s="45"/>
      <c r="GN13" s="39"/>
      <c r="GO13" s="65"/>
      <c r="GP13" s="65"/>
      <c r="GQ13" s="65"/>
      <c r="GR13" s="65"/>
      <c r="GS13" s="65"/>
      <c r="GT13" s="65"/>
      <c r="GU13" s="65"/>
      <c r="GV13" s="65"/>
      <c r="GW13" s="65"/>
      <c r="GX13" s="65"/>
      <c r="GY13" s="65"/>
      <c r="GZ13" s="65"/>
      <c r="HA13" s="65"/>
      <c r="HB13" s="65"/>
      <c r="HC13" s="65"/>
      <c r="HD13" s="65"/>
      <c r="HE13" s="65"/>
      <c r="HF13" s="65"/>
      <c r="HG13" s="65"/>
      <c r="HH13" s="65"/>
      <c r="HI13" s="65"/>
      <c r="HJ13" s="65"/>
      <c r="HK13" s="65"/>
      <c r="HL13" s="65"/>
      <c r="HM13" s="65"/>
      <c r="HN13" s="16"/>
      <c r="HO13" s="39"/>
      <c r="HP13" s="65"/>
      <c r="HQ13" s="65"/>
      <c r="HR13" s="65"/>
      <c r="HS13" s="65"/>
      <c r="HT13" s="65"/>
      <c r="HU13" s="65"/>
      <c r="HV13" s="65"/>
      <c r="HW13" s="65"/>
      <c r="HX13" s="65"/>
      <c r="HY13" s="65"/>
      <c r="HZ13" s="65"/>
      <c r="IA13" s="65"/>
      <c r="IB13" s="65"/>
      <c r="IC13" s="65"/>
      <c r="ID13" s="65"/>
      <c r="IE13" s="65"/>
      <c r="IF13" s="65"/>
      <c r="IG13" s="65"/>
      <c r="IH13" s="65"/>
      <c r="II13" s="65"/>
      <c r="IJ13" s="65"/>
      <c r="IK13" s="65"/>
      <c r="IL13" s="65"/>
      <c r="IM13" s="65"/>
      <c r="IN13" s="65"/>
      <c r="IO13" s="16"/>
      <c r="IP13" s="17"/>
      <c r="IQ13" s="65"/>
      <c r="IR13" s="65"/>
      <c r="IS13" s="65"/>
      <c r="IT13" s="65"/>
      <c r="IU13" s="65"/>
      <c r="IV13" s="65"/>
      <c r="IW13" s="65"/>
      <c r="IX13" s="65"/>
      <c r="IY13" s="65"/>
      <c r="IZ13" s="65"/>
      <c r="JA13" s="65"/>
      <c r="JB13" s="65"/>
      <c r="JC13" s="65"/>
      <c r="JD13" s="65"/>
      <c r="JE13" s="65"/>
      <c r="JF13" s="65"/>
      <c r="JG13" s="65"/>
      <c r="JH13" s="65"/>
      <c r="JI13" s="65"/>
      <c r="JJ13" s="65"/>
      <c r="JK13" s="65"/>
      <c r="JL13" s="65"/>
      <c r="JM13" s="65"/>
      <c r="JN13" s="65"/>
      <c r="JO13" s="65"/>
      <c r="JP13" s="16"/>
      <c r="JQ13" s="39"/>
      <c r="JR13" s="65"/>
      <c r="JS13" s="65"/>
      <c r="JT13" s="65"/>
      <c r="JU13" s="65"/>
      <c r="JV13" s="65"/>
      <c r="JW13" s="65"/>
      <c r="JX13" s="65"/>
      <c r="JY13" s="65"/>
      <c r="JZ13" s="65"/>
      <c r="KA13" s="65"/>
      <c r="KB13" s="65"/>
      <c r="KC13" s="65"/>
      <c r="KD13" s="65"/>
      <c r="KE13" s="65"/>
      <c r="KF13" s="65"/>
      <c r="KG13" s="65"/>
      <c r="KH13" s="65"/>
      <c r="KI13" s="65"/>
      <c r="KJ13" s="65"/>
      <c r="KK13" s="65"/>
      <c r="KL13" s="65"/>
      <c r="KM13" s="65"/>
      <c r="KN13" s="65"/>
      <c r="KO13" s="65"/>
      <c r="KP13" s="65"/>
      <c r="KQ13" s="16"/>
    </row>
    <row r="14" spans="1:303" x14ac:dyDescent="0.35">
      <c r="A14" s="86">
        <f>Neu!B14</f>
        <v>0</v>
      </c>
      <c r="B14" s="89"/>
      <c r="C14" s="20"/>
      <c r="D14" s="45"/>
      <c r="E14" s="39"/>
      <c r="F14" s="45"/>
      <c r="G14" s="39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16"/>
      <c r="AH14" s="17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16"/>
      <c r="BI14" s="39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16"/>
      <c r="CJ14" s="39"/>
      <c r="CK14" s="65"/>
      <c r="CL14" s="65"/>
      <c r="CM14" s="65"/>
      <c r="CN14" s="65"/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/>
      <c r="DF14" s="65"/>
      <c r="DG14" s="65"/>
      <c r="DH14" s="65"/>
      <c r="DI14" s="65"/>
      <c r="DJ14" s="16"/>
      <c r="DK14" s="39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5"/>
      <c r="DX14" s="65"/>
      <c r="DY14" s="65"/>
      <c r="DZ14" s="65"/>
      <c r="EA14" s="65"/>
      <c r="EB14" s="65"/>
      <c r="EC14" s="65"/>
      <c r="ED14" s="65"/>
      <c r="EE14" s="65"/>
      <c r="EF14" s="65"/>
      <c r="EG14" s="65"/>
      <c r="EH14" s="65"/>
      <c r="EI14" s="65"/>
      <c r="EJ14" s="65"/>
      <c r="EK14" s="45"/>
      <c r="EL14" s="39"/>
      <c r="EM14" s="65"/>
      <c r="EN14" s="65"/>
      <c r="EO14" s="65"/>
      <c r="EP14" s="65"/>
      <c r="EQ14" s="65"/>
      <c r="ER14" s="65"/>
      <c r="ES14" s="65"/>
      <c r="ET14" s="65"/>
      <c r="EU14" s="65"/>
      <c r="EV14" s="65"/>
      <c r="EW14" s="65"/>
      <c r="EX14" s="65"/>
      <c r="EY14" s="65"/>
      <c r="EZ14" s="65"/>
      <c r="FA14" s="65"/>
      <c r="FB14" s="65"/>
      <c r="FC14" s="65"/>
      <c r="FD14" s="65"/>
      <c r="FE14" s="65"/>
      <c r="FF14" s="65"/>
      <c r="FG14" s="65"/>
      <c r="FH14" s="65"/>
      <c r="FI14" s="65"/>
      <c r="FJ14" s="65"/>
      <c r="FK14" s="65"/>
      <c r="FL14" s="16"/>
      <c r="FM14" s="17"/>
      <c r="FN14" s="65"/>
      <c r="FO14" s="65"/>
      <c r="FP14" s="65"/>
      <c r="FQ14" s="65"/>
      <c r="FR14" s="65"/>
      <c r="FS14" s="65"/>
      <c r="FT14" s="65"/>
      <c r="FU14" s="65"/>
      <c r="FV14" s="65"/>
      <c r="FW14" s="65"/>
      <c r="FX14" s="65"/>
      <c r="FY14" s="65"/>
      <c r="FZ14" s="65"/>
      <c r="GA14" s="65"/>
      <c r="GB14" s="65"/>
      <c r="GC14" s="65"/>
      <c r="GD14" s="65"/>
      <c r="GE14" s="65"/>
      <c r="GF14" s="65"/>
      <c r="GG14" s="65"/>
      <c r="GH14" s="65"/>
      <c r="GI14" s="65"/>
      <c r="GJ14" s="65"/>
      <c r="GK14" s="65"/>
      <c r="GL14" s="65"/>
      <c r="GM14" s="45"/>
      <c r="GN14" s="39"/>
      <c r="GO14" s="65"/>
      <c r="GP14" s="65"/>
      <c r="GQ14" s="65"/>
      <c r="GR14" s="65"/>
      <c r="GS14" s="65"/>
      <c r="GT14" s="65"/>
      <c r="GU14" s="65"/>
      <c r="GV14" s="65"/>
      <c r="GW14" s="65"/>
      <c r="GX14" s="65"/>
      <c r="GY14" s="65"/>
      <c r="GZ14" s="65"/>
      <c r="HA14" s="65"/>
      <c r="HB14" s="65"/>
      <c r="HC14" s="65"/>
      <c r="HD14" s="65"/>
      <c r="HE14" s="65"/>
      <c r="HF14" s="65"/>
      <c r="HG14" s="65"/>
      <c r="HH14" s="65"/>
      <c r="HI14" s="65"/>
      <c r="HJ14" s="65"/>
      <c r="HK14" s="65"/>
      <c r="HL14" s="65"/>
      <c r="HM14" s="65"/>
      <c r="HN14" s="16"/>
      <c r="HO14" s="39"/>
      <c r="HP14" s="65"/>
      <c r="HQ14" s="65"/>
      <c r="HR14" s="65"/>
      <c r="HS14" s="65"/>
      <c r="HT14" s="65"/>
      <c r="HU14" s="65"/>
      <c r="HV14" s="65"/>
      <c r="HW14" s="65"/>
      <c r="HX14" s="65"/>
      <c r="HY14" s="65"/>
      <c r="HZ14" s="65"/>
      <c r="IA14" s="65"/>
      <c r="IB14" s="65"/>
      <c r="IC14" s="65"/>
      <c r="ID14" s="65"/>
      <c r="IE14" s="65"/>
      <c r="IF14" s="65"/>
      <c r="IG14" s="65"/>
      <c r="IH14" s="65"/>
      <c r="II14" s="65"/>
      <c r="IJ14" s="65"/>
      <c r="IK14" s="65"/>
      <c r="IL14" s="65"/>
      <c r="IM14" s="65"/>
      <c r="IN14" s="65"/>
      <c r="IO14" s="16"/>
      <c r="IP14" s="17"/>
      <c r="IQ14" s="65"/>
      <c r="IR14" s="65"/>
      <c r="IS14" s="65"/>
      <c r="IT14" s="65"/>
      <c r="IU14" s="65"/>
      <c r="IV14" s="65"/>
      <c r="IW14" s="65"/>
      <c r="IX14" s="65"/>
      <c r="IY14" s="65"/>
      <c r="IZ14" s="65"/>
      <c r="JA14" s="65"/>
      <c r="JB14" s="65"/>
      <c r="JC14" s="65"/>
      <c r="JD14" s="65"/>
      <c r="JE14" s="65"/>
      <c r="JF14" s="65"/>
      <c r="JG14" s="65"/>
      <c r="JH14" s="65"/>
      <c r="JI14" s="65"/>
      <c r="JJ14" s="65"/>
      <c r="JK14" s="65"/>
      <c r="JL14" s="65"/>
      <c r="JM14" s="65"/>
      <c r="JN14" s="65"/>
      <c r="JO14" s="65"/>
      <c r="JP14" s="16"/>
      <c r="JQ14" s="39"/>
      <c r="JR14" s="65"/>
      <c r="JS14" s="65"/>
      <c r="JT14" s="65"/>
      <c r="JU14" s="65"/>
      <c r="JV14" s="65"/>
      <c r="JW14" s="65"/>
      <c r="JX14" s="65"/>
      <c r="JY14" s="65"/>
      <c r="JZ14" s="65"/>
      <c r="KA14" s="65"/>
      <c r="KB14" s="65"/>
      <c r="KC14" s="65"/>
      <c r="KD14" s="65"/>
      <c r="KE14" s="65"/>
      <c r="KF14" s="65"/>
      <c r="KG14" s="65"/>
      <c r="KH14" s="65"/>
      <c r="KI14" s="65"/>
      <c r="KJ14" s="65"/>
      <c r="KK14" s="65"/>
      <c r="KL14" s="65"/>
      <c r="KM14" s="65"/>
      <c r="KN14" s="65"/>
      <c r="KO14" s="65"/>
      <c r="KP14" s="65"/>
      <c r="KQ14" s="16"/>
    </row>
    <row r="15" spans="1:303" x14ac:dyDescent="0.35">
      <c r="A15" s="86">
        <f>Neu!B15</f>
        <v>0</v>
      </c>
      <c r="B15" s="89"/>
      <c r="C15" s="20"/>
      <c r="D15" s="45"/>
      <c r="E15" s="39"/>
      <c r="F15" s="45"/>
      <c r="G15" s="39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16"/>
      <c r="AH15" s="17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16"/>
      <c r="BI15" s="39"/>
      <c r="BJ15" s="65"/>
      <c r="BK15" s="65"/>
      <c r="BL15" s="65"/>
      <c r="BM15" s="65"/>
      <c r="BN15" s="65"/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5"/>
      <c r="CG15" s="65"/>
      <c r="CH15" s="65"/>
      <c r="CI15" s="16"/>
      <c r="CJ15" s="39"/>
      <c r="CK15" s="65"/>
      <c r="CL15" s="65"/>
      <c r="CM15" s="65"/>
      <c r="CN15" s="65"/>
      <c r="CO15" s="65"/>
      <c r="CP15" s="65"/>
      <c r="CQ15" s="65"/>
      <c r="CR15" s="65"/>
      <c r="CS15" s="65"/>
      <c r="CT15" s="65"/>
      <c r="CU15" s="65"/>
      <c r="CV15" s="65"/>
      <c r="CW15" s="65"/>
      <c r="CX15" s="65"/>
      <c r="CY15" s="65"/>
      <c r="CZ15" s="65"/>
      <c r="DA15" s="65"/>
      <c r="DB15" s="65"/>
      <c r="DC15" s="65"/>
      <c r="DD15" s="65"/>
      <c r="DE15" s="65"/>
      <c r="DF15" s="65"/>
      <c r="DG15" s="65"/>
      <c r="DH15" s="65"/>
      <c r="DI15" s="65"/>
      <c r="DJ15" s="16"/>
      <c r="DK15" s="39"/>
      <c r="DL15" s="65"/>
      <c r="DM15" s="65"/>
      <c r="DN15" s="65"/>
      <c r="DO15" s="65"/>
      <c r="DP15" s="65"/>
      <c r="DQ15" s="65"/>
      <c r="DR15" s="65"/>
      <c r="DS15" s="65"/>
      <c r="DT15" s="65"/>
      <c r="DU15" s="65"/>
      <c r="DV15" s="65"/>
      <c r="DW15" s="65"/>
      <c r="DX15" s="65"/>
      <c r="DY15" s="65"/>
      <c r="DZ15" s="65"/>
      <c r="EA15" s="65"/>
      <c r="EB15" s="65"/>
      <c r="EC15" s="65"/>
      <c r="ED15" s="65"/>
      <c r="EE15" s="65"/>
      <c r="EF15" s="65"/>
      <c r="EG15" s="65"/>
      <c r="EH15" s="65"/>
      <c r="EI15" s="65"/>
      <c r="EJ15" s="65"/>
      <c r="EK15" s="45"/>
      <c r="EL15" s="39"/>
      <c r="EM15" s="65"/>
      <c r="EN15" s="65"/>
      <c r="EO15" s="65"/>
      <c r="EP15" s="65"/>
      <c r="EQ15" s="65"/>
      <c r="ER15" s="65"/>
      <c r="ES15" s="65"/>
      <c r="ET15" s="65"/>
      <c r="EU15" s="65"/>
      <c r="EV15" s="65"/>
      <c r="EW15" s="65"/>
      <c r="EX15" s="65"/>
      <c r="EY15" s="65"/>
      <c r="EZ15" s="65"/>
      <c r="FA15" s="65"/>
      <c r="FB15" s="65"/>
      <c r="FC15" s="65"/>
      <c r="FD15" s="65"/>
      <c r="FE15" s="65"/>
      <c r="FF15" s="65"/>
      <c r="FG15" s="65"/>
      <c r="FH15" s="65"/>
      <c r="FI15" s="65"/>
      <c r="FJ15" s="65"/>
      <c r="FK15" s="65"/>
      <c r="FL15" s="16"/>
      <c r="FM15" s="17"/>
      <c r="FN15" s="65"/>
      <c r="FO15" s="65"/>
      <c r="FP15" s="65"/>
      <c r="FQ15" s="65"/>
      <c r="FR15" s="65"/>
      <c r="FS15" s="65"/>
      <c r="FT15" s="65"/>
      <c r="FU15" s="65"/>
      <c r="FV15" s="65"/>
      <c r="FW15" s="65"/>
      <c r="FX15" s="65"/>
      <c r="FY15" s="65"/>
      <c r="FZ15" s="65"/>
      <c r="GA15" s="65"/>
      <c r="GB15" s="65"/>
      <c r="GC15" s="65"/>
      <c r="GD15" s="65"/>
      <c r="GE15" s="65"/>
      <c r="GF15" s="65"/>
      <c r="GG15" s="65"/>
      <c r="GH15" s="65"/>
      <c r="GI15" s="65"/>
      <c r="GJ15" s="65"/>
      <c r="GK15" s="65"/>
      <c r="GL15" s="65"/>
      <c r="GM15" s="45"/>
      <c r="GN15" s="39"/>
      <c r="GO15" s="65"/>
      <c r="GP15" s="65"/>
      <c r="GQ15" s="65"/>
      <c r="GR15" s="65"/>
      <c r="GS15" s="65"/>
      <c r="GT15" s="65"/>
      <c r="GU15" s="65"/>
      <c r="GV15" s="65"/>
      <c r="GW15" s="65"/>
      <c r="GX15" s="65"/>
      <c r="GY15" s="65"/>
      <c r="GZ15" s="65"/>
      <c r="HA15" s="65"/>
      <c r="HB15" s="65"/>
      <c r="HC15" s="65"/>
      <c r="HD15" s="65"/>
      <c r="HE15" s="65"/>
      <c r="HF15" s="65"/>
      <c r="HG15" s="65"/>
      <c r="HH15" s="65"/>
      <c r="HI15" s="65"/>
      <c r="HJ15" s="65"/>
      <c r="HK15" s="65"/>
      <c r="HL15" s="65"/>
      <c r="HM15" s="65"/>
      <c r="HN15" s="16"/>
      <c r="HO15" s="39"/>
      <c r="HP15" s="65"/>
      <c r="HQ15" s="65"/>
      <c r="HR15" s="65"/>
      <c r="HS15" s="65"/>
      <c r="HT15" s="65"/>
      <c r="HU15" s="65"/>
      <c r="HV15" s="65"/>
      <c r="HW15" s="65"/>
      <c r="HX15" s="65"/>
      <c r="HY15" s="65"/>
      <c r="HZ15" s="65"/>
      <c r="IA15" s="65"/>
      <c r="IB15" s="65"/>
      <c r="IC15" s="65"/>
      <c r="ID15" s="65"/>
      <c r="IE15" s="65"/>
      <c r="IF15" s="65"/>
      <c r="IG15" s="65"/>
      <c r="IH15" s="65"/>
      <c r="II15" s="65"/>
      <c r="IJ15" s="65"/>
      <c r="IK15" s="65"/>
      <c r="IL15" s="65"/>
      <c r="IM15" s="65"/>
      <c r="IN15" s="65"/>
      <c r="IO15" s="16"/>
      <c r="IP15" s="17"/>
      <c r="IQ15" s="65"/>
      <c r="IR15" s="65"/>
      <c r="IS15" s="65"/>
      <c r="IT15" s="65"/>
      <c r="IU15" s="65"/>
      <c r="IV15" s="65"/>
      <c r="IW15" s="65"/>
      <c r="IX15" s="65"/>
      <c r="IY15" s="65"/>
      <c r="IZ15" s="65"/>
      <c r="JA15" s="65"/>
      <c r="JB15" s="65"/>
      <c r="JC15" s="65"/>
      <c r="JD15" s="65"/>
      <c r="JE15" s="65"/>
      <c r="JF15" s="65"/>
      <c r="JG15" s="65"/>
      <c r="JH15" s="65"/>
      <c r="JI15" s="65"/>
      <c r="JJ15" s="65"/>
      <c r="JK15" s="65"/>
      <c r="JL15" s="65"/>
      <c r="JM15" s="65"/>
      <c r="JN15" s="65"/>
      <c r="JO15" s="65"/>
      <c r="JP15" s="16"/>
      <c r="JQ15" s="39"/>
      <c r="JR15" s="65"/>
      <c r="JS15" s="65"/>
      <c r="JT15" s="65"/>
      <c r="JU15" s="65"/>
      <c r="JV15" s="65"/>
      <c r="JW15" s="65"/>
      <c r="JX15" s="65"/>
      <c r="JY15" s="65"/>
      <c r="JZ15" s="65"/>
      <c r="KA15" s="65"/>
      <c r="KB15" s="65"/>
      <c r="KC15" s="65"/>
      <c r="KD15" s="65"/>
      <c r="KE15" s="65"/>
      <c r="KF15" s="65"/>
      <c r="KG15" s="65"/>
      <c r="KH15" s="65"/>
      <c r="KI15" s="65"/>
      <c r="KJ15" s="65"/>
      <c r="KK15" s="65"/>
      <c r="KL15" s="65"/>
      <c r="KM15" s="65"/>
      <c r="KN15" s="65"/>
      <c r="KO15" s="65"/>
      <c r="KP15" s="65"/>
      <c r="KQ15" s="16"/>
    </row>
    <row r="16" spans="1:303" x14ac:dyDescent="0.35">
      <c r="A16" s="86">
        <f>Neu!B16</f>
        <v>0</v>
      </c>
      <c r="B16" s="89"/>
      <c r="C16" s="20"/>
      <c r="D16" s="45"/>
      <c r="E16" s="39"/>
      <c r="F16" s="45"/>
      <c r="G16" s="39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16"/>
      <c r="AH16" s="17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16"/>
      <c r="BI16" s="39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16"/>
      <c r="CJ16" s="39"/>
      <c r="CK16" s="65"/>
      <c r="CL16" s="65"/>
      <c r="CM16" s="65"/>
      <c r="CN16" s="65"/>
      <c r="CO16" s="65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5"/>
      <c r="DA16" s="65"/>
      <c r="DB16" s="65"/>
      <c r="DC16" s="65"/>
      <c r="DD16" s="65"/>
      <c r="DE16" s="65"/>
      <c r="DF16" s="65"/>
      <c r="DG16" s="65"/>
      <c r="DH16" s="65"/>
      <c r="DI16" s="65"/>
      <c r="DJ16" s="16"/>
      <c r="DK16" s="39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5"/>
      <c r="DX16" s="65"/>
      <c r="DY16" s="65"/>
      <c r="DZ16" s="65"/>
      <c r="EA16" s="65"/>
      <c r="EB16" s="65"/>
      <c r="EC16" s="65"/>
      <c r="ED16" s="65"/>
      <c r="EE16" s="65"/>
      <c r="EF16" s="65"/>
      <c r="EG16" s="65"/>
      <c r="EH16" s="65"/>
      <c r="EI16" s="65"/>
      <c r="EJ16" s="65"/>
      <c r="EK16" s="45"/>
      <c r="EL16" s="39"/>
      <c r="EM16" s="65"/>
      <c r="EN16" s="65"/>
      <c r="EO16" s="65"/>
      <c r="EP16" s="65"/>
      <c r="EQ16" s="65"/>
      <c r="ER16" s="65"/>
      <c r="ES16" s="65"/>
      <c r="ET16" s="65"/>
      <c r="EU16" s="65"/>
      <c r="EV16" s="65"/>
      <c r="EW16" s="65"/>
      <c r="EX16" s="65"/>
      <c r="EY16" s="65"/>
      <c r="EZ16" s="65"/>
      <c r="FA16" s="65"/>
      <c r="FB16" s="65"/>
      <c r="FC16" s="65"/>
      <c r="FD16" s="65"/>
      <c r="FE16" s="65"/>
      <c r="FF16" s="65"/>
      <c r="FG16" s="65"/>
      <c r="FH16" s="65"/>
      <c r="FI16" s="65"/>
      <c r="FJ16" s="65"/>
      <c r="FK16" s="65"/>
      <c r="FL16" s="16"/>
      <c r="FM16" s="17"/>
      <c r="FN16" s="65"/>
      <c r="FO16" s="65"/>
      <c r="FP16" s="65"/>
      <c r="FQ16" s="65"/>
      <c r="FR16" s="65"/>
      <c r="FS16" s="65"/>
      <c r="FT16" s="65"/>
      <c r="FU16" s="65"/>
      <c r="FV16" s="65"/>
      <c r="FW16" s="65"/>
      <c r="FX16" s="65"/>
      <c r="FY16" s="65"/>
      <c r="FZ16" s="65"/>
      <c r="GA16" s="65"/>
      <c r="GB16" s="65"/>
      <c r="GC16" s="65"/>
      <c r="GD16" s="65"/>
      <c r="GE16" s="65"/>
      <c r="GF16" s="65"/>
      <c r="GG16" s="65"/>
      <c r="GH16" s="65"/>
      <c r="GI16" s="65"/>
      <c r="GJ16" s="65"/>
      <c r="GK16" s="65"/>
      <c r="GL16" s="65"/>
      <c r="GM16" s="45"/>
      <c r="GN16" s="39"/>
      <c r="GO16" s="65"/>
      <c r="GP16" s="65"/>
      <c r="GQ16" s="65"/>
      <c r="GR16" s="65"/>
      <c r="GS16" s="65"/>
      <c r="GT16" s="65"/>
      <c r="GU16" s="65"/>
      <c r="GV16" s="65"/>
      <c r="GW16" s="65"/>
      <c r="GX16" s="65"/>
      <c r="GY16" s="65"/>
      <c r="GZ16" s="65"/>
      <c r="HA16" s="65"/>
      <c r="HB16" s="65"/>
      <c r="HC16" s="65"/>
      <c r="HD16" s="65"/>
      <c r="HE16" s="65"/>
      <c r="HF16" s="65"/>
      <c r="HG16" s="65"/>
      <c r="HH16" s="65"/>
      <c r="HI16" s="65"/>
      <c r="HJ16" s="65"/>
      <c r="HK16" s="65"/>
      <c r="HL16" s="65"/>
      <c r="HM16" s="65"/>
      <c r="HN16" s="16"/>
      <c r="HO16" s="39"/>
      <c r="HP16" s="65"/>
      <c r="HQ16" s="65"/>
      <c r="HR16" s="65"/>
      <c r="HS16" s="65"/>
      <c r="HT16" s="65"/>
      <c r="HU16" s="65"/>
      <c r="HV16" s="65"/>
      <c r="HW16" s="65"/>
      <c r="HX16" s="65"/>
      <c r="HY16" s="65"/>
      <c r="HZ16" s="65"/>
      <c r="IA16" s="65"/>
      <c r="IB16" s="65"/>
      <c r="IC16" s="65"/>
      <c r="ID16" s="65"/>
      <c r="IE16" s="65"/>
      <c r="IF16" s="65"/>
      <c r="IG16" s="65"/>
      <c r="IH16" s="65"/>
      <c r="II16" s="65"/>
      <c r="IJ16" s="65"/>
      <c r="IK16" s="65"/>
      <c r="IL16" s="65"/>
      <c r="IM16" s="65"/>
      <c r="IN16" s="65"/>
      <c r="IO16" s="16"/>
      <c r="IP16" s="17"/>
      <c r="IQ16" s="65"/>
      <c r="IR16" s="65"/>
      <c r="IS16" s="65"/>
      <c r="IT16" s="65"/>
      <c r="IU16" s="65"/>
      <c r="IV16" s="65"/>
      <c r="IW16" s="65"/>
      <c r="IX16" s="65"/>
      <c r="IY16" s="65"/>
      <c r="IZ16" s="65"/>
      <c r="JA16" s="65"/>
      <c r="JB16" s="65"/>
      <c r="JC16" s="65"/>
      <c r="JD16" s="65"/>
      <c r="JE16" s="65"/>
      <c r="JF16" s="65"/>
      <c r="JG16" s="65"/>
      <c r="JH16" s="65"/>
      <c r="JI16" s="65"/>
      <c r="JJ16" s="65"/>
      <c r="JK16" s="65"/>
      <c r="JL16" s="65"/>
      <c r="JM16" s="65"/>
      <c r="JN16" s="65"/>
      <c r="JO16" s="65"/>
      <c r="JP16" s="16"/>
      <c r="JQ16" s="39"/>
      <c r="JR16" s="65"/>
      <c r="JS16" s="65"/>
      <c r="JT16" s="65"/>
      <c r="JU16" s="65"/>
      <c r="JV16" s="65"/>
      <c r="JW16" s="65"/>
      <c r="JX16" s="65"/>
      <c r="JY16" s="65"/>
      <c r="JZ16" s="65"/>
      <c r="KA16" s="65"/>
      <c r="KB16" s="65"/>
      <c r="KC16" s="65"/>
      <c r="KD16" s="65"/>
      <c r="KE16" s="65"/>
      <c r="KF16" s="65"/>
      <c r="KG16" s="65"/>
      <c r="KH16" s="65"/>
      <c r="KI16" s="65"/>
      <c r="KJ16" s="65"/>
      <c r="KK16" s="65"/>
      <c r="KL16" s="65"/>
      <c r="KM16" s="65"/>
      <c r="KN16" s="65"/>
      <c r="KO16" s="65"/>
      <c r="KP16" s="65"/>
      <c r="KQ16" s="16"/>
    </row>
    <row r="17" spans="1:303" x14ac:dyDescent="0.35">
      <c r="A17" s="86">
        <f>Neu!B17</f>
        <v>0</v>
      </c>
      <c r="B17" s="89"/>
      <c r="C17" s="20"/>
      <c r="D17" s="45"/>
      <c r="E17" s="39"/>
      <c r="F17" s="45"/>
      <c r="G17" s="39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16"/>
      <c r="AH17" s="17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16"/>
      <c r="BI17" s="39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16"/>
      <c r="CJ17" s="39"/>
      <c r="CK17" s="65"/>
      <c r="CL17" s="65"/>
      <c r="CM17" s="65"/>
      <c r="CN17" s="65"/>
      <c r="CO17" s="65"/>
      <c r="CP17" s="65"/>
      <c r="CQ17" s="65"/>
      <c r="CR17" s="65"/>
      <c r="CS17" s="65"/>
      <c r="CT17" s="65"/>
      <c r="CU17" s="65"/>
      <c r="CV17" s="65"/>
      <c r="CW17" s="65"/>
      <c r="CX17" s="65"/>
      <c r="CY17" s="65"/>
      <c r="CZ17" s="65"/>
      <c r="DA17" s="65"/>
      <c r="DB17" s="65"/>
      <c r="DC17" s="65"/>
      <c r="DD17" s="65"/>
      <c r="DE17" s="65"/>
      <c r="DF17" s="65"/>
      <c r="DG17" s="65"/>
      <c r="DH17" s="65"/>
      <c r="DI17" s="65"/>
      <c r="DJ17" s="16"/>
      <c r="DK17" s="39"/>
      <c r="DL17" s="65"/>
      <c r="DM17" s="65"/>
      <c r="DN17" s="65"/>
      <c r="DO17" s="65"/>
      <c r="DP17" s="65"/>
      <c r="DQ17" s="65"/>
      <c r="DR17" s="65"/>
      <c r="DS17" s="65"/>
      <c r="DT17" s="65"/>
      <c r="DU17" s="65"/>
      <c r="DV17" s="65"/>
      <c r="DW17" s="65"/>
      <c r="DX17" s="65"/>
      <c r="DY17" s="65"/>
      <c r="DZ17" s="65"/>
      <c r="EA17" s="65"/>
      <c r="EB17" s="65"/>
      <c r="EC17" s="65"/>
      <c r="ED17" s="65"/>
      <c r="EE17" s="65"/>
      <c r="EF17" s="65"/>
      <c r="EG17" s="65"/>
      <c r="EH17" s="65"/>
      <c r="EI17" s="65"/>
      <c r="EJ17" s="65"/>
      <c r="EK17" s="45"/>
      <c r="EL17" s="39"/>
      <c r="EM17" s="65"/>
      <c r="EN17" s="65"/>
      <c r="EO17" s="65"/>
      <c r="EP17" s="65"/>
      <c r="EQ17" s="65"/>
      <c r="ER17" s="65"/>
      <c r="ES17" s="65"/>
      <c r="ET17" s="65"/>
      <c r="EU17" s="65"/>
      <c r="EV17" s="65"/>
      <c r="EW17" s="65"/>
      <c r="EX17" s="65"/>
      <c r="EY17" s="65"/>
      <c r="EZ17" s="65"/>
      <c r="FA17" s="65"/>
      <c r="FB17" s="65"/>
      <c r="FC17" s="65"/>
      <c r="FD17" s="65"/>
      <c r="FE17" s="65"/>
      <c r="FF17" s="65"/>
      <c r="FG17" s="65"/>
      <c r="FH17" s="65"/>
      <c r="FI17" s="65"/>
      <c r="FJ17" s="65"/>
      <c r="FK17" s="65"/>
      <c r="FL17" s="16"/>
      <c r="FM17" s="17"/>
      <c r="FN17" s="65"/>
      <c r="FO17" s="65"/>
      <c r="FP17" s="65"/>
      <c r="FQ17" s="65"/>
      <c r="FR17" s="65"/>
      <c r="FS17" s="65"/>
      <c r="FT17" s="65"/>
      <c r="FU17" s="65"/>
      <c r="FV17" s="65"/>
      <c r="FW17" s="65"/>
      <c r="FX17" s="65"/>
      <c r="FY17" s="65"/>
      <c r="FZ17" s="65"/>
      <c r="GA17" s="65"/>
      <c r="GB17" s="65"/>
      <c r="GC17" s="65"/>
      <c r="GD17" s="65"/>
      <c r="GE17" s="65"/>
      <c r="GF17" s="65"/>
      <c r="GG17" s="65"/>
      <c r="GH17" s="65"/>
      <c r="GI17" s="65"/>
      <c r="GJ17" s="65"/>
      <c r="GK17" s="65"/>
      <c r="GL17" s="65"/>
      <c r="GM17" s="45"/>
      <c r="GN17" s="39"/>
      <c r="GO17" s="65"/>
      <c r="GP17" s="65"/>
      <c r="GQ17" s="65"/>
      <c r="GR17" s="65"/>
      <c r="GS17" s="65"/>
      <c r="GT17" s="65"/>
      <c r="GU17" s="65"/>
      <c r="GV17" s="65"/>
      <c r="GW17" s="65"/>
      <c r="GX17" s="65"/>
      <c r="GY17" s="65"/>
      <c r="GZ17" s="65"/>
      <c r="HA17" s="65"/>
      <c r="HB17" s="65"/>
      <c r="HC17" s="65"/>
      <c r="HD17" s="65"/>
      <c r="HE17" s="65"/>
      <c r="HF17" s="65"/>
      <c r="HG17" s="65"/>
      <c r="HH17" s="65"/>
      <c r="HI17" s="65"/>
      <c r="HJ17" s="65"/>
      <c r="HK17" s="65"/>
      <c r="HL17" s="65"/>
      <c r="HM17" s="65"/>
      <c r="HN17" s="16"/>
      <c r="HO17" s="39"/>
      <c r="HP17" s="65"/>
      <c r="HQ17" s="65"/>
      <c r="HR17" s="65"/>
      <c r="HS17" s="65"/>
      <c r="HT17" s="65"/>
      <c r="HU17" s="65"/>
      <c r="HV17" s="65"/>
      <c r="HW17" s="65"/>
      <c r="HX17" s="65"/>
      <c r="HY17" s="65"/>
      <c r="HZ17" s="65"/>
      <c r="IA17" s="65"/>
      <c r="IB17" s="65"/>
      <c r="IC17" s="65"/>
      <c r="ID17" s="65"/>
      <c r="IE17" s="65"/>
      <c r="IF17" s="65"/>
      <c r="IG17" s="65"/>
      <c r="IH17" s="65"/>
      <c r="II17" s="65"/>
      <c r="IJ17" s="65"/>
      <c r="IK17" s="65"/>
      <c r="IL17" s="65"/>
      <c r="IM17" s="65"/>
      <c r="IN17" s="65"/>
      <c r="IO17" s="16"/>
      <c r="IP17" s="17"/>
      <c r="IQ17" s="65"/>
      <c r="IR17" s="65"/>
      <c r="IS17" s="65"/>
      <c r="IT17" s="65"/>
      <c r="IU17" s="65"/>
      <c r="IV17" s="65"/>
      <c r="IW17" s="65"/>
      <c r="IX17" s="65"/>
      <c r="IY17" s="65"/>
      <c r="IZ17" s="65"/>
      <c r="JA17" s="65"/>
      <c r="JB17" s="65"/>
      <c r="JC17" s="65"/>
      <c r="JD17" s="65"/>
      <c r="JE17" s="65"/>
      <c r="JF17" s="65"/>
      <c r="JG17" s="65"/>
      <c r="JH17" s="65"/>
      <c r="JI17" s="65"/>
      <c r="JJ17" s="65"/>
      <c r="JK17" s="65"/>
      <c r="JL17" s="65"/>
      <c r="JM17" s="65"/>
      <c r="JN17" s="65"/>
      <c r="JO17" s="65"/>
      <c r="JP17" s="16"/>
      <c r="JQ17" s="39"/>
      <c r="JR17" s="65"/>
      <c r="JS17" s="65"/>
      <c r="JT17" s="65"/>
      <c r="JU17" s="65"/>
      <c r="JV17" s="65"/>
      <c r="JW17" s="65"/>
      <c r="JX17" s="65"/>
      <c r="JY17" s="65"/>
      <c r="JZ17" s="65"/>
      <c r="KA17" s="65"/>
      <c r="KB17" s="65"/>
      <c r="KC17" s="65"/>
      <c r="KD17" s="65"/>
      <c r="KE17" s="65"/>
      <c r="KF17" s="65"/>
      <c r="KG17" s="65"/>
      <c r="KH17" s="65"/>
      <c r="KI17" s="65"/>
      <c r="KJ17" s="65"/>
      <c r="KK17" s="65"/>
      <c r="KL17" s="65"/>
      <c r="KM17" s="65"/>
      <c r="KN17" s="65"/>
      <c r="KO17" s="65"/>
      <c r="KP17" s="65"/>
      <c r="KQ17" s="16"/>
    </row>
    <row r="18" spans="1:303" x14ac:dyDescent="0.35">
      <c r="A18" s="86">
        <f>Neu!B18</f>
        <v>0</v>
      </c>
      <c r="B18" s="89"/>
      <c r="C18" s="20"/>
      <c r="D18" s="45"/>
      <c r="E18" s="39"/>
      <c r="F18" s="45"/>
      <c r="G18" s="39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16"/>
      <c r="AH18" s="17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16"/>
      <c r="BI18" s="39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16"/>
      <c r="CJ18" s="39"/>
      <c r="CK18" s="65"/>
      <c r="CL18" s="65"/>
      <c r="CM18" s="65"/>
      <c r="CN18" s="65"/>
      <c r="CO18" s="65"/>
      <c r="CP18" s="65"/>
      <c r="CQ18" s="65"/>
      <c r="CR18" s="65"/>
      <c r="CS18" s="65"/>
      <c r="CT18" s="65"/>
      <c r="CU18" s="65"/>
      <c r="CV18" s="65"/>
      <c r="CW18" s="65"/>
      <c r="CX18" s="65"/>
      <c r="CY18" s="65"/>
      <c r="CZ18" s="65"/>
      <c r="DA18" s="65"/>
      <c r="DB18" s="65"/>
      <c r="DC18" s="65"/>
      <c r="DD18" s="65"/>
      <c r="DE18" s="65"/>
      <c r="DF18" s="65"/>
      <c r="DG18" s="65"/>
      <c r="DH18" s="65"/>
      <c r="DI18" s="65"/>
      <c r="DJ18" s="16"/>
      <c r="DK18" s="39"/>
      <c r="DL18" s="65"/>
      <c r="DM18" s="65"/>
      <c r="DN18" s="65"/>
      <c r="DO18" s="65"/>
      <c r="DP18" s="65"/>
      <c r="DQ18" s="65"/>
      <c r="DR18" s="65"/>
      <c r="DS18" s="65"/>
      <c r="DT18" s="65"/>
      <c r="DU18" s="65"/>
      <c r="DV18" s="65"/>
      <c r="DW18" s="65"/>
      <c r="DX18" s="65"/>
      <c r="DY18" s="65"/>
      <c r="DZ18" s="65"/>
      <c r="EA18" s="65"/>
      <c r="EB18" s="65"/>
      <c r="EC18" s="65"/>
      <c r="ED18" s="65"/>
      <c r="EE18" s="65"/>
      <c r="EF18" s="65"/>
      <c r="EG18" s="65"/>
      <c r="EH18" s="65"/>
      <c r="EI18" s="65"/>
      <c r="EJ18" s="65"/>
      <c r="EK18" s="45"/>
      <c r="EL18" s="39"/>
      <c r="EM18" s="65"/>
      <c r="EN18" s="65"/>
      <c r="EO18" s="65"/>
      <c r="EP18" s="65"/>
      <c r="EQ18" s="65"/>
      <c r="ER18" s="65"/>
      <c r="ES18" s="65"/>
      <c r="ET18" s="65"/>
      <c r="EU18" s="65"/>
      <c r="EV18" s="65"/>
      <c r="EW18" s="65"/>
      <c r="EX18" s="65"/>
      <c r="EY18" s="65"/>
      <c r="EZ18" s="65"/>
      <c r="FA18" s="65"/>
      <c r="FB18" s="65"/>
      <c r="FC18" s="65"/>
      <c r="FD18" s="65"/>
      <c r="FE18" s="65"/>
      <c r="FF18" s="65"/>
      <c r="FG18" s="65"/>
      <c r="FH18" s="65"/>
      <c r="FI18" s="65"/>
      <c r="FJ18" s="65"/>
      <c r="FK18" s="65"/>
      <c r="FL18" s="16"/>
      <c r="FM18" s="17"/>
      <c r="FN18" s="65"/>
      <c r="FO18" s="65"/>
      <c r="FP18" s="65"/>
      <c r="FQ18" s="65"/>
      <c r="FR18" s="65"/>
      <c r="FS18" s="65"/>
      <c r="FT18" s="65"/>
      <c r="FU18" s="65"/>
      <c r="FV18" s="65"/>
      <c r="FW18" s="65"/>
      <c r="FX18" s="65"/>
      <c r="FY18" s="65"/>
      <c r="FZ18" s="65"/>
      <c r="GA18" s="65"/>
      <c r="GB18" s="65"/>
      <c r="GC18" s="65"/>
      <c r="GD18" s="65"/>
      <c r="GE18" s="65"/>
      <c r="GF18" s="65"/>
      <c r="GG18" s="65"/>
      <c r="GH18" s="65"/>
      <c r="GI18" s="65"/>
      <c r="GJ18" s="65"/>
      <c r="GK18" s="65"/>
      <c r="GL18" s="65"/>
      <c r="GM18" s="45"/>
      <c r="GN18" s="39"/>
      <c r="GO18" s="65"/>
      <c r="GP18" s="65"/>
      <c r="GQ18" s="65"/>
      <c r="GR18" s="65"/>
      <c r="GS18" s="65"/>
      <c r="GT18" s="65"/>
      <c r="GU18" s="65"/>
      <c r="GV18" s="65"/>
      <c r="GW18" s="65"/>
      <c r="GX18" s="65"/>
      <c r="GY18" s="65"/>
      <c r="GZ18" s="65"/>
      <c r="HA18" s="65"/>
      <c r="HB18" s="65"/>
      <c r="HC18" s="65"/>
      <c r="HD18" s="65"/>
      <c r="HE18" s="65"/>
      <c r="HF18" s="65"/>
      <c r="HG18" s="65"/>
      <c r="HH18" s="65"/>
      <c r="HI18" s="65"/>
      <c r="HJ18" s="65"/>
      <c r="HK18" s="65"/>
      <c r="HL18" s="65"/>
      <c r="HM18" s="65"/>
      <c r="HN18" s="16"/>
      <c r="HO18" s="39"/>
      <c r="HP18" s="65"/>
      <c r="HQ18" s="65"/>
      <c r="HR18" s="65"/>
      <c r="HS18" s="65"/>
      <c r="HT18" s="65"/>
      <c r="HU18" s="65"/>
      <c r="HV18" s="65"/>
      <c r="HW18" s="65"/>
      <c r="HX18" s="65"/>
      <c r="HY18" s="65"/>
      <c r="HZ18" s="65"/>
      <c r="IA18" s="65"/>
      <c r="IB18" s="65"/>
      <c r="IC18" s="65"/>
      <c r="ID18" s="65"/>
      <c r="IE18" s="65"/>
      <c r="IF18" s="65"/>
      <c r="IG18" s="65"/>
      <c r="IH18" s="65"/>
      <c r="II18" s="65"/>
      <c r="IJ18" s="65"/>
      <c r="IK18" s="65"/>
      <c r="IL18" s="65"/>
      <c r="IM18" s="65"/>
      <c r="IN18" s="65"/>
      <c r="IO18" s="16"/>
      <c r="IP18" s="17"/>
      <c r="IQ18" s="65"/>
      <c r="IR18" s="65"/>
      <c r="IS18" s="65"/>
      <c r="IT18" s="65"/>
      <c r="IU18" s="65"/>
      <c r="IV18" s="65"/>
      <c r="IW18" s="65"/>
      <c r="IX18" s="65"/>
      <c r="IY18" s="65"/>
      <c r="IZ18" s="65"/>
      <c r="JA18" s="65"/>
      <c r="JB18" s="65"/>
      <c r="JC18" s="65"/>
      <c r="JD18" s="65"/>
      <c r="JE18" s="65"/>
      <c r="JF18" s="65"/>
      <c r="JG18" s="65"/>
      <c r="JH18" s="65"/>
      <c r="JI18" s="65"/>
      <c r="JJ18" s="65"/>
      <c r="JK18" s="65"/>
      <c r="JL18" s="65"/>
      <c r="JM18" s="65"/>
      <c r="JN18" s="65"/>
      <c r="JO18" s="65"/>
      <c r="JP18" s="16"/>
      <c r="JQ18" s="39"/>
      <c r="JR18" s="65"/>
      <c r="JS18" s="65"/>
      <c r="JT18" s="65"/>
      <c r="JU18" s="65"/>
      <c r="JV18" s="65"/>
      <c r="JW18" s="65"/>
      <c r="JX18" s="65"/>
      <c r="JY18" s="65"/>
      <c r="JZ18" s="65"/>
      <c r="KA18" s="65"/>
      <c r="KB18" s="65"/>
      <c r="KC18" s="65"/>
      <c r="KD18" s="65"/>
      <c r="KE18" s="65"/>
      <c r="KF18" s="65"/>
      <c r="KG18" s="65"/>
      <c r="KH18" s="65"/>
      <c r="KI18" s="65"/>
      <c r="KJ18" s="65"/>
      <c r="KK18" s="65"/>
      <c r="KL18" s="65"/>
      <c r="KM18" s="65"/>
      <c r="KN18" s="65"/>
      <c r="KO18" s="65"/>
      <c r="KP18" s="65"/>
      <c r="KQ18" s="16"/>
    </row>
    <row r="19" spans="1:303" x14ac:dyDescent="0.35">
      <c r="A19" s="86">
        <f>Neu!B19</f>
        <v>0</v>
      </c>
      <c r="B19" s="89"/>
      <c r="C19" s="20"/>
      <c r="D19" s="45"/>
      <c r="E19" s="39"/>
      <c r="F19" s="45"/>
      <c r="G19" s="39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16"/>
      <c r="AH19" s="17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16"/>
      <c r="BI19" s="39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  <c r="CI19" s="16"/>
      <c r="CJ19" s="39"/>
      <c r="CK19" s="65"/>
      <c r="CL19" s="65"/>
      <c r="CM19" s="65"/>
      <c r="CN19" s="65"/>
      <c r="CO19" s="65"/>
      <c r="CP19" s="65"/>
      <c r="CQ19" s="65"/>
      <c r="CR19" s="65"/>
      <c r="CS19" s="65"/>
      <c r="CT19" s="65"/>
      <c r="CU19" s="65"/>
      <c r="CV19" s="65"/>
      <c r="CW19" s="65"/>
      <c r="CX19" s="65"/>
      <c r="CY19" s="65"/>
      <c r="CZ19" s="65"/>
      <c r="DA19" s="65"/>
      <c r="DB19" s="65"/>
      <c r="DC19" s="65"/>
      <c r="DD19" s="65"/>
      <c r="DE19" s="65"/>
      <c r="DF19" s="65"/>
      <c r="DG19" s="65"/>
      <c r="DH19" s="65"/>
      <c r="DI19" s="65"/>
      <c r="DJ19" s="16"/>
      <c r="DK19" s="39"/>
      <c r="DL19" s="65"/>
      <c r="DM19" s="65"/>
      <c r="DN19" s="65"/>
      <c r="DO19" s="65"/>
      <c r="DP19" s="65"/>
      <c r="DQ19" s="65"/>
      <c r="DR19" s="65"/>
      <c r="DS19" s="65"/>
      <c r="DT19" s="65"/>
      <c r="DU19" s="65"/>
      <c r="DV19" s="65"/>
      <c r="DW19" s="65"/>
      <c r="DX19" s="65"/>
      <c r="DY19" s="65"/>
      <c r="DZ19" s="65"/>
      <c r="EA19" s="65"/>
      <c r="EB19" s="65"/>
      <c r="EC19" s="65"/>
      <c r="ED19" s="65"/>
      <c r="EE19" s="65"/>
      <c r="EF19" s="65"/>
      <c r="EG19" s="65"/>
      <c r="EH19" s="65"/>
      <c r="EI19" s="65"/>
      <c r="EJ19" s="65"/>
      <c r="EK19" s="45"/>
      <c r="EL19" s="39"/>
      <c r="EM19" s="65"/>
      <c r="EN19" s="65"/>
      <c r="EO19" s="65"/>
      <c r="EP19" s="65"/>
      <c r="EQ19" s="65"/>
      <c r="ER19" s="65"/>
      <c r="ES19" s="65"/>
      <c r="ET19" s="65"/>
      <c r="EU19" s="65"/>
      <c r="EV19" s="65"/>
      <c r="EW19" s="65"/>
      <c r="EX19" s="65"/>
      <c r="EY19" s="65"/>
      <c r="EZ19" s="65"/>
      <c r="FA19" s="65"/>
      <c r="FB19" s="65"/>
      <c r="FC19" s="65"/>
      <c r="FD19" s="65"/>
      <c r="FE19" s="65"/>
      <c r="FF19" s="65"/>
      <c r="FG19" s="65"/>
      <c r="FH19" s="65"/>
      <c r="FI19" s="65"/>
      <c r="FJ19" s="65"/>
      <c r="FK19" s="65"/>
      <c r="FL19" s="16"/>
      <c r="FM19" s="17"/>
      <c r="FN19" s="65"/>
      <c r="FO19" s="65"/>
      <c r="FP19" s="65"/>
      <c r="FQ19" s="65"/>
      <c r="FR19" s="65"/>
      <c r="FS19" s="65"/>
      <c r="FT19" s="65"/>
      <c r="FU19" s="65"/>
      <c r="FV19" s="65"/>
      <c r="FW19" s="65"/>
      <c r="FX19" s="65"/>
      <c r="FY19" s="65"/>
      <c r="FZ19" s="65"/>
      <c r="GA19" s="65"/>
      <c r="GB19" s="65"/>
      <c r="GC19" s="65"/>
      <c r="GD19" s="65"/>
      <c r="GE19" s="65"/>
      <c r="GF19" s="65"/>
      <c r="GG19" s="65"/>
      <c r="GH19" s="65"/>
      <c r="GI19" s="65"/>
      <c r="GJ19" s="65"/>
      <c r="GK19" s="65"/>
      <c r="GL19" s="65"/>
      <c r="GM19" s="45"/>
      <c r="GN19" s="39"/>
      <c r="GO19" s="65"/>
      <c r="GP19" s="65"/>
      <c r="GQ19" s="65"/>
      <c r="GR19" s="65"/>
      <c r="GS19" s="65"/>
      <c r="GT19" s="65"/>
      <c r="GU19" s="65"/>
      <c r="GV19" s="65"/>
      <c r="GW19" s="65"/>
      <c r="GX19" s="65"/>
      <c r="GY19" s="65"/>
      <c r="GZ19" s="65"/>
      <c r="HA19" s="65"/>
      <c r="HB19" s="65"/>
      <c r="HC19" s="65"/>
      <c r="HD19" s="65"/>
      <c r="HE19" s="65"/>
      <c r="HF19" s="65"/>
      <c r="HG19" s="65"/>
      <c r="HH19" s="65"/>
      <c r="HI19" s="65"/>
      <c r="HJ19" s="65"/>
      <c r="HK19" s="65"/>
      <c r="HL19" s="65"/>
      <c r="HM19" s="65"/>
      <c r="HN19" s="16"/>
      <c r="HO19" s="39"/>
      <c r="HP19" s="65"/>
      <c r="HQ19" s="65"/>
      <c r="HR19" s="65"/>
      <c r="HS19" s="65"/>
      <c r="HT19" s="65"/>
      <c r="HU19" s="65"/>
      <c r="HV19" s="65"/>
      <c r="HW19" s="65"/>
      <c r="HX19" s="65"/>
      <c r="HY19" s="65"/>
      <c r="HZ19" s="65"/>
      <c r="IA19" s="65"/>
      <c r="IB19" s="65"/>
      <c r="IC19" s="65"/>
      <c r="ID19" s="65"/>
      <c r="IE19" s="65"/>
      <c r="IF19" s="65"/>
      <c r="IG19" s="65"/>
      <c r="IH19" s="65"/>
      <c r="II19" s="65"/>
      <c r="IJ19" s="65"/>
      <c r="IK19" s="65"/>
      <c r="IL19" s="65"/>
      <c r="IM19" s="65"/>
      <c r="IN19" s="65"/>
      <c r="IO19" s="16"/>
      <c r="IP19" s="17"/>
      <c r="IQ19" s="65"/>
      <c r="IR19" s="65"/>
      <c r="IS19" s="65"/>
      <c r="IT19" s="65"/>
      <c r="IU19" s="65"/>
      <c r="IV19" s="65"/>
      <c r="IW19" s="65"/>
      <c r="IX19" s="65"/>
      <c r="IY19" s="65"/>
      <c r="IZ19" s="65"/>
      <c r="JA19" s="65"/>
      <c r="JB19" s="65"/>
      <c r="JC19" s="65"/>
      <c r="JD19" s="65"/>
      <c r="JE19" s="65"/>
      <c r="JF19" s="65"/>
      <c r="JG19" s="65"/>
      <c r="JH19" s="65"/>
      <c r="JI19" s="65"/>
      <c r="JJ19" s="65"/>
      <c r="JK19" s="65"/>
      <c r="JL19" s="65"/>
      <c r="JM19" s="65"/>
      <c r="JN19" s="65"/>
      <c r="JO19" s="65"/>
      <c r="JP19" s="16"/>
      <c r="JQ19" s="39"/>
      <c r="JR19" s="65"/>
      <c r="JS19" s="65"/>
      <c r="JT19" s="65"/>
      <c r="JU19" s="65"/>
      <c r="JV19" s="65"/>
      <c r="JW19" s="65"/>
      <c r="JX19" s="65"/>
      <c r="JY19" s="65"/>
      <c r="JZ19" s="65"/>
      <c r="KA19" s="65"/>
      <c r="KB19" s="65"/>
      <c r="KC19" s="65"/>
      <c r="KD19" s="65"/>
      <c r="KE19" s="65"/>
      <c r="KF19" s="65"/>
      <c r="KG19" s="65"/>
      <c r="KH19" s="65"/>
      <c r="KI19" s="65"/>
      <c r="KJ19" s="65"/>
      <c r="KK19" s="65"/>
      <c r="KL19" s="65"/>
      <c r="KM19" s="65"/>
      <c r="KN19" s="65"/>
      <c r="KO19" s="65"/>
      <c r="KP19" s="65"/>
      <c r="KQ19" s="16"/>
    </row>
    <row r="20" spans="1:303" x14ac:dyDescent="0.35">
      <c r="A20" s="86">
        <f>Neu!B20</f>
        <v>0</v>
      </c>
      <c r="B20" s="89"/>
      <c r="C20" s="20"/>
      <c r="D20" s="45"/>
      <c r="E20" s="39"/>
      <c r="F20" s="45"/>
      <c r="G20" s="39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16"/>
      <c r="AH20" s="17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16"/>
      <c r="BI20" s="39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16"/>
      <c r="CJ20" s="39"/>
      <c r="CK20" s="65"/>
      <c r="CL20" s="65"/>
      <c r="CM20" s="65"/>
      <c r="CN20" s="65"/>
      <c r="CO20" s="65"/>
      <c r="CP20" s="65"/>
      <c r="CQ20" s="65"/>
      <c r="CR20" s="65"/>
      <c r="CS20" s="65"/>
      <c r="CT20" s="65"/>
      <c r="CU20" s="65"/>
      <c r="CV20" s="65"/>
      <c r="CW20" s="65"/>
      <c r="CX20" s="65"/>
      <c r="CY20" s="65"/>
      <c r="CZ20" s="65"/>
      <c r="DA20" s="65"/>
      <c r="DB20" s="65"/>
      <c r="DC20" s="65"/>
      <c r="DD20" s="65"/>
      <c r="DE20" s="65"/>
      <c r="DF20" s="65"/>
      <c r="DG20" s="65"/>
      <c r="DH20" s="65"/>
      <c r="DI20" s="65"/>
      <c r="DJ20" s="16"/>
      <c r="DK20" s="39"/>
      <c r="DL20" s="65"/>
      <c r="DM20" s="65"/>
      <c r="DN20" s="65"/>
      <c r="DO20" s="65"/>
      <c r="DP20" s="65"/>
      <c r="DQ20" s="65"/>
      <c r="DR20" s="65"/>
      <c r="DS20" s="65"/>
      <c r="DT20" s="65"/>
      <c r="DU20" s="65"/>
      <c r="DV20" s="65"/>
      <c r="DW20" s="65"/>
      <c r="DX20" s="65"/>
      <c r="DY20" s="65"/>
      <c r="DZ20" s="65"/>
      <c r="EA20" s="65"/>
      <c r="EB20" s="65"/>
      <c r="EC20" s="65"/>
      <c r="ED20" s="65"/>
      <c r="EE20" s="65"/>
      <c r="EF20" s="65"/>
      <c r="EG20" s="65"/>
      <c r="EH20" s="65"/>
      <c r="EI20" s="65"/>
      <c r="EJ20" s="65"/>
      <c r="EK20" s="45"/>
      <c r="EL20" s="39"/>
      <c r="EM20" s="65"/>
      <c r="EN20" s="65"/>
      <c r="EO20" s="65"/>
      <c r="EP20" s="65"/>
      <c r="EQ20" s="65"/>
      <c r="ER20" s="65"/>
      <c r="ES20" s="65"/>
      <c r="ET20" s="65"/>
      <c r="EU20" s="65"/>
      <c r="EV20" s="65"/>
      <c r="EW20" s="65"/>
      <c r="EX20" s="65"/>
      <c r="EY20" s="65"/>
      <c r="EZ20" s="65"/>
      <c r="FA20" s="65"/>
      <c r="FB20" s="65"/>
      <c r="FC20" s="65"/>
      <c r="FD20" s="65"/>
      <c r="FE20" s="65"/>
      <c r="FF20" s="65"/>
      <c r="FG20" s="65"/>
      <c r="FH20" s="65"/>
      <c r="FI20" s="65"/>
      <c r="FJ20" s="65"/>
      <c r="FK20" s="65"/>
      <c r="FL20" s="16"/>
      <c r="FM20" s="17"/>
      <c r="FN20" s="65"/>
      <c r="FO20" s="65"/>
      <c r="FP20" s="65"/>
      <c r="FQ20" s="65"/>
      <c r="FR20" s="65"/>
      <c r="FS20" s="65"/>
      <c r="FT20" s="65"/>
      <c r="FU20" s="65"/>
      <c r="FV20" s="65"/>
      <c r="FW20" s="65"/>
      <c r="FX20" s="65"/>
      <c r="FY20" s="65"/>
      <c r="FZ20" s="65"/>
      <c r="GA20" s="65"/>
      <c r="GB20" s="65"/>
      <c r="GC20" s="65"/>
      <c r="GD20" s="65"/>
      <c r="GE20" s="65"/>
      <c r="GF20" s="65"/>
      <c r="GG20" s="65"/>
      <c r="GH20" s="65"/>
      <c r="GI20" s="65"/>
      <c r="GJ20" s="65"/>
      <c r="GK20" s="65"/>
      <c r="GL20" s="65"/>
      <c r="GM20" s="45"/>
      <c r="GN20" s="39"/>
      <c r="GO20" s="65"/>
      <c r="GP20" s="65"/>
      <c r="GQ20" s="65"/>
      <c r="GR20" s="65"/>
      <c r="GS20" s="65"/>
      <c r="GT20" s="65"/>
      <c r="GU20" s="65"/>
      <c r="GV20" s="65"/>
      <c r="GW20" s="65"/>
      <c r="GX20" s="65"/>
      <c r="GY20" s="65"/>
      <c r="GZ20" s="65"/>
      <c r="HA20" s="65"/>
      <c r="HB20" s="65"/>
      <c r="HC20" s="65"/>
      <c r="HD20" s="65"/>
      <c r="HE20" s="65"/>
      <c r="HF20" s="65"/>
      <c r="HG20" s="65"/>
      <c r="HH20" s="65"/>
      <c r="HI20" s="65"/>
      <c r="HJ20" s="65"/>
      <c r="HK20" s="65"/>
      <c r="HL20" s="65"/>
      <c r="HM20" s="65"/>
      <c r="HN20" s="16"/>
      <c r="HO20" s="39"/>
      <c r="HP20" s="65"/>
      <c r="HQ20" s="65"/>
      <c r="HR20" s="65"/>
      <c r="HS20" s="65"/>
      <c r="HT20" s="65"/>
      <c r="HU20" s="65"/>
      <c r="HV20" s="65"/>
      <c r="HW20" s="65"/>
      <c r="HX20" s="65"/>
      <c r="HY20" s="65"/>
      <c r="HZ20" s="65"/>
      <c r="IA20" s="65"/>
      <c r="IB20" s="65"/>
      <c r="IC20" s="65"/>
      <c r="ID20" s="65"/>
      <c r="IE20" s="65"/>
      <c r="IF20" s="65"/>
      <c r="IG20" s="65"/>
      <c r="IH20" s="65"/>
      <c r="II20" s="65"/>
      <c r="IJ20" s="65"/>
      <c r="IK20" s="65"/>
      <c r="IL20" s="65"/>
      <c r="IM20" s="65"/>
      <c r="IN20" s="65"/>
      <c r="IO20" s="16"/>
      <c r="IP20" s="17"/>
      <c r="IQ20" s="65"/>
      <c r="IR20" s="65"/>
      <c r="IS20" s="65"/>
      <c r="IT20" s="65"/>
      <c r="IU20" s="65"/>
      <c r="IV20" s="65"/>
      <c r="IW20" s="65"/>
      <c r="IX20" s="65"/>
      <c r="IY20" s="65"/>
      <c r="IZ20" s="65"/>
      <c r="JA20" s="65"/>
      <c r="JB20" s="65"/>
      <c r="JC20" s="65"/>
      <c r="JD20" s="65"/>
      <c r="JE20" s="65"/>
      <c r="JF20" s="65"/>
      <c r="JG20" s="65"/>
      <c r="JH20" s="65"/>
      <c r="JI20" s="65"/>
      <c r="JJ20" s="65"/>
      <c r="JK20" s="65"/>
      <c r="JL20" s="65"/>
      <c r="JM20" s="65"/>
      <c r="JN20" s="65"/>
      <c r="JO20" s="65"/>
      <c r="JP20" s="16"/>
      <c r="JQ20" s="39"/>
      <c r="JR20" s="65"/>
      <c r="JS20" s="65"/>
      <c r="JT20" s="65"/>
      <c r="JU20" s="65"/>
      <c r="JV20" s="65"/>
      <c r="JW20" s="65"/>
      <c r="JX20" s="65"/>
      <c r="JY20" s="65"/>
      <c r="JZ20" s="65"/>
      <c r="KA20" s="65"/>
      <c r="KB20" s="65"/>
      <c r="KC20" s="65"/>
      <c r="KD20" s="65"/>
      <c r="KE20" s="65"/>
      <c r="KF20" s="65"/>
      <c r="KG20" s="65"/>
      <c r="KH20" s="65"/>
      <c r="KI20" s="65"/>
      <c r="KJ20" s="65"/>
      <c r="KK20" s="65"/>
      <c r="KL20" s="65"/>
      <c r="KM20" s="65"/>
      <c r="KN20" s="65"/>
      <c r="KO20" s="65"/>
      <c r="KP20" s="65"/>
      <c r="KQ20" s="16"/>
    </row>
    <row r="21" spans="1:303" x14ac:dyDescent="0.35">
      <c r="A21" s="86">
        <f>Neu!B21</f>
        <v>0</v>
      </c>
      <c r="B21" s="89"/>
      <c r="C21" s="20"/>
      <c r="D21" s="45"/>
      <c r="E21" s="39"/>
      <c r="F21" s="45"/>
      <c r="G21" s="39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16"/>
      <c r="AH21" s="17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16"/>
      <c r="BI21" s="39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5"/>
      <c r="CF21" s="65"/>
      <c r="CG21" s="65"/>
      <c r="CH21" s="65"/>
      <c r="CI21" s="16"/>
      <c r="CJ21" s="39"/>
      <c r="CK21" s="65"/>
      <c r="CL21" s="65"/>
      <c r="CM21" s="65"/>
      <c r="CN21" s="65"/>
      <c r="CO21" s="65"/>
      <c r="CP21" s="65"/>
      <c r="CQ21" s="65"/>
      <c r="CR21" s="65"/>
      <c r="CS21" s="65"/>
      <c r="CT21" s="65"/>
      <c r="CU21" s="65"/>
      <c r="CV21" s="65"/>
      <c r="CW21" s="65"/>
      <c r="CX21" s="65"/>
      <c r="CY21" s="65"/>
      <c r="CZ21" s="65"/>
      <c r="DA21" s="65"/>
      <c r="DB21" s="65"/>
      <c r="DC21" s="65"/>
      <c r="DD21" s="65"/>
      <c r="DE21" s="65"/>
      <c r="DF21" s="65"/>
      <c r="DG21" s="65"/>
      <c r="DH21" s="65"/>
      <c r="DI21" s="65"/>
      <c r="DJ21" s="16"/>
      <c r="DK21" s="39"/>
      <c r="DL21" s="65"/>
      <c r="DM21" s="65"/>
      <c r="DN21" s="65"/>
      <c r="DO21" s="65"/>
      <c r="DP21" s="65"/>
      <c r="DQ21" s="65"/>
      <c r="DR21" s="65"/>
      <c r="DS21" s="65"/>
      <c r="DT21" s="65"/>
      <c r="DU21" s="65"/>
      <c r="DV21" s="65"/>
      <c r="DW21" s="65"/>
      <c r="DX21" s="65"/>
      <c r="DY21" s="65"/>
      <c r="DZ21" s="65"/>
      <c r="EA21" s="65"/>
      <c r="EB21" s="65"/>
      <c r="EC21" s="65"/>
      <c r="ED21" s="65"/>
      <c r="EE21" s="65"/>
      <c r="EF21" s="65"/>
      <c r="EG21" s="65"/>
      <c r="EH21" s="65"/>
      <c r="EI21" s="65"/>
      <c r="EJ21" s="65"/>
      <c r="EK21" s="45"/>
      <c r="EL21" s="39"/>
      <c r="EM21" s="65"/>
      <c r="EN21" s="65"/>
      <c r="EO21" s="65"/>
      <c r="EP21" s="65"/>
      <c r="EQ21" s="65"/>
      <c r="ER21" s="65"/>
      <c r="ES21" s="65"/>
      <c r="ET21" s="65"/>
      <c r="EU21" s="65"/>
      <c r="EV21" s="65"/>
      <c r="EW21" s="65"/>
      <c r="EX21" s="65"/>
      <c r="EY21" s="65"/>
      <c r="EZ21" s="65"/>
      <c r="FA21" s="65"/>
      <c r="FB21" s="65"/>
      <c r="FC21" s="65"/>
      <c r="FD21" s="65"/>
      <c r="FE21" s="65"/>
      <c r="FF21" s="65"/>
      <c r="FG21" s="65"/>
      <c r="FH21" s="65"/>
      <c r="FI21" s="65"/>
      <c r="FJ21" s="65"/>
      <c r="FK21" s="65"/>
      <c r="FL21" s="16"/>
      <c r="FM21" s="17"/>
      <c r="FN21" s="65"/>
      <c r="FO21" s="65"/>
      <c r="FP21" s="65"/>
      <c r="FQ21" s="65"/>
      <c r="FR21" s="65"/>
      <c r="FS21" s="65"/>
      <c r="FT21" s="65"/>
      <c r="FU21" s="65"/>
      <c r="FV21" s="65"/>
      <c r="FW21" s="65"/>
      <c r="FX21" s="65"/>
      <c r="FY21" s="65"/>
      <c r="FZ21" s="65"/>
      <c r="GA21" s="65"/>
      <c r="GB21" s="65"/>
      <c r="GC21" s="65"/>
      <c r="GD21" s="65"/>
      <c r="GE21" s="65"/>
      <c r="GF21" s="65"/>
      <c r="GG21" s="65"/>
      <c r="GH21" s="65"/>
      <c r="GI21" s="65"/>
      <c r="GJ21" s="65"/>
      <c r="GK21" s="65"/>
      <c r="GL21" s="65"/>
      <c r="GM21" s="45"/>
      <c r="GN21" s="39"/>
      <c r="GO21" s="65"/>
      <c r="GP21" s="65"/>
      <c r="GQ21" s="65"/>
      <c r="GR21" s="65"/>
      <c r="GS21" s="65"/>
      <c r="GT21" s="65"/>
      <c r="GU21" s="65"/>
      <c r="GV21" s="65"/>
      <c r="GW21" s="65"/>
      <c r="GX21" s="65"/>
      <c r="GY21" s="65"/>
      <c r="GZ21" s="65"/>
      <c r="HA21" s="65"/>
      <c r="HB21" s="65"/>
      <c r="HC21" s="65"/>
      <c r="HD21" s="65"/>
      <c r="HE21" s="65"/>
      <c r="HF21" s="65"/>
      <c r="HG21" s="65"/>
      <c r="HH21" s="65"/>
      <c r="HI21" s="65"/>
      <c r="HJ21" s="65"/>
      <c r="HK21" s="65"/>
      <c r="HL21" s="65"/>
      <c r="HM21" s="65"/>
      <c r="HN21" s="16"/>
      <c r="HO21" s="39"/>
      <c r="HP21" s="65"/>
      <c r="HQ21" s="65"/>
      <c r="HR21" s="65"/>
      <c r="HS21" s="65"/>
      <c r="HT21" s="65"/>
      <c r="HU21" s="65"/>
      <c r="HV21" s="65"/>
      <c r="HW21" s="65"/>
      <c r="HX21" s="65"/>
      <c r="HY21" s="65"/>
      <c r="HZ21" s="65"/>
      <c r="IA21" s="65"/>
      <c r="IB21" s="65"/>
      <c r="IC21" s="65"/>
      <c r="ID21" s="65"/>
      <c r="IE21" s="65"/>
      <c r="IF21" s="65"/>
      <c r="IG21" s="65"/>
      <c r="IH21" s="65"/>
      <c r="II21" s="65"/>
      <c r="IJ21" s="65"/>
      <c r="IK21" s="65"/>
      <c r="IL21" s="65"/>
      <c r="IM21" s="65"/>
      <c r="IN21" s="65"/>
      <c r="IO21" s="16"/>
      <c r="IP21" s="17"/>
      <c r="IQ21" s="65"/>
      <c r="IR21" s="65"/>
      <c r="IS21" s="65"/>
      <c r="IT21" s="65"/>
      <c r="IU21" s="65"/>
      <c r="IV21" s="65"/>
      <c r="IW21" s="65"/>
      <c r="IX21" s="65"/>
      <c r="IY21" s="65"/>
      <c r="IZ21" s="65"/>
      <c r="JA21" s="65"/>
      <c r="JB21" s="65"/>
      <c r="JC21" s="65"/>
      <c r="JD21" s="65"/>
      <c r="JE21" s="65"/>
      <c r="JF21" s="65"/>
      <c r="JG21" s="65"/>
      <c r="JH21" s="65"/>
      <c r="JI21" s="65"/>
      <c r="JJ21" s="65"/>
      <c r="JK21" s="65"/>
      <c r="JL21" s="65"/>
      <c r="JM21" s="65"/>
      <c r="JN21" s="65"/>
      <c r="JO21" s="65"/>
      <c r="JP21" s="16"/>
      <c r="JQ21" s="39"/>
      <c r="JR21" s="65"/>
      <c r="JS21" s="65"/>
      <c r="JT21" s="65"/>
      <c r="JU21" s="65"/>
      <c r="JV21" s="65"/>
      <c r="JW21" s="65"/>
      <c r="JX21" s="65"/>
      <c r="JY21" s="65"/>
      <c r="JZ21" s="65"/>
      <c r="KA21" s="65"/>
      <c r="KB21" s="65"/>
      <c r="KC21" s="65"/>
      <c r="KD21" s="65"/>
      <c r="KE21" s="65"/>
      <c r="KF21" s="65"/>
      <c r="KG21" s="65"/>
      <c r="KH21" s="65"/>
      <c r="KI21" s="65"/>
      <c r="KJ21" s="65"/>
      <c r="KK21" s="65"/>
      <c r="KL21" s="65"/>
      <c r="KM21" s="65"/>
      <c r="KN21" s="65"/>
      <c r="KO21" s="65"/>
      <c r="KP21" s="65"/>
      <c r="KQ21" s="16"/>
    </row>
    <row r="22" spans="1:303" x14ac:dyDescent="0.35">
      <c r="A22" s="86">
        <f>Neu!B22</f>
        <v>0</v>
      </c>
      <c r="B22" s="89"/>
      <c r="C22" s="20"/>
      <c r="D22" s="45"/>
      <c r="E22" s="39"/>
      <c r="F22" s="45"/>
      <c r="G22" s="39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16"/>
      <c r="AH22" s="17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16"/>
      <c r="BI22" s="39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16"/>
      <c r="CJ22" s="39"/>
      <c r="CK22" s="65"/>
      <c r="CL22" s="65"/>
      <c r="CM22" s="65"/>
      <c r="CN22" s="65"/>
      <c r="CO22" s="65"/>
      <c r="CP22" s="65"/>
      <c r="CQ22" s="65"/>
      <c r="CR22" s="65"/>
      <c r="CS22" s="65"/>
      <c r="CT22" s="65"/>
      <c r="CU22" s="65"/>
      <c r="CV22" s="65"/>
      <c r="CW22" s="65"/>
      <c r="CX22" s="65"/>
      <c r="CY22" s="65"/>
      <c r="CZ22" s="65"/>
      <c r="DA22" s="65"/>
      <c r="DB22" s="65"/>
      <c r="DC22" s="65"/>
      <c r="DD22" s="65"/>
      <c r="DE22" s="65"/>
      <c r="DF22" s="65"/>
      <c r="DG22" s="65"/>
      <c r="DH22" s="65"/>
      <c r="DI22" s="65"/>
      <c r="DJ22" s="16"/>
      <c r="DK22" s="39"/>
      <c r="DL22" s="65"/>
      <c r="DM22" s="65"/>
      <c r="DN22" s="65"/>
      <c r="DO22" s="65"/>
      <c r="DP22" s="65"/>
      <c r="DQ22" s="65"/>
      <c r="DR22" s="65"/>
      <c r="DS22" s="65"/>
      <c r="DT22" s="65"/>
      <c r="DU22" s="65"/>
      <c r="DV22" s="65"/>
      <c r="DW22" s="65"/>
      <c r="DX22" s="65"/>
      <c r="DY22" s="65"/>
      <c r="DZ22" s="65"/>
      <c r="EA22" s="65"/>
      <c r="EB22" s="65"/>
      <c r="EC22" s="65"/>
      <c r="ED22" s="65"/>
      <c r="EE22" s="65"/>
      <c r="EF22" s="65"/>
      <c r="EG22" s="65"/>
      <c r="EH22" s="65"/>
      <c r="EI22" s="65"/>
      <c r="EJ22" s="65"/>
      <c r="EK22" s="45"/>
      <c r="EL22" s="39"/>
      <c r="EM22" s="65"/>
      <c r="EN22" s="65"/>
      <c r="EO22" s="65"/>
      <c r="EP22" s="65"/>
      <c r="EQ22" s="65"/>
      <c r="ER22" s="65"/>
      <c r="ES22" s="65"/>
      <c r="ET22" s="65"/>
      <c r="EU22" s="65"/>
      <c r="EV22" s="65"/>
      <c r="EW22" s="65"/>
      <c r="EX22" s="65"/>
      <c r="EY22" s="65"/>
      <c r="EZ22" s="65"/>
      <c r="FA22" s="65"/>
      <c r="FB22" s="65"/>
      <c r="FC22" s="65"/>
      <c r="FD22" s="65"/>
      <c r="FE22" s="65"/>
      <c r="FF22" s="65"/>
      <c r="FG22" s="65"/>
      <c r="FH22" s="65"/>
      <c r="FI22" s="65"/>
      <c r="FJ22" s="65"/>
      <c r="FK22" s="65"/>
      <c r="FL22" s="16"/>
      <c r="FM22" s="17"/>
      <c r="FN22" s="65"/>
      <c r="FO22" s="65"/>
      <c r="FP22" s="65"/>
      <c r="FQ22" s="65"/>
      <c r="FR22" s="65"/>
      <c r="FS22" s="65"/>
      <c r="FT22" s="65"/>
      <c r="FU22" s="65"/>
      <c r="FV22" s="65"/>
      <c r="FW22" s="65"/>
      <c r="FX22" s="65"/>
      <c r="FY22" s="65"/>
      <c r="FZ22" s="65"/>
      <c r="GA22" s="65"/>
      <c r="GB22" s="65"/>
      <c r="GC22" s="65"/>
      <c r="GD22" s="65"/>
      <c r="GE22" s="65"/>
      <c r="GF22" s="65"/>
      <c r="GG22" s="65"/>
      <c r="GH22" s="65"/>
      <c r="GI22" s="65"/>
      <c r="GJ22" s="65"/>
      <c r="GK22" s="65"/>
      <c r="GL22" s="65"/>
      <c r="GM22" s="45"/>
      <c r="GN22" s="39"/>
      <c r="GO22" s="65"/>
      <c r="GP22" s="65"/>
      <c r="GQ22" s="65"/>
      <c r="GR22" s="65"/>
      <c r="GS22" s="65"/>
      <c r="GT22" s="65"/>
      <c r="GU22" s="65"/>
      <c r="GV22" s="65"/>
      <c r="GW22" s="65"/>
      <c r="GX22" s="65"/>
      <c r="GY22" s="65"/>
      <c r="GZ22" s="65"/>
      <c r="HA22" s="65"/>
      <c r="HB22" s="65"/>
      <c r="HC22" s="65"/>
      <c r="HD22" s="65"/>
      <c r="HE22" s="65"/>
      <c r="HF22" s="65"/>
      <c r="HG22" s="65"/>
      <c r="HH22" s="65"/>
      <c r="HI22" s="65"/>
      <c r="HJ22" s="65"/>
      <c r="HK22" s="65"/>
      <c r="HL22" s="65"/>
      <c r="HM22" s="65"/>
      <c r="HN22" s="16"/>
      <c r="HO22" s="39"/>
      <c r="HP22" s="65"/>
      <c r="HQ22" s="65"/>
      <c r="HR22" s="65"/>
      <c r="HS22" s="65"/>
      <c r="HT22" s="65"/>
      <c r="HU22" s="65"/>
      <c r="HV22" s="65"/>
      <c r="HW22" s="65"/>
      <c r="HX22" s="65"/>
      <c r="HY22" s="65"/>
      <c r="HZ22" s="65"/>
      <c r="IA22" s="65"/>
      <c r="IB22" s="65"/>
      <c r="IC22" s="65"/>
      <c r="ID22" s="65"/>
      <c r="IE22" s="65"/>
      <c r="IF22" s="65"/>
      <c r="IG22" s="65"/>
      <c r="IH22" s="65"/>
      <c r="II22" s="65"/>
      <c r="IJ22" s="65"/>
      <c r="IK22" s="65"/>
      <c r="IL22" s="65"/>
      <c r="IM22" s="65"/>
      <c r="IN22" s="65"/>
      <c r="IO22" s="16"/>
      <c r="IP22" s="17"/>
      <c r="IQ22" s="65"/>
      <c r="IR22" s="65"/>
      <c r="IS22" s="65"/>
      <c r="IT22" s="65"/>
      <c r="IU22" s="65"/>
      <c r="IV22" s="65"/>
      <c r="IW22" s="65"/>
      <c r="IX22" s="65"/>
      <c r="IY22" s="65"/>
      <c r="IZ22" s="65"/>
      <c r="JA22" s="65"/>
      <c r="JB22" s="65"/>
      <c r="JC22" s="65"/>
      <c r="JD22" s="65"/>
      <c r="JE22" s="65"/>
      <c r="JF22" s="65"/>
      <c r="JG22" s="65"/>
      <c r="JH22" s="65"/>
      <c r="JI22" s="65"/>
      <c r="JJ22" s="65"/>
      <c r="JK22" s="65"/>
      <c r="JL22" s="65"/>
      <c r="JM22" s="65"/>
      <c r="JN22" s="65"/>
      <c r="JO22" s="65"/>
      <c r="JP22" s="16"/>
      <c r="JQ22" s="39"/>
      <c r="JR22" s="65"/>
      <c r="JS22" s="65"/>
      <c r="JT22" s="65"/>
      <c r="JU22" s="65"/>
      <c r="JV22" s="65"/>
      <c r="JW22" s="65"/>
      <c r="JX22" s="65"/>
      <c r="JY22" s="65"/>
      <c r="JZ22" s="65"/>
      <c r="KA22" s="65"/>
      <c r="KB22" s="65"/>
      <c r="KC22" s="65"/>
      <c r="KD22" s="65"/>
      <c r="KE22" s="65"/>
      <c r="KF22" s="65"/>
      <c r="KG22" s="65"/>
      <c r="KH22" s="65"/>
      <c r="KI22" s="65"/>
      <c r="KJ22" s="65"/>
      <c r="KK22" s="65"/>
      <c r="KL22" s="65"/>
      <c r="KM22" s="65"/>
      <c r="KN22" s="65"/>
      <c r="KO22" s="65"/>
      <c r="KP22" s="65"/>
      <c r="KQ22" s="16"/>
    </row>
    <row r="23" spans="1:303" x14ac:dyDescent="0.35">
      <c r="A23" s="86">
        <f>Neu!B23</f>
        <v>0</v>
      </c>
      <c r="B23" s="89"/>
      <c r="C23" s="20"/>
      <c r="D23" s="45"/>
      <c r="E23" s="39"/>
      <c r="F23" s="45"/>
      <c r="G23" s="39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16"/>
      <c r="AH23" s="17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16"/>
      <c r="BI23" s="39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  <c r="CI23" s="16"/>
      <c r="CJ23" s="39"/>
      <c r="CK23" s="65"/>
      <c r="CL23" s="65"/>
      <c r="CM23" s="65"/>
      <c r="CN23" s="65"/>
      <c r="CO23" s="65"/>
      <c r="CP23" s="65"/>
      <c r="CQ23" s="65"/>
      <c r="CR23" s="65"/>
      <c r="CS23" s="65"/>
      <c r="CT23" s="65"/>
      <c r="CU23" s="65"/>
      <c r="CV23" s="65"/>
      <c r="CW23" s="65"/>
      <c r="CX23" s="65"/>
      <c r="CY23" s="65"/>
      <c r="CZ23" s="65"/>
      <c r="DA23" s="65"/>
      <c r="DB23" s="65"/>
      <c r="DC23" s="65"/>
      <c r="DD23" s="65"/>
      <c r="DE23" s="65"/>
      <c r="DF23" s="65"/>
      <c r="DG23" s="65"/>
      <c r="DH23" s="65"/>
      <c r="DI23" s="65"/>
      <c r="DJ23" s="16"/>
      <c r="DK23" s="39"/>
      <c r="DL23" s="65"/>
      <c r="DM23" s="65"/>
      <c r="DN23" s="65"/>
      <c r="DO23" s="65"/>
      <c r="DP23" s="65"/>
      <c r="DQ23" s="65"/>
      <c r="DR23" s="65"/>
      <c r="DS23" s="65"/>
      <c r="DT23" s="65"/>
      <c r="DU23" s="65"/>
      <c r="DV23" s="65"/>
      <c r="DW23" s="65"/>
      <c r="DX23" s="65"/>
      <c r="DY23" s="65"/>
      <c r="DZ23" s="65"/>
      <c r="EA23" s="65"/>
      <c r="EB23" s="65"/>
      <c r="EC23" s="65"/>
      <c r="ED23" s="65"/>
      <c r="EE23" s="65"/>
      <c r="EF23" s="65"/>
      <c r="EG23" s="65"/>
      <c r="EH23" s="65"/>
      <c r="EI23" s="65"/>
      <c r="EJ23" s="65"/>
      <c r="EK23" s="45"/>
      <c r="EL23" s="39"/>
      <c r="EM23" s="65"/>
      <c r="EN23" s="65"/>
      <c r="EO23" s="65"/>
      <c r="EP23" s="65"/>
      <c r="EQ23" s="65"/>
      <c r="ER23" s="65"/>
      <c r="ES23" s="65"/>
      <c r="ET23" s="65"/>
      <c r="EU23" s="65"/>
      <c r="EV23" s="65"/>
      <c r="EW23" s="65"/>
      <c r="EX23" s="65"/>
      <c r="EY23" s="65"/>
      <c r="EZ23" s="65"/>
      <c r="FA23" s="65"/>
      <c r="FB23" s="65"/>
      <c r="FC23" s="65"/>
      <c r="FD23" s="65"/>
      <c r="FE23" s="65"/>
      <c r="FF23" s="65"/>
      <c r="FG23" s="65"/>
      <c r="FH23" s="65"/>
      <c r="FI23" s="65"/>
      <c r="FJ23" s="65"/>
      <c r="FK23" s="65"/>
      <c r="FL23" s="16"/>
      <c r="FM23" s="39"/>
      <c r="FN23" s="65"/>
      <c r="FO23" s="65"/>
      <c r="FP23" s="65"/>
      <c r="FQ23" s="65"/>
      <c r="FR23" s="65"/>
      <c r="FS23" s="65"/>
      <c r="FT23" s="65"/>
      <c r="FU23" s="65"/>
      <c r="FV23" s="65"/>
      <c r="FW23" s="65"/>
      <c r="FX23" s="65"/>
      <c r="FY23" s="65"/>
      <c r="FZ23" s="65"/>
      <c r="GA23" s="65"/>
      <c r="GB23" s="65"/>
      <c r="GC23" s="65"/>
      <c r="GD23" s="65"/>
      <c r="GE23" s="65"/>
      <c r="GF23" s="65"/>
      <c r="GG23" s="65"/>
      <c r="GH23" s="65"/>
      <c r="GI23" s="65"/>
      <c r="GJ23" s="65"/>
      <c r="GK23" s="65"/>
      <c r="GL23" s="65"/>
      <c r="GM23" s="45"/>
      <c r="GN23" s="39"/>
      <c r="GO23" s="65"/>
      <c r="GP23" s="65"/>
      <c r="GQ23" s="65"/>
      <c r="GR23" s="65"/>
      <c r="GS23" s="65"/>
      <c r="GT23" s="65"/>
      <c r="GU23" s="65"/>
      <c r="GV23" s="65"/>
      <c r="GW23" s="65"/>
      <c r="GX23" s="65"/>
      <c r="GY23" s="65"/>
      <c r="GZ23" s="65"/>
      <c r="HA23" s="65"/>
      <c r="HB23" s="65"/>
      <c r="HC23" s="65"/>
      <c r="HD23" s="65"/>
      <c r="HE23" s="65"/>
      <c r="HF23" s="65"/>
      <c r="HG23" s="65"/>
      <c r="HH23" s="65"/>
      <c r="HI23" s="65"/>
      <c r="HJ23" s="65"/>
      <c r="HK23" s="65"/>
      <c r="HL23" s="65"/>
      <c r="HM23" s="65"/>
      <c r="HN23" s="16"/>
      <c r="HO23" s="39"/>
      <c r="HP23" s="65"/>
      <c r="HQ23" s="65"/>
      <c r="HR23" s="65"/>
      <c r="HS23" s="65"/>
      <c r="HT23" s="65"/>
      <c r="HU23" s="65"/>
      <c r="HV23" s="65"/>
      <c r="HW23" s="65"/>
      <c r="HX23" s="65"/>
      <c r="HY23" s="65"/>
      <c r="HZ23" s="65"/>
      <c r="IA23" s="65"/>
      <c r="IB23" s="65"/>
      <c r="IC23" s="65"/>
      <c r="ID23" s="65"/>
      <c r="IE23" s="65"/>
      <c r="IF23" s="65"/>
      <c r="IG23" s="65"/>
      <c r="IH23" s="65"/>
      <c r="II23" s="65"/>
      <c r="IJ23" s="65"/>
      <c r="IK23" s="65"/>
      <c r="IL23" s="65"/>
      <c r="IM23" s="65"/>
      <c r="IN23" s="65"/>
      <c r="IO23" s="16"/>
      <c r="IP23" s="17"/>
      <c r="IQ23" s="65"/>
      <c r="IR23" s="65"/>
      <c r="IS23" s="65"/>
      <c r="IT23" s="65"/>
      <c r="IU23" s="65"/>
      <c r="IV23" s="65"/>
      <c r="IW23" s="65"/>
      <c r="IX23" s="65"/>
      <c r="IY23" s="65"/>
      <c r="IZ23" s="65"/>
      <c r="JA23" s="65"/>
      <c r="JB23" s="65"/>
      <c r="JC23" s="65"/>
      <c r="JD23" s="65"/>
      <c r="JE23" s="65"/>
      <c r="JF23" s="65"/>
      <c r="JG23" s="65"/>
      <c r="JH23" s="65"/>
      <c r="JI23" s="65"/>
      <c r="JJ23" s="65"/>
      <c r="JK23" s="65"/>
      <c r="JL23" s="65"/>
      <c r="JM23" s="65"/>
      <c r="JN23" s="65"/>
      <c r="JO23" s="65"/>
      <c r="JP23" s="16"/>
      <c r="JQ23" s="39"/>
      <c r="JR23" s="65"/>
      <c r="JS23" s="65"/>
      <c r="JT23" s="65"/>
      <c r="JU23" s="65"/>
      <c r="JV23" s="65"/>
      <c r="JW23" s="65"/>
      <c r="JX23" s="65"/>
      <c r="JY23" s="65"/>
      <c r="JZ23" s="65"/>
      <c r="KA23" s="65"/>
      <c r="KB23" s="65"/>
      <c r="KC23" s="65"/>
      <c r="KD23" s="65"/>
      <c r="KE23" s="65"/>
      <c r="KF23" s="65"/>
      <c r="KG23" s="65"/>
      <c r="KH23" s="65"/>
      <c r="KI23" s="65"/>
      <c r="KJ23" s="65"/>
      <c r="KK23" s="65"/>
      <c r="KL23" s="65"/>
      <c r="KM23" s="65"/>
      <c r="KN23" s="65"/>
      <c r="KO23" s="65"/>
      <c r="KP23" s="65"/>
      <c r="KQ23" s="16"/>
    </row>
    <row r="24" spans="1:303" ht="15" thickBot="1" x14ac:dyDescent="0.4">
      <c r="A24" s="86">
        <f>Neu!B24</f>
        <v>0</v>
      </c>
      <c r="B24" s="90"/>
      <c r="C24" s="91"/>
      <c r="D24" s="149"/>
      <c r="E24" s="40"/>
      <c r="F24" s="46"/>
      <c r="G24" s="40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41"/>
      <c r="AH24" s="153"/>
      <c r="AI24" s="152"/>
      <c r="AJ24" s="152"/>
      <c r="AK24" s="152"/>
      <c r="AL24" s="152"/>
      <c r="AM24" s="152"/>
      <c r="AN24" s="152"/>
      <c r="AO24" s="152"/>
      <c r="AP24" s="152"/>
      <c r="AQ24" s="152"/>
      <c r="AR24" s="152"/>
      <c r="AS24" s="152"/>
      <c r="AT24" s="152"/>
      <c r="AU24" s="152"/>
      <c r="AV24" s="152"/>
      <c r="AW24" s="152"/>
      <c r="AX24" s="152"/>
      <c r="AY24" s="152"/>
      <c r="AZ24" s="152"/>
      <c r="BA24" s="152"/>
      <c r="BB24" s="152"/>
      <c r="BC24" s="152"/>
      <c r="BD24" s="152"/>
      <c r="BE24" s="152"/>
      <c r="BF24" s="152"/>
      <c r="BG24" s="152"/>
      <c r="BH24" s="151"/>
      <c r="BI24" s="150"/>
      <c r="BJ24" s="152"/>
      <c r="BK24" s="152"/>
      <c r="BL24" s="152"/>
      <c r="BM24" s="152"/>
      <c r="BN24" s="152"/>
      <c r="BO24" s="152"/>
      <c r="BP24" s="152"/>
      <c r="BQ24" s="152"/>
      <c r="BR24" s="152"/>
      <c r="BS24" s="152"/>
      <c r="BT24" s="152"/>
      <c r="BU24" s="152"/>
      <c r="BV24" s="152"/>
      <c r="BW24" s="152"/>
      <c r="BX24" s="152"/>
      <c r="BY24" s="152"/>
      <c r="BZ24" s="152"/>
      <c r="CA24" s="152"/>
      <c r="CB24" s="152"/>
      <c r="CC24" s="152"/>
      <c r="CD24" s="152"/>
      <c r="CE24" s="152"/>
      <c r="CF24" s="152"/>
      <c r="CG24" s="152"/>
      <c r="CH24" s="152"/>
      <c r="CI24" s="151"/>
      <c r="CJ24" s="150"/>
      <c r="CK24" s="152"/>
      <c r="CL24" s="152"/>
      <c r="CM24" s="152"/>
      <c r="CN24" s="152"/>
      <c r="CO24" s="152"/>
      <c r="CP24" s="152"/>
      <c r="CQ24" s="152"/>
      <c r="CR24" s="152"/>
      <c r="CS24" s="152"/>
      <c r="CT24" s="152"/>
      <c r="CU24" s="152"/>
      <c r="CV24" s="152"/>
      <c r="CW24" s="152"/>
      <c r="CX24" s="152"/>
      <c r="CY24" s="152"/>
      <c r="CZ24" s="152"/>
      <c r="DA24" s="152"/>
      <c r="DB24" s="152"/>
      <c r="DC24" s="152"/>
      <c r="DD24" s="152"/>
      <c r="DE24" s="152"/>
      <c r="DF24" s="152"/>
      <c r="DG24" s="152"/>
      <c r="DH24" s="152"/>
      <c r="DI24" s="152"/>
      <c r="DJ24" s="151"/>
      <c r="DK24" s="150"/>
      <c r="DL24" s="152"/>
      <c r="DM24" s="152"/>
      <c r="DN24" s="152"/>
      <c r="DO24" s="152"/>
      <c r="DP24" s="152"/>
      <c r="DQ24" s="152"/>
      <c r="DR24" s="152"/>
      <c r="DS24" s="152"/>
      <c r="DT24" s="152"/>
      <c r="DU24" s="152"/>
      <c r="DV24" s="152"/>
      <c r="DW24" s="152"/>
      <c r="DX24" s="152"/>
      <c r="DY24" s="152"/>
      <c r="DZ24" s="152"/>
      <c r="EA24" s="152"/>
      <c r="EB24" s="152"/>
      <c r="EC24" s="152"/>
      <c r="ED24" s="152"/>
      <c r="EE24" s="152"/>
      <c r="EF24" s="152"/>
      <c r="EG24" s="152"/>
      <c r="EH24" s="152"/>
      <c r="EI24" s="152"/>
      <c r="EJ24" s="152"/>
      <c r="EK24" s="149"/>
      <c r="EL24" s="150"/>
      <c r="EM24" s="152"/>
      <c r="EN24" s="152"/>
      <c r="EO24" s="152"/>
      <c r="EP24" s="152"/>
      <c r="EQ24" s="152"/>
      <c r="ER24" s="152"/>
      <c r="ES24" s="152"/>
      <c r="ET24" s="152"/>
      <c r="EU24" s="152"/>
      <c r="EV24" s="152"/>
      <c r="EW24" s="152"/>
      <c r="EX24" s="152"/>
      <c r="EY24" s="152"/>
      <c r="EZ24" s="152"/>
      <c r="FA24" s="152"/>
      <c r="FB24" s="152"/>
      <c r="FC24" s="152"/>
      <c r="FD24" s="19"/>
      <c r="FE24" s="19"/>
      <c r="FF24" s="19"/>
      <c r="FG24" s="19"/>
      <c r="FH24" s="19"/>
      <c r="FI24" s="19"/>
      <c r="FJ24" s="19"/>
      <c r="FK24" s="19"/>
      <c r="FL24" s="41"/>
      <c r="FM24" s="40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46"/>
      <c r="GN24" s="40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41"/>
      <c r="HO24" s="40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41"/>
      <c r="IP24" s="18"/>
      <c r="IQ24" s="19"/>
      <c r="IR24" s="19"/>
      <c r="IS24" s="19"/>
      <c r="IT24" s="19"/>
      <c r="IU24" s="19"/>
      <c r="IV24" s="19"/>
      <c r="IW24" s="19"/>
      <c r="IX24" s="19"/>
      <c r="IY24" s="19"/>
      <c r="IZ24" s="19"/>
      <c r="JA24" s="19"/>
      <c r="JB24" s="19"/>
      <c r="JC24" s="19"/>
      <c r="JD24" s="19"/>
      <c r="JE24" s="19"/>
      <c r="JF24" s="19"/>
      <c r="JG24" s="19"/>
      <c r="JH24" s="19"/>
      <c r="JI24" s="19"/>
      <c r="JJ24" s="19"/>
      <c r="JK24" s="19"/>
      <c r="JL24" s="19"/>
      <c r="JM24" s="19"/>
      <c r="JN24" s="19"/>
      <c r="JO24" s="19"/>
      <c r="JP24" s="41"/>
      <c r="JQ24" s="40"/>
      <c r="JR24" s="19"/>
      <c r="JS24" s="19"/>
      <c r="JT24" s="19"/>
      <c r="JU24" s="19"/>
      <c r="JV24" s="19"/>
      <c r="JW24" s="19"/>
      <c r="JX24" s="19"/>
      <c r="JY24" s="19"/>
      <c r="JZ24" s="19"/>
      <c r="KA24" s="19"/>
      <c r="KB24" s="19"/>
      <c r="KC24" s="19"/>
      <c r="KD24" s="19"/>
      <c r="KE24" s="19"/>
      <c r="KF24" s="19"/>
      <c r="KG24" s="19"/>
      <c r="KH24" s="19"/>
      <c r="KI24" s="19"/>
      <c r="KJ24" s="19"/>
      <c r="KK24" s="19"/>
      <c r="KL24" s="19"/>
      <c r="KM24" s="19"/>
      <c r="KN24" s="19"/>
      <c r="KO24" s="19"/>
      <c r="KP24" s="19"/>
      <c r="KQ24" s="41"/>
    </row>
    <row r="25" spans="1:303" x14ac:dyDescent="0.35">
      <c r="A25" s="64"/>
      <c r="D25" s="34"/>
      <c r="E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FE25" s="34"/>
      <c r="FF25" s="34"/>
      <c r="FG25" s="34"/>
      <c r="FH25" s="34"/>
      <c r="FI25" s="34"/>
      <c r="FL25" s="34"/>
      <c r="FM25" s="17">
        <v>2.2999999999999998</v>
      </c>
      <c r="FN25" s="65">
        <v>1</v>
      </c>
      <c r="FO25" s="65">
        <v>-70</v>
      </c>
      <c r="FP25" s="65">
        <v>0</v>
      </c>
      <c r="FQ25" s="65">
        <v>-5</v>
      </c>
      <c r="FR25" s="65">
        <v>9</v>
      </c>
      <c r="FS25" s="65">
        <v>1</v>
      </c>
      <c r="FT25" s="65">
        <v>5.0000000000000001E-3</v>
      </c>
      <c r="FU25" s="34"/>
      <c r="FV25" s="34"/>
      <c r="FW25" s="34"/>
      <c r="FX25" s="34"/>
      <c r="FY25" s="34"/>
      <c r="FZ25" s="34"/>
      <c r="GA25" s="34"/>
      <c r="GB25" s="34"/>
      <c r="GC25" s="34"/>
      <c r="GD25" s="34"/>
      <c r="GE25" s="34"/>
      <c r="GF25" s="34"/>
      <c r="GL25" s="34"/>
      <c r="GN25" s="141">
        <v>0.15</v>
      </c>
      <c r="HI25" s="14">
        <v>0.3</v>
      </c>
      <c r="HJ25" s="141">
        <v>0.14000000000000001</v>
      </c>
      <c r="HK25" s="14">
        <v>0.33</v>
      </c>
      <c r="HL25" s="141">
        <v>0.1</v>
      </c>
      <c r="HM25" s="141">
        <v>0.3</v>
      </c>
      <c r="HO25" s="141">
        <v>0.1</v>
      </c>
      <c r="HP25" s="142">
        <v>1</v>
      </c>
      <c r="HQ25" s="142">
        <v>60</v>
      </c>
      <c r="HR25" s="142">
        <v>0</v>
      </c>
      <c r="HS25" s="142">
        <v>-48</v>
      </c>
      <c r="HT25" s="142">
        <v>3</v>
      </c>
      <c r="HU25" s="142">
        <v>1</v>
      </c>
      <c r="HV25" s="142">
        <v>0.01</v>
      </c>
      <c r="HW25" s="142"/>
      <c r="HX25" s="142"/>
      <c r="HY25" s="142"/>
      <c r="HZ25" s="142"/>
      <c r="IA25" s="142"/>
      <c r="IB25" s="142"/>
      <c r="IC25" s="142"/>
      <c r="ID25" s="142">
        <v>0.6</v>
      </c>
      <c r="IE25" s="142">
        <v>-62</v>
      </c>
      <c r="IF25" s="142">
        <v>1</v>
      </c>
      <c r="IG25" s="142">
        <v>1</v>
      </c>
      <c r="IH25" s="145">
        <v>2.5</v>
      </c>
      <c r="II25" s="145">
        <v>0.25</v>
      </c>
      <c r="IJ25" s="145">
        <v>-55</v>
      </c>
      <c r="IK25" s="145">
        <v>-1.5</v>
      </c>
      <c r="IL25" s="145">
        <v>1</v>
      </c>
      <c r="IM25" s="145">
        <v>-42</v>
      </c>
      <c r="IN25" s="145">
        <v>1.5</v>
      </c>
      <c r="IO25" s="146">
        <v>1</v>
      </c>
      <c r="IP25" s="34"/>
      <c r="IQ25" s="34"/>
      <c r="IR25" s="34"/>
      <c r="IS25" s="34"/>
      <c r="IT25" s="34"/>
      <c r="IU25" s="34"/>
      <c r="IV25" s="34"/>
      <c r="IW25" s="34"/>
      <c r="IX25" s="34"/>
      <c r="IY25" s="34"/>
      <c r="IZ25" s="34"/>
      <c r="JA25" s="34"/>
      <c r="JB25" s="34"/>
      <c r="JC25" s="34"/>
      <c r="JD25" s="34"/>
    </row>
    <row r="26" spans="1:303" x14ac:dyDescent="0.35">
      <c r="D26" s="34"/>
      <c r="E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FE26" s="34"/>
      <c r="FL26" s="34"/>
      <c r="FM26" s="17">
        <v>0</v>
      </c>
      <c r="FN26" s="65">
        <f>FN25</f>
        <v>1</v>
      </c>
      <c r="FO26" s="65">
        <f t="shared" ref="FO26:FP26" si="0">FO25</f>
        <v>-70</v>
      </c>
      <c r="FP26" s="65">
        <f t="shared" si="0"/>
        <v>0</v>
      </c>
      <c r="FQ26" s="65">
        <v>-5</v>
      </c>
      <c r="FR26" s="65">
        <f>FR25</f>
        <v>9</v>
      </c>
      <c r="FS26" s="65">
        <f t="shared" ref="FS26:FT26" si="1">FS25</f>
        <v>1</v>
      </c>
      <c r="FT26" s="65">
        <f t="shared" si="1"/>
        <v>5.0000000000000001E-3</v>
      </c>
      <c r="FU26" s="34"/>
      <c r="FV26" s="34"/>
      <c r="FW26" s="34"/>
      <c r="FX26" s="34"/>
      <c r="FY26" s="34"/>
      <c r="FZ26" s="34"/>
      <c r="GA26" s="34"/>
      <c r="GB26" s="34"/>
      <c r="GC26" s="34"/>
      <c r="GD26" s="34"/>
      <c r="GE26" s="34"/>
      <c r="GF26" s="34"/>
      <c r="GL26" s="34"/>
      <c r="GN26" s="39">
        <v>0.26</v>
      </c>
      <c r="HJ26" s="39">
        <v>0.08</v>
      </c>
      <c r="HK26" s="14">
        <v>0.33</v>
      </c>
      <c r="HL26" s="39">
        <v>0.1</v>
      </c>
      <c r="HM26" s="39">
        <v>0.5</v>
      </c>
      <c r="HO26" s="39">
        <v>0.12</v>
      </c>
      <c r="HP26" s="65">
        <f t="shared" ref="HP26:HR26" si="2">HP25</f>
        <v>1</v>
      </c>
      <c r="HQ26" s="65">
        <f t="shared" si="2"/>
        <v>60</v>
      </c>
      <c r="HR26" s="65">
        <f t="shared" si="2"/>
        <v>0</v>
      </c>
      <c r="HS26" s="65">
        <v>-43</v>
      </c>
      <c r="HT26" s="65">
        <f t="shared" ref="HT26:HV26" si="3">HT25</f>
        <v>3</v>
      </c>
      <c r="HU26" s="65">
        <f t="shared" si="3"/>
        <v>1</v>
      </c>
      <c r="HV26" s="65">
        <f t="shared" si="3"/>
        <v>0.01</v>
      </c>
      <c r="HW26" s="65"/>
      <c r="HX26" s="65"/>
      <c r="HY26" s="65"/>
      <c r="HZ26" s="65"/>
      <c r="IA26" s="65"/>
      <c r="IB26" s="65"/>
      <c r="IC26" s="65"/>
      <c r="ID26" s="65">
        <f t="shared" ref="ID26:IO26" si="4">ID25</f>
        <v>0.6</v>
      </c>
      <c r="IE26" s="65">
        <f t="shared" si="4"/>
        <v>-62</v>
      </c>
      <c r="IF26" s="65">
        <f t="shared" si="4"/>
        <v>1</v>
      </c>
      <c r="IG26" s="45">
        <f t="shared" si="4"/>
        <v>1</v>
      </c>
      <c r="IH26" s="65">
        <f t="shared" si="4"/>
        <v>2.5</v>
      </c>
      <c r="II26" s="65">
        <f t="shared" si="4"/>
        <v>0.25</v>
      </c>
      <c r="IJ26" s="65">
        <f t="shared" si="4"/>
        <v>-55</v>
      </c>
      <c r="IK26" s="65">
        <f t="shared" si="4"/>
        <v>-1.5</v>
      </c>
      <c r="IL26" s="65">
        <f t="shared" si="4"/>
        <v>1</v>
      </c>
      <c r="IM26" s="65">
        <f t="shared" si="4"/>
        <v>-42</v>
      </c>
      <c r="IN26" s="65">
        <f t="shared" si="4"/>
        <v>1.5</v>
      </c>
      <c r="IO26" s="65">
        <f t="shared" si="4"/>
        <v>1</v>
      </c>
      <c r="IP26" s="34"/>
      <c r="IQ26" s="34"/>
      <c r="IR26" s="34"/>
      <c r="IS26" s="34"/>
      <c r="IT26" s="34"/>
      <c r="IU26" s="34"/>
      <c r="IV26" s="34"/>
      <c r="IW26" s="34"/>
      <c r="IX26" s="34"/>
      <c r="IY26" s="34"/>
      <c r="IZ26" s="34"/>
      <c r="JA26" s="34"/>
      <c r="JB26" s="34"/>
      <c r="JC26" s="34"/>
      <c r="JD26" s="34"/>
    </row>
    <row r="27" spans="1:303" x14ac:dyDescent="0.35">
      <c r="D27" s="34"/>
      <c r="E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FE27" s="34"/>
      <c r="FF27" s="34"/>
      <c r="FG27" s="34"/>
      <c r="FH27" s="34"/>
      <c r="FI27" s="34"/>
      <c r="FL27" s="34"/>
      <c r="FM27" s="17">
        <v>1.1000000000000001</v>
      </c>
      <c r="FN27" s="65">
        <v>1</v>
      </c>
      <c r="FO27" s="65">
        <f t="shared" ref="FO27:FP27" si="5">FO25</f>
        <v>-70</v>
      </c>
      <c r="FP27" s="65">
        <f t="shared" si="5"/>
        <v>0</v>
      </c>
      <c r="FQ27" s="65">
        <v>5</v>
      </c>
      <c r="FR27" s="65">
        <v>9</v>
      </c>
      <c r="FS27" s="65">
        <f t="shared" ref="FS27:FT27" si="6">FS25</f>
        <v>1</v>
      </c>
      <c r="FT27" s="65">
        <f t="shared" si="6"/>
        <v>5.0000000000000001E-3</v>
      </c>
      <c r="FU27" s="34"/>
      <c r="FV27" s="34"/>
      <c r="FW27" s="34"/>
      <c r="FX27" s="34"/>
      <c r="FY27" s="34"/>
      <c r="FZ27" s="34"/>
      <c r="GA27" s="34"/>
      <c r="GB27" s="34"/>
      <c r="GC27" s="34"/>
      <c r="GD27" s="34"/>
      <c r="GE27" s="34"/>
      <c r="GF27" s="34"/>
      <c r="GL27" s="34"/>
      <c r="GN27" s="39">
        <v>0.85</v>
      </c>
      <c r="GO27" s="34"/>
      <c r="GP27" s="34"/>
      <c r="GQ27" s="34"/>
      <c r="GR27" s="34"/>
      <c r="GS27" s="34"/>
      <c r="GT27" s="34"/>
      <c r="GU27" s="34"/>
      <c r="GV27" s="34"/>
      <c r="GW27" s="34"/>
      <c r="GX27" s="34"/>
      <c r="GY27" s="34"/>
      <c r="HJ27" s="39">
        <v>0.15</v>
      </c>
      <c r="HK27" s="14">
        <v>0.33</v>
      </c>
      <c r="HL27" s="39">
        <v>0.1</v>
      </c>
      <c r="HM27" s="39">
        <v>0.3</v>
      </c>
      <c r="HO27" s="39">
        <v>0.12</v>
      </c>
      <c r="HP27" s="65">
        <f t="shared" ref="HP27:HV27" si="7">HP25</f>
        <v>1</v>
      </c>
      <c r="HQ27" s="65">
        <f t="shared" si="7"/>
        <v>60</v>
      </c>
      <c r="HR27" s="65">
        <f t="shared" si="7"/>
        <v>0</v>
      </c>
      <c r="HS27" s="65">
        <f t="shared" si="7"/>
        <v>-48</v>
      </c>
      <c r="HT27" s="65">
        <f t="shared" si="7"/>
        <v>3</v>
      </c>
      <c r="HU27" s="65">
        <f t="shared" si="7"/>
        <v>1</v>
      </c>
      <c r="HV27" s="65">
        <f t="shared" si="7"/>
        <v>0.01</v>
      </c>
      <c r="HW27" s="65"/>
      <c r="HX27" s="65"/>
      <c r="HY27" s="65"/>
      <c r="HZ27" s="65"/>
      <c r="IA27" s="65"/>
      <c r="IB27" s="65"/>
      <c r="IC27" s="65"/>
      <c r="ID27" s="65">
        <f t="shared" ref="ID27:IO27" si="8">ID25</f>
        <v>0.6</v>
      </c>
      <c r="IE27" s="65">
        <f t="shared" si="8"/>
        <v>-62</v>
      </c>
      <c r="IF27" s="65">
        <f t="shared" si="8"/>
        <v>1</v>
      </c>
      <c r="IG27" s="45">
        <f t="shared" si="8"/>
        <v>1</v>
      </c>
      <c r="IH27" s="65">
        <f t="shared" si="8"/>
        <v>2.5</v>
      </c>
      <c r="II27" s="65">
        <f t="shared" si="8"/>
        <v>0.25</v>
      </c>
      <c r="IJ27" s="65">
        <f t="shared" si="8"/>
        <v>-55</v>
      </c>
      <c r="IK27" s="65">
        <f t="shared" si="8"/>
        <v>-1.5</v>
      </c>
      <c r="IL27" s="65">
        <f t="shared" si="8"/>
        <v>1</v>
      </c>
      <c r="IM27" s="65">
        <f t="shared" si="8"/>
        <v>-42</v>
      </c>
      <c r="IN27" s="65">
        <f t="shared" si="8"/>
        <v>1.5</v>
      </c>
      <c r="IO27" s="65">
        <f t="shared" si="8"/>
        <v>1</v>
      </c>
      <c r="IP27" s="17">
        <v>8.5000000000000006E-2</v>
      </c>
      <c r="IQ27" s="65">
        <v>1</v>
      </c>
      <c r="IR27" s="65">
        <v>-40</v>
      </c>
      <c r="IS27" s="65">
        <v>0</v>
      </c>
      <c r="IT27" s="65">
        <v>-68</v>
      </c>
      <c r="IU27" s="65">
        <v>-4.8</v>
      </c>
      <c r="IV27" s="65">
        <v>1</v>
      </c>
      <c r="IW27" s="65">
        <v>14</v>
      </c>
      <c r="IX27" s="65">
        <v>0.9</v>
      </c>
      <c r="IY27" s="65">
        <v>-73</v>
      </c>
      <c r="IZ27" s="65">
        <v>-9</v>
      </c>
      <c r="JA27" s="65">
        <v>1</v>
      </c>
      <c r="JB27" s="65">
        <v>-75</v>
      </c>
      <c r="JC27" s="65">
        <v>9</v>
      </c>
      <c r="JD27" s="65">
        <v>1</v>
      </c>
    </row>
    <row r="28" spans="1:303" x14ac:dyDescent="0.35"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</row>
    <row r="29" spans="1:303" ht="15" thickBot="1" x14ac:dyDescent="0.4">
      <c r="D29" s="56" t="s">
        <v>108</v>
      </c>
      <c r="O29" s="56" t="s">
        <v>109</v>
      </c>
      <c r="Z29" s="56" t="s">
        <v>110</v>
      </c>
      <c r="BD29" s="56" t="s">
        <v>170</v>
      </c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/>
      <c r="EC29" s="34"/>
      <c r="ED29" s="34"/>
      <c r="EE29" s="34"/>
      <c r="EF29" s="34"/>
      <c r="EG29" s="34"/>
      <c r="EH29" s="34"/>
      <c r="HO29" s="34"/>
    </row>
    <row r="30" spans="1:303" ht="15" thickBot="1" x14ac:dyDescent="0.4">
      <c r="D30" s="72" t="s">
        <v>0</v>
      </c>
      <c r="E30" s="52" t="s">
        <v>103</v>
      </c>
      <c r="F30" s="53" t="s">
        <v>105</v>
      </c>
      <c r="G30" s="54" t="s">
        <v>106</v>
      </c>
      <c r="H30" s="52" t="s">
        <v>103</v>
      </c>
      <c r="I30" s="53" t="s">
        <v>105</v>
      </c>
      <c r="J30" s="54" t="s">
        <v>106</v>
      </c>
      <c r="K30" s="52" t="s">
        <v>103</v>
      </c>
      <c r="L30" s="53" t="s">
        <v>105</v>
      </c>
      <c r="M30" s="54" t="s">
        <v>106</v>
      </c>
      <c r="O30" s="55" t="s">
        <v>0</v>
      </c>
      <c r="P30" s="52" t="s">
        <v>107</v>
      </c>
      <c r="Q30" s="54" t="s">
        <v>103</v>
      </c>
      <c r="R30" s="52" t="s">
        <v>107</v>
      </c>
      <c r="S30" s="54" t="s">
        <v>103</v>
      </c>
      <c r="T30" s="52" t="s">
        <v>107</v>
      </c>
      <c r="U30" s="54" t="s">
        <v>103</v>
      </c>
      <c r="V30" s="52" t="s">
        <v>107</v>
      </c>
      <c r="W30" s="54" t="s">
        <v>103</v>
      </c>
      <c r="X30" s="34"/>
      <c r="Z30" s="15" t="s">
        <v>0</v>
      </c>
      <c r="AA30" s="52" t="s">
        <v>103</v>
      </c>
      <c r="AB30" s="53" t="s">
        <v>107</v>
      </c>
      <c r="AC30" s="53" t="s">
        <v>122</v>
      </c>
      <c r="AD30" s="53" t="s">
        <v>121</v>
      </c>
      <c r="AE30" s="53" t="s">
        <v>119</v>
      </c>
      <c r="AF30" s="53" t="s">
        <v>120</v>
      </c>
      <c r="AG30" s="54" t="s">
        <v>116</v>
      </c>
      <c r="AH30" s="52" t="s">
        <v>103</v>
      </c>
      <c r="AI30" s="53" t="s">
        <v>107</v>
      </c>
      <c r="AJ30" s="53" t="s">
        <v>122</v>
      </c>
      <c r="AK30" s="53" t="s">
        <v>121</v>
      </c>
      <c r="AL30" s="53" t="s">
        <v>119</v>
      </c>
      <c r="AM30" s="53" t="s">
        <v>120</v>
      </c>
      <c r="AN30" s="54" t="s">
        <v>116</v>
      </c>
      <c r="AO30" s="52" t="s">
        <v>103</v>
      </c>
      <c r="AP30" s="53" t="s">
        <v>107</v>
      </c>
      <c r="AQ30" s="53" t="s">
        <v>122</v>
      </c>
      <c r="AR30" s="53" t="s">
        <v>121</v>
      </c>
      <c r="AS30" s="53" t="s">
        <v>119</v>
      </c>
      <c r="AT30" s="53" t="s">
        <v>120</v>
      </c>
      <c r="AU30" s="54" t="s">
        <v>116</v>
      </c>
      <c r="AV30" s="52" t="s">
        <v>103</v>
      </c>
      <c r="AW30" s="53" t="s">
        <v>107</v>
      </c>
      <c r="AX30" s="53" t="s">
        <v>122</v>
      </c>
      <c r="AY30" s="53" t="s">
        <v>121</v>
      </c>
      <c r="AZ30" s="53" t="s">
        <v>119</v>
      </c>
      <c r="BA30" s="53" t="s">
        <v>120</v>
      </c>
      <c r="BB30" s="54" t="s">
        <v>116</v>
      </c>
      <c r="BD30" s="72" t="s">
        <v>0</v>
      </c>
      <c r="BE30" s="52" t="s">
        <v>171</v>
      </c>
      <c r="DN30" s="34"/>
      <c r="DO30" s="34"/>
      <c r="DP30" s="34"/>
      <c r="DQ30" s="34"/>
      <c r="DR30" s="34"/>
      <c r="DS30" s="34"/>
      <c r="DT30" s="34"/>
      <c r="DU30" s="34"/>
      <c r="DV30" s="34"/>
      <c r="HO30" s="34"/>
    </row>
    <row r="31" spans="1:303" x14ac:dyDescent="0.35">
      <c r="D31" s="2"/>
      <c r="E31" s="39"/>
      <c r="F31" s="65"/>
      <c r="G31" s="65"/>
      <c r="H31" s="39"/>
      <c r="I31" s="65"/>
      <c r="J31" s="16"/>
      <c r="K31" s="39"/>
      <c r="L31" s="65"/>
      <c r="M31" s="16"/>
      <c r="O31" s="2"/>
      <c r="P31" s="39"/>
      <c r="Q31" s="16"/>
      <c r="R31" s="39"/>
      <c r="S31" s="16"/>
      <c r="T31" s="39"/>
      <c r="U31" s="16"/>
      <c r="V31" s="39"/>
      <c r="W31" s="16"/>
      <c r="Z31" s="2" t="str">
        <f>Neu!$B4</f>
        <v>A</v>
      </c>
      <c r="AA31" s="39"/>
      <c r="AB31" s="65"/>
      <c r="AC31" s="65"/>
      <c r="AD31" s="30"/>
      <c r="AE31" s="65"/>
      <c r="AF31" s="65"/>
      <c r="AG31" s="16"/>
      <c r="AH31" s="39"/>
      <c r="AI31" s="65"/>
      <c r="AJ31" s="65"/>
      <c r="AK31" s="30"/>
      <c r="AL31" s="65"/>
      <c r="AM31" s="65"/>
      <c r="AN31" s="16"/>
      <c r="AO31" s="39"/>
      <c r="AP31" s="65"/>
      <c r="AQ31" s="65"/>
      <c r="AR31" s="65"/>
      <c r="AS31" s="65"/>
      <c r="AT31" s="65"/>
      <c r="AU31" s="16"/>
      <c r="AV31" s="39"/>
      <c r="AW31" s="65"/>
      <c r="AX31" s="65"/>
      <c r="AY31" s="65"/>
      <c r="AZ31" s="65"/>
      <c r="BA31" s="65"/>
      <c r="BB31" s="16"/>
      <c r="BD31" s="2" t="str">
        <f>Neu!$B4</f>
        <v>A</v>
      </c>
      <c r="BE31" s="39">
        <v>-70</v>
      </c>
      <c r="DN31" s="34"/>
      <c r="DO31" s="34"/>
      <c r="DP31" s="34"/>
      <c r="DQ31" s="34"/>
      <c r="DR31" s="34"/>
      <c r="DS31" s="34"/>
      <c r="DT31" s="34"/>
      <c r="DU31" s="34"/>
      <c r="DV31" s="34"/>
      <c r="HO31" s="34"/>
    </row>
    <row r="32" spans="1:303" x14ac:dyDescent="0.35">
      <c r="D32" s="3"/>
      <c r="E32" s="39"/>
      <c r="F32" s="65"/>
      <c r="G32" s="65"/>
      <c r="H32" s="39"/>
      <c r="I32" s="65"/>
      <c r="J32" s="16"/>
      <c r="K32" s="39"/>
      <c r="L32" s="65"/>
      <c r="M32" s="16"/>
      <c r="O32" s="3"/>
      <c r="P32" s="39"/>
      <c r="Q32" s="16"/>
      <c r="R32" s="39"/>
      <c r="S32" s="16"/>
      <c r="T32" s="39"/>
      <c r="U32" s="16"/>
      <c r="V32" s="39"/>
      <c r="W32" s="16"/>
      <c r="Z32" s="3" t="str">
        <f>Neu!$B5</f>
        <v>B</v>
      </c>
      <c r="AA32" s="39"/>
      <c r="AB32" s="65"/>
      <c r="AC32" s="65"/>
      <c r="AD32" s="30"/>
      <c r="AE32" s="65"/>
      <c r="AF32" s="65"/>
      <c r="AG32" s="16"/>
      <c r="AH32" s="39"/>
      <c r="AI32" s="65"/>
      <c r="AJ32" s="65"/>
      <c r="AK32" s="30"/>
      <c r="AL32" s="65"/>
      <c r="AM32" s="65"/>
      <c r="AN32" s="16"/>
      <c r="AO32" s="39"/>
      <c r="AP32" s="65"/>
      <c r="AQ32" s="65"/>
      <c r="AR32" s="65"/>
      <c r="AS32" s="65"/>
      <c r="AT32" s="65"/>
      <c r="AU32" s="16"/>
      <c r="AV32" s="39"/>
      <c r="AW32" s="65"/>
      <c r="AX32" s="65"/>
      <c r="AY32" s="65"/>
      <c r="AZ32" s="65"/>
      <c r="BA32" s="65"/>
      <c r="BB32" s="16"/>
      <c r="BD32" s="3" t="str">
        <f>Neu!$B5</f>
        <v>B</v>
      </c>
      <c r="BE32" s="39">
        <v>-70</v>
      </c>
      <c r="DN32" s="34"/>
      <c r="DO32" s="34"/>
      <c r="DP32" s="34"/>
      <c r="DQ32" s="34"/>
      <c r="DR32" s="34"/>
      <c r="DS32" s="34"/>
      <c r="DT32" s="34"/>
      <c r="DU32" s="34"/>
      <c r="DV32" s="34"/>
    </row>
    <row r="33" spans="4:126" x14ac:dyDescent="0.35">
      <c r="D33" s="3"/>
      <c r="E33" s="39"/>
      <c r="F33" s="65"/>
      <c r="G33" s="65"/>
      <c r="H33" s="39"/>
      <c r="I33" s="65"/>
      <c r="J33" s="16"/>
      <c r="K33" s="39"/>
      <c r="L33" s="65"/>
      <c r="M33" s="16"/>
      <c r="O33" s="3"/>
      <c r="P33" s="39"/>
      <c r="Q33" s="16"/>
      <c r="R33" s="39"/>
      <c r="S33" s="16"/>
      <c r="T33" s="39"/>
      <c r="U33" s="16"/>
      <c r="V33" s="39"/>
      <c r="W33" s="16"/>
      <c r="Z33" s="3" t="str">
        <f>Neu!$B6</f>
        <v>C</v>
      </c>
      <c r="AA33" s="39"/>
      <c r="AB33" s="65"/>
      <c r="AC33" s="65"/>
      <c r="AD33" s="30"/>
      <c r="AE33" s="65"/>
      <c r="AF33" s="65"/>
      <c r="AG33" s="16"/>
      <c r="AH33" s="39"/>
      <c r="AI33" s="65"/>
      <c r="AJ33" s="65"/>
      <c r="AK33" s="30"/>
      <c r="AL33" s="65"/>
      <c r="AM33" s="65"/>
      <c r="AN33" s="16"/>
      <c r="AO33" s="39"/>
      <c r="AP33" s="65"/>
      <c r="AQ33" s="65"/>
      <c r="AR33" s="65"/>
      <c r="AS33" s="65"/>
      <c r="AT33" s="65"/>
      <c r="AU33" s="16"/>
      <c r="AV33" s="39"/>
      <c r="AW33" s="65"/>
      <c r="AX33" s="65"/>
      <c r="AY33" s="65"/>
      <c r="AZ33" s="65"/>
      <c r="BA33" s="65"/>
      <c r="BB33" s="16"/>
      <c r="BD33" s="3" t="str">
        <f>Neu!$B6</f>
        <v>C</v>
      </c>
      <c r="BE33" s="39">
        <v>-70</v>
      </c>
      <c r="DN33" s="34"/>
      <c r="DO33" s="34"/>
      <c r="DP33" s="34"/>
      <c r="DQ33" s="34"/>
      <c r="DR33" s="34"/>
      <c r="DS33" s="34"/>
      <c r="DT33" s="34"/>
      <c r="DU33" s="34"/>
      <c r="DV33" s="34"/>
    </row>
    <row r="34" spans="4:126" x14ac:dyDescent="0.35">
      <c r="D34" s="3"/>
      <c r="E34" s="17"/>
      <c r="F34" s="65"/>
      <c r="G34" s="16"/>
      <c r="H34" s="39"/>
      <c r="I34" s="65"/>
      <c r="J34" s="16"/>
      <c r="K34" s="39"/>
      <c r="L34" s="65"/>
      <c r="M34" s="16"/>
      <c r="O34" s="3"/>
      <c r="P34" s="39"/>
      <c r="Q34" s="16"/>
      <c r="R34" s="39"/>
      <c r="S34" s="16"/>
      <c r="T34" s="39"/>
      <c r="U34" s="16"/>
      <c r="V34" s="39"/>
      <c r="W34" s="16"/>
      <c r="Z34" s="3">
        <f>Neu!$B7</f>
        <v>0</v>
      </c>
      <c r="AA34" s="39"/>
      <c r="AB34" s="65"/>
      <c r="AC34" s="65"/>
      <c r="AD34" s="65"/>
      <c r="AE34" s="65"/>
      <c r="AF34" s="65"/>
      <c r="AG34" s="16"/>
      <c r="AH34" s="39"/>
      <c r="AI34" s="65"/>
      <c r="AJ34" s="65"/>
      <c r="AK34" s="65"/>
      <c r="AL34" s="65"/>
      <c r="AM34" s="65"/>
      <c r="AN34" s="16"/>
      <c r="AO34" s="39"/>
      <c r="AP34" s="65"/>
      <c r="AQ34" s="65"/>
      <c r="AR34" s="65"/>
      <c r="AS34" s="65"/>
      <c r="AT34" s="65"/>
      <c r="AU34" s="16"/>
      <c r="AV34" s="39"/>
      <c r="AW34" s="65"/>
      <c r="AX34" s="65"/>
      <c r="AY34" s="65"/>
      <c r="AZ34" s="65"/>
      <c r="BA34" s="65"/>
      <c r="BB34" s="16"/>
      <c r="BD34" s="3">
        <f>Neu!$B7</f>
        <v>0</v>
      </c>
      <c r="BE34" s="17">
        <v>-70</v>
      </c>
    </row>
    <row r="35" spans="4:126" x14ac:dyDescent="0.35">
      <c r="D35" s="3">
        <f>Neu!$B8</f>
        <v>0</v>
      </c>
      <c r="E35" s="17"/>
      <c r="F35" s="65"/>
      <c r="G35" s="16"/>
      <c r="H35" s="39"/>
      <c r="I35" s="65"/>
      <c r="J35" s="16"/>
      <c r="K35" s="39"/>
      <c r="L35" s="65"/>
      <c r="M35" s="16"/>
      <c r="O35" s="3">
        <f>Neu!$B8</f>
        <v>0</v>
      </c>
      <c r="P35" s="39"/>
      <c r="Q35" s="16"/>
      <c r="R35" s="39"/>
      <c r="S35" s="16"/>
      <c r="T35" s="39"/>
      <c r="U35" s="16"/>
      <c r="V35" s="39"/>
      <c r="W35" s="16"/>
      <c r="Z35" s="3">
        <f>Neu!$B8</f>
        <v>0</v>
      </c>
      <c r="AA35" s="39"/>
      <c r="AB35" s="65"/>
      <c r="AC35" s="65"/>
      <c r="AD35" s="30"/>
      <c r="AE35" s="65"/>
      <c r="AF35" s="65"/>
      <c r="AG35" s="16"/>
      <c r="AH35" s="39"/>
      <c r="AI35" s="65"/>
      <c r="AJ35" s="65"/>
      <c r="AK35" s="30"/>
      <c r="AL35" s="65"/>
      <c r="AM35" s="65"/>
      <c r="AN35" s="16"/>
      <c r="AO35" s="39"/>
      <c r="AP35" s="65"/>
      <c r="AQ35" s="65"/>
      <c r="AR35" s="65"/>
      <c r="AS35" s="65"/>
      <c r="AT35" s="65"/>
      <c r="AU35" s="16"/>
      <c r="AV35" s="39"/>
      <c r="AW35" s="65"/>
      <c r="AX35" s="65"/>
      <c r="AY35" s="65"/>
      <c r="AZ35" s="65"/>
      <c r="BA35" s="65"/>
      <c r="BB35" s="16"/>
      <c r="BD35" s="3">
        <f>Neu!$B8</f>
        <v>0</v>
      </c>
      <c r="BE35" s="17">
        <v>-70</v>
      </c>
    </row>
    <row r="36" spans="4:126" x14ac:dyDescent="0.35">
      <c r="D36" s="3">
        <f>Neu!$B9</f>
        <v>0</v>
      </c>
      <c r="E36" s="17"/>
      <c r="F36" s="65"/>
      <c r="G36" s="16"/>
      <c r="H36" s="39"/>
      <c r="I36" s="65"/>
      <c r="J36" s="16"/>
      <c r="K36" s="39"/>
      <c r="L36" s="65"/>
      <c r="M36" s="16"/>
      <c r="O36" s="3">
        <f>Neu!$B9</f>
        <v>0</v>
      </c>
      <c r="P36" s="39"/>
      <c r="Q36" s="16"/>
      <c r="R36" s="39"/>
      <c r="S36" s="16"/>
      <c r="T36" s="39"/>
      <c r="U36" s="16"/>
      <c r="V36" s="39"/>
      <c r="W36" s="16"/>
      <c r="Z36" s="3">
        <f>Neu!$B9</f>
        <v>0</v>
      </c>
      <c r="AA36" s="39"/>
      <c r="AB36" s="65"/>
      <c r="AC36" s="65"/>
      <c r="AD36" s="65"/>
      <c r="AE36" s="65"/>
      <c r="AF36" s="65"/>
      <c r="AG36" s="16"/>
      <c r="AH36" s="39"/>
      <c r="AI36" s="65"/>
      <c r="AJ36" s="65"/>
      <c r="AK36" s="65"/>
      <c r="AL36" s="65"/>
      <c r="AM36" s="65"/>
      <c r="AN36" s="16"/>
      <c r="AO36" s="39"/>
      <c r="AP36" s="65"/>
      <c r="AQ36" s="65"/>
      <c r="AR36" s="65"/>
      <c r="AS36" s="65"/>
      <c r="AT36" s="65"/>
      <c r="AU36" s="16"/>
      <c r="AV36" s="39"/>
      <c r="AW36" s="65"/>
      <c r="AX36" s="65"/>
      <c r="AY36" s="65"/>
      <c r="AZ36" s="65"/>
      <c r="BA36" s="65"/>
      <c r="BB36" s="16"/>
      <c r="BD36" s="3">
        <f>Neu!$B9</f>
        <v>0</v>
      </c>
      <c r="BE36" s="17"/>
    </row>
    <row r="37" spans="4:126" x14ac:dyDescent="0.35">
      <c r="D37" s="3">
        <f>Neu!$B10</f>
        <v>0</v>
      </c>
      <c r="E37" s="17"/>
      <c r="F37" s="65"/>
      <c r="G37" s="16"/>
      <c r="H37" s="39"/>
      <c r="I37" s="65"/>
      <c r="J37" s="16"/>
      <c r="K37" s="39"/>
      <c r="L37" s="65"/>
      <c r="M37" s="16"/>
      <c r="O37" s="3">
        <f>Neu!$B10</f>
        <v>0</v>
      </c>
      <c r="P37" s="39"/>
      <c r="Q37" s="16"/>
      <c r="R37" s="39"/>
      <c r="S37" s="16"/>
      <c r="T37" s="39"/>
      <c r="U37" s="16"/>
      <c r="V37" s="39"/>
      <c r="W37" s="16"/>
      <c r="Z37" s="3">
        <f>Neu!$B10</f>
        <v>0</v>
      </c>
      <c r="AA37" s="39"/>
      <c r="AB37" s="65"/>
      <c r="AC37" s="65"/>
      <c r="AD37" s="30"/>
      <c r="AE37" s="65"/>
      <c r="AF37" s="65"/>
      <c r="AG37" s="16"/>
      <c r="AH37" s="39"/>
      <c r="AI37" s="65"/>
      <c r="AJ37" s="65"/>
      <c r="AK37" s="65"/>
      <c r="AL37" s="65"/>
      <c r="AM37" s="65"/>
      <c r="AN37" s="16"/>
      <c r="AO37" s="39"/>
      <c r="AP37" s="65"/>
      <c r="AQ37" s="65"/>
      <c r="AR37" s="65"/>
      <c r="AS37" s="65"/>
      <c r="AT37" s="65"/>
      <c r="AU37" s="16"/>
      <c r="AV37" s="39"/>
      <c r="AW37" s="65"/>
      <c r="AX37" s="65"/>
      <c r="AY37" s="65"/>
      <c r="AZ37" s="65"/>
      <c r="BA37" s="65"/>
      <c r="BB37" s="16"/>
      <c r="BD37" s="3">
        <f>Neu!$B10</f>
        <v>0</v>
      </c>
      <c r="BE37" s="17"/>
    </row>
    <row r="38" spans="4:126" x14ac:dyDescent="0.35">
      <c r="D38" s="3">
        <f>Neu!$B11</f>
        <v>0</v>
      </c>
      <c r="E38" s="17"/>
      <c r="F38" s="65"/>
      <c r="G38" s="16"/>
      <c r="H38" s="39"/>
      <c r="I38" s="65"/>
      <c r="J38" s="16"/>
      <c r="K38" s="39"/>
      <c r="L38" s="65"/>
      <c r="M38" s="16"/>
      <c r="O38" s="3">
        <f>Neu!$B11</f>
        <v>0</v>
      </c>
      <c r="P38" s="39"/>
      <c r="Q38" s="16"/>
      <c r="R38" s="39"/>
      <c r="S38" s="16"/>
      <c r="T38" s="39"/>
      <c r="U38" s="16"/>
      <c r="V38" s="39"/>
      <c r="W38" s="16"/>
      <c r="Z38" s="3">
        <f>Neu!$B11</f>
        <v>0</v>
      </c>
      <c r="AA38" s="39"/>
      <c r="AB38" s="65"/>
      <c r="AC38" s="65"/>
      <c r="AD38" s="30"/>
      <c r="AE38" s="65"/>
      <c r="AF38" s="65"/>
      <c r="AG38" s="16"/>
      <c r="AH38" s="39"/>
      <c r="AI38" s="65"/>
      <c r="AJ38" s="65"/>
      <c r="AK38" s="65"/>
      <c r="AL38" s="65"/>
      <c r="AM38" s="65"/>
      <c r="AN38" s="16"/>
      <c r="AO38" s="39"/>
      <c r="AP38" s="65"/>
      <c r="AQ38" s="65"/>
      <c r="AR38" s="65"/>
      <c r="AS38" s="65"/>
      <c r="AT38" s="65"/>
      <c r="AU38" s="16"/>
      <c r="AV38" s="39"/>
      <c r="AW38" s="65"/>
      <c r="AX38" s="65"/>
      <c r="AY38" s="65"/>
      <c r="AZ38" s="65"/>
      <c r="BA38" s="65"/>
      <c r="BB38" s="16"/>
      <c r="BD38" s="3">
        <f>Neu!$B11</f>
        <v>0</v>
      </c>
      <c r="BE38" s="17"/>
    </row>
    <row r="39" spans="4:126" x14ac:dyDescent="0.35">
      <c r="D39" s="3">
        <f>Neu!$B12</f>
        <v>0</v>
      </c>
      <c r="E39" s="17"/>
      <c r="F39" s="65"/>
      <c r="G39" s="16"/>
      <c r="H39" s="39"/>
      <c r="I39" s="65"/>
      <c r="J39" s="16"/>
      <c r="K39" s="39"/>
      <c r="L39" s="65"/>
      <c r="M39" s="16"/>
      <c r="O39" s="3">
        <f>Neu!$B12</f>
        <v>0</v>
      </c>
      <c r="P39" s="39"/>
      <c r="Q39" s="16"/>
      <c r="R39" s="39"/>
      <c r="S39" s="16"/>
      <c r="T39" s="39"/>
      <c r="U39" s="16"/>
      <c r="V39" s="39"/>
      <c r="W39" s="16"/>
      <c r="Z39" s="3">
        <f>Neu!$B12</f>
        <v>0</v>
      </c>
      <c r="AA39" s="39"/>
      <c r="AB39" s="65"/>
      <c r="AC39" s="65"/>
      <c r="AD39" s="30"/>
      <c r="AE39" s="65"/>
      <c r="AF39" s="65"/>
      <c r="AG39" s="16"/>
      <c r="AH39" s="39"/>
      <c r="AI39" s="65"/>
      <c r="AJ39" s="65"/>
      <c r="AK39" s="65"/>
      <c r="AL39" s="65"/>
      <c r="AM39" s="65"/>
      <c r="AN39" s="16"/>
      <c r="AO39" s="39"/>
      <c r="AP39" s="65"/>
      <c r="AQ39" s="65"/>
      <c r="AR39" s="65"/>
      <c r="AS39" s="65"/>
      <c r="AT39" s="65"/>
      <c r="AU39" s="16"/>
      <c r="AV39" s="39"/>
      <c r="AW39" s="65"/>
      <c r="AX39" s="65"/>
      <c r="AY39" s="65"/>
      <c r="AZ39" s="65"/>
      <c r="BA39" s="65"/>
      <c r="BB39" s="16"/>
      <c r="BD39" s="3">
        <f>Neu!$B12</f>
        <v>0</v>
      </c>
      <c r="BE39" s="17"/>
    </row>
    <row r="40" spans="4:126" x14ac:dyDescent="0.35">
      <c r="D40" s="3">
        <f>Neu!$B13</f>
        <v>0</v>
      </c>
      <c r="E40" s="17"/>
      <c r="F40" s="65"/>
      <c r="G40" s="16"/>
      <c r="H40" s="39"/>
      <c r="I40" s="65"/>
      <c r="J40" s="16"/>
      <c r="K40" s="39"/>
      <c r="L40" s="65"/>
      <c r="M40" s="16"/>
      <c r="O40" s="3">
        <f>Neu!$B13</f>
        <v>0</v>
      </c>
      <c r="P40" s="39"/>
      <c r="Q40" s="16"/>
      <c r="R40" s="39"/>
      <c r="S40" s="16"/>
      <c r="T40" s="39"/>
      <c r="U40" s="16"/>
      <c r="V40" s="39"/>
      <c r="W40" s="16"/>
      <c r="Z40" s="3">
        <f>Neu!$B13</f>
        <v>0</v>
      </c>
      <c r="AA40" s="39"/>
      <c r="AB40" s="65"/>
      <c r="AC40" s="65"/>
      <c r="AD40" s="30"/>
      <c r="AE40" s="65"/>
      <c r="AF40" s="65"/>
      <c r="AG40" s="16"/>
      <c r="AH40" s="39"/>
      <c r="AI40" s="65"/>
      <c r="AJ40" s="65"/>
      <c r="AK40" s="65"/>
      <c r="AL40" s="65"/>
      <c r="AM40" s="65"/>
      <c r="AN40" s="16"/>
      <c r="AO40" s="39"/>
      <c r="AP40" s="65"/>
      <c r="AQ40" s="65"/>
      <c r="AR40" s="65"/>
      <c r="AS40" s="65"/>
      <c r="AT40" s="65"/>
      <c r="AU40" s="16"/>
      <c r="AV40" s="39"/>
      <c r="AW40" s="65"/>
      <c r="AX40" s="65"/>
      <c r="AY40" s="65"/>
      <c r="AZ40" s="65"/>
      <c r="BA40" s="65"/>
      <c r="BB40" s="16"/>
      <c r="BD40" s="3">
        <f>Neu!$B13</f>
        <v>0</v>
      </c>
      <c r="BE40" s="17"/>
    </row>
    <row r="41" spans="4:126" x14ac:dyDescent="0.35">
      <c r="D41" s="3">
        <f>Neu!$B14</f>
        <v>0</v>
      </c>
      <c r="E41" s="17"/>
      <c r="F41" s="65"/>
      <c r="G41" s="16"/>
      <c r="H41" s="39"/>
      <c r="I41" s="65"/>
      <c r="J41" s="16"/>
      <c r="K41" s="39"/>
      <c r="L41" s="65"/>
      <c r="M41" s="16"/>
      <c r="O41" s="3">
        <f>Neu!$B14</f>
        <v>0</v>
      </c>
      <c r="P41" s="39"/>
      <c r="Q41" s="16"/>
      <c r="R41" s="39"/>
      <c r="S41" s="16"/>
      <c r="T41" s="39"/>
      <c r="U41" s="16"/>
      <c r="V41" s="39"/>
      <c r="W41" s="16"/>
      <c r="Z41" s="3">
        <f>Neu!$B14</f>
        <v>0</v>
      </c>
      <c r="AA41" s="39"/>
      <c r="AB41" s="65"/>
      <c r="AC41" s="65"/>
      <c r="AD41" s="30"/>
      <c r="AE41" s="65"/>
      <c r="AF41" s="65"/>
      <c r="AG41" s="16"/>
      <c r="AH41" s="39"/>
      <c r="AI41" s="65"/>
      <c r="AJ41" s="65"/>
      <c r="AK41" s="65"/>
      <c r="AL41" s="65"/>
      <c r="AM41" s="65"/>
      <c r="AN41" s="16"/>
      <c r="AO41" s="39"/>
      <c r="AP41" s="65"/>
      <c r="AQ41" s="65"/>
      <c r="AR41" s="65"/>
      <c r="AS41" s="65"/>
      <c r="AT41" s="65"/>
      <c r="AU41" s="16"/>
      <c r="AV41" s="39"/>
      <c r="AW41" s="65"/>
      <c r="AX41" s="65"/>
      <c r="AY41" s="65"/>
      <c r="AZ41" s="65"/>
      <c r="BA41" s="65"/>
      <c r="BB41" s="16"/>
      <c r="BD41" s="3">
        <f>Neu!$B14</f>
        <v>0</v>
      </c>
      <c r="BE41" s="17"/>
    </row>
    <row r="42" spans="4:126" x14ac:dyDescent="0.35">
      <c r="D42" s="3">
        <f>Neu!$B15</f>
        <v>0</v>
      </c>
      <c r="E42" s="17"/>
      <c r="F42" s="65"/>
      <c r="G42" s="16"/>
      <c r="H42" s="39"/>
      <c r="I42" s="65"/>
      <c r="J42" s="16"/>
      <c r="K42" s="39"/>
      <c r="L42" s="65"/>
      <c r="M42" s="16"/>
      <c r="O42" s="3">
        <f>Neu!$B15</f>
        <v>0</v>
      </c>
      <c r="P42" s="39"/>
      <c r="Q42" s="16"/>
      <c r="R42" s="39"/>
      <c r="S42" s="16"/>
      <c r="T42" s="39"/>
      <c r="U42" s="16"/>
      <c r="V42" s="39"/>
      <c r="W42" s="16"/>
      <c r="Z42" s="3">
        <f>Neu!$B15</f>
        <v>0</v>
      </c>
      <c r="AA42" s="39"/>
      <c r="AB42" s="65"/>
      <c r="AC42" s="65"/>
      <c r="AD42" s="30"/>
      <c r="AE42" s="65"/>
      <c r="AF42" s="65"/>
      <c r="AG42" s="16"/>
      <c r="AH42" s="39"/>
      <c r="AI42" s="65"/>
      <c r="AJ42" s="65"/>
      <c r="AK42" s="65"/>
      <c r="AL42" s="65"/>
      <c r="AM42" s="65"/>
      <c r="AN42" s="16"/>
      <c r="AO42" s="39"/>
      <c r="AP42" s="65"/>
      <c r="AQ42" s="65"/>
      <c r="AR42" s="65"/>
      <c r="AS42" s="65"/>
      <c r="AT42" s="65"/>
      <c r="AU42" s="16"/>
      <c r="AV42" s="39"/>
      <c r="AW42" s="65"/>
      <c r="AX42" s="65"/>
      <c r="AY42" s="65"/>
      <c r="AZ42" s="65"/>
      <c r="BA42" s="65"/>
      <c r="BB42" s="16"/>
      <c r="BD42" s="3">
        <f>Neu!$B15</f>
        <v>0</v>
      </c>
      <c r="BE42" s="17"/>
    </row>
    <row r="43" spans="4:126" x14ac:dyDescent="0.35">
      <c r="D43" s="3">
        <f>Neu!$B16</f>
        <v>0</v>
      </c>
      <c r="E43" s="17"/>
      <c r="F43" s="65"/>
      <c r="G43" s="16"/>
      <c r="H43" s="39"/>
      <c r="I43" s="65"/>
      <c r="J43" s="16"/>
      <c r="K43" s="39"/>
      <c r="L43" s="65"/>
      <c r="M43" s="16"/>
      <c r="O43" s="3">
        <f>Neu!$B16</f>
        <v>0</v>
      </c>
      <c r="P43" s="39"/>
      <c r="Q43" s="16"/>
      <c r="R43" s="39"/>
      <c r="S43" s="16"/>
      <c r="T43" s="39"/>
      <c r="U43" s="16"/>
      <c r="V43" s="39"/>
      <c r="W43" s="16"/>
      <c r="Z43" s="3">
        <f>Neu!$B16</f>
        <v>0</v>
      </c>
      <c r="AA43" s="39"/>
      <c r="AB43" s="65"/>
      <c r="AC43" s="65"/>
      <c r="AD43" s="30"/>
      <c r="AE43" s="65"/>
      <c r="AF43" s="65"/>
      <c r="AG43" s="16"/>
      <c r="AH43" s="39"/>
      <c r="AI43" s="65"/>
      <c r="AJ43" s="65"/>
      <c r="AK43" s="65"/>
      <c r="AL43" s="65"/>
      <c r="AM43" s="65"/>
      <c r="AN43" s="16"/>
      <c r="AO43" s="39"/>
      <c r="AP43" s="65"/>
      <c r="AQ43" s="65"/>
      <c r="AR43" s="65"/>
      <c r="AS43" s="65"/>
      <c r="AT43" s="65"/>
      <c r="AU43" s="16"/>
      <c r="AV43" s="39"/>
      <c r="AW43" s="65"/>
      <c r="AX43" s="65"/>
      <c r="AY43" s="65"/>
      <c r="AZ43" s="65"/>
      <c r="BA43" s="65"/>
      <c r="BB43" s="16"/>
      <c r="BD43" s="3">
        <f>Neu!$B16</f>
        <v>0</v>
      </c>
      <c r="BE43" s="17"/>
    </row>
    <row r="44" spans="4:126" x14ac:dyDescent="0.35">
      <c r="D44" s="3">
        <f>Neu!$B17</f>
        <v>0</v>
      </c>
      <c r="E44" s="17"/>
      <c r="F44" s="65"/>
      <c r="G44" s="16"/>
      <c r="H44" s="39"/>
      <c r="I44" s="65"/>
      <c r="J44" s="16"/>
      <c r="K44" s="39"/>
      <c r="L44" s="65"/>
      <c r="M44" s="16"/>
      <c r="O44" s="3">
        <f>Neu!$B17</f>
        <v>0</v>
      </c>
      <c r="P44" s="39"/>
      <c r="Q44" s="16"/>
      <c r="R44" s="39"/>
      <c r="S44" s="16"/>
      <c r="T44" s="39"/>
      <c r="U44" s="16"/>
      <c r="V44" s="39"/>
      <c r="W44" s="16"/>
      <c r="Z44" s="3">
        <f>Neu!$B17</f>
        <v>0</v>
      </c>
      <c r="AA44" s="39"/>
      <c r="AB44" s="65"/>
      <c r="AC44" s="65"/>
      <c r="AD44" s="30"/>
      <c r="AE44" s="65"/>
      <c r="AF44" s="65"/>
      <c r="AG44" s="16"/>
      <c r="AH44" s="39"/>
      <c r="AI44" s="65"/>
      <c r="AJ44" s="65"/>
      <c r="AK44" s="65"/>
      <c r="AL44" s="65"/>
      <c r="AM44" s="65"/>
      <c r="AN44" s="16"/>
      <c r="AO44" s="39"/>
      <c r="AP44" s="65"/>
      <c r="AQ44" s="65"/>
      <c r="AR44" s="65"/>
      <c r="AS44" s="65"/>
      <c r="AT44" s="65"/>
      <c r="AU44" s="16"/>
      <c r="AV44" s="39"/>
      <c r="AW44" s="65"/>
      <c r="AX44" s="65"/>
      <c r="AY44" s="65"/>
      <c r="AZ44" s="65"/>
      <c r="BA44" s="65"/>
      <c r="BB44" s="16"/>
      <c r="BD44" s="3">
        <f>Neu!$B17</f>
        <v>0</v>
      </c>
      <c r="BE44" s="17"/>
    </row>
    <row r="45" spans="4:126" x14ac:dyDescent="0.35">
      <c r="D45" s="3">
        <f>Neu!$B18</f>
        <v>0</v>
      </c>
      <c r="E45" s="17"/>
      <c r="F45" s="65"/>
      <c r="G45" s="16"/>
      <c r="H45" s="39"/>
      <c r="I45" s="65"/>
      <c r="J45" s="16"/>
      <c r="K45" s="39"/>
      <c r="L45" s="65"/>
      <c r="M45" s="16"/>
      <c r="O45" s="3">
        <f>Neu!$B18</f>
        <v>0</v>
      </c>
      <c r="P45" s="39"/>
      <c r="Q45" s="16"/>
      <c r="R45" s="39"/>
      <c r="S45" s="16"/>
      <c r="T45" s="39"/>
      <c r="U45" s="16"/>
      <c r="V45" s="39"/>
      <c r="W45" s="16"/>
      <c r="Z45" s="3">
        <f>Neu!$B18</f>
        <v>0</v>
      </c>
      <c r="AA45" s="39"/>
      <c r="AB45" s="65"/>
      <c r="AC45" s="65"/>
      <c r="AD45" s="30"/>
      <c r="AE45" s="65"/>
      <c r="AF45" s="65"/>
      <c r="AG45" s="16"/>
      <c r="AH45" s="39"/>
      <c r="AI45" s="65"/>
      <c r="AJ45" s="65"/>
      <c r="AK45" s="65"/>
      <c r="AL45" s="65"/>
      <c r="AM45" s="65"/>
      <c r="AN45" s="16"/>
      <c r="AO45" s="39"/>
      <c r="AP45" s="65"/>
      <c r="AQ45" s="65"/>
      <c r="AR45" s="65"/>
      <c r="AS45" s="65"/>
      <c r="AT45" s="65"/>
      <c r="AU45" s="16"/>
      <c r="AV45" s="39"/>
      <c r="AW45" s="65"/>
      <c r="AX45" s="65"/>
      <c r="AY45" s="65"/>
      <c r="AZ45" s="65"/>
      <c r="BA45" s="65"/>
      <c r="BB45" s="16"/>
      <c r="BD45" s="3">
        <f>Neu!$B18</f>
        <v>0</v>
      </c>
      <c r="BE45" s="17"/>
    </row>
    <row r="46" spans="4:126" x14ac:dyDescent="0.35">
      <c r="D46" s="3">
        <f>Neu!$B19</f>
        <v>0</v>
      </c>
      <c r="E46" s="17"/>
      <c r="F46" s="65"/>
      <c r="G46" s="16"/>
      <c r="H46" s="39"/>
      <c r="I46" s="65"/>
      <c r="J46" s="16"/>
      <c r="K46" s="39"/>
      <c r="L46" s="65"/>
      <c r="M46" s="16"/>
      <c r="O46" s="3">
        <f>Neu!$B19</f>
        <v>0</v>
      </c>
      <c r="P46" s="39"/>
      <c r="Q46" s="16"/>
      <c r="R46" s="39"/>
      <c r="S46" s="16"/>
      <c r="T46" s="39"/>
      <c r="U46" s="16"/>
      <c r="V46" s="39"/>
      <c r="W46" s="16"/>
      <c r="Z46" s="3">
        <f>Neu!$B19</f>
        <v>0</v>
      </c>
      <c r="AA46" s="39"/>
      <c r="AB46" s="65"/>
      <c r="AC46" s="65"/>
      <c r="AD46" s="30"/>
      <c r="AE46" s="65"/>
      <c r="AF46" s="65"/>
      <c r="AG46" s="16"/>
      <c r="AH46" s="39"/>
      <c r="AI46" s="65"/>
      <c r="AJ46" s="65"/>
      <c r="AK46" s="65"/>
      <c r="AL46" s="65"/>
      <c r="AM46" s="65"/>
      <c r="AN46" s="16"/>
      <c r="AO46" s="39"/>
      <c r="AP46" s="65"/>
      <c r="AQ46" s="65"/>
      <c r="AR46" s="65"/>
      <c r="AS46" s="65"/>
      <c r="AT46" s="65"/>
      <c r="AU46" s="16"/>
      <c r="AV46" s="39"/>
      <c r="AW46" s="65"/>
      <c r="AX46" s="65"/>
      <c r="AY46" s="65"/>
      <c r="AZ46" s="65"/>
      <c r="BA46" s="65"/>
      <c r="BB46" s="16"/>
      <c r="BD46" s="3">
        <f>Neu!$B19</f>
        <v>0</v>
      </c>
      <c r="BE46" s="17"/>
    </row>
    <row r="47" spans="4:126" x14ac:dyDescent="0.35">
      <c r="D47" s="3">
        <f>Neu!$B20</f>
        <v>0</v>
      </c>
      <c r="E47" s="17"/>
      <c r="F47" s="65"/>
      <c r="G47" s="16"/>
      <c r="H47" s="39"/>
      <c r="I47" s="65"/>
      <c r="J47" s="16"/>
      <c r="K47" s="39"/>
      <c r="L47" s="65"/>
      <c r="M47" s="16"/>
      <c r="O47" s="3">
        <f>Neu!$B20</f>
        <v>0</v>
      </c>
      <c r="P47" s="39"/>
      <c r="Q47" s="16"/>
      <c r="R47" s="39"/>
      <c r="S47" s="16"/>
      <c r="T47" s="39"/>
      <c r="U47" s="16"/>
      <c r="V47" s="39"/>
      <c r="W47" s="16"/>
      <c r="Z47" s="3">
        <f>Neu!$B20</f>
        <v>0</v>
      </c>
      <c r="AA47" s="39"/>
      <c r="AB47" s="65"/>
      <c r="AC47" s="65"/>
      <c r="AD47" s="30"/>
      <c r="AE47" s="65"/>
      <c r="AF47" s="65"/>
      <c r="AG47" s="16"/>
      <c r="AH47" s="39"/>
      <c r="AI47" s="65"/>
      <c r="AJ47" s="65"/>
      <c r="AK47" s="65"/>
      <c r="AL47" s="65"/>
      <c r="AM47" s="65"/>
      <c r="AN47" s="16"/>
      <c r="AO47" s="39"/>
      <c r="AP47" s="65"/>
      <c r="AQ47" s="65"/>
      <c r="AR47" s="65"/>
      <c r="AS47" s="65"/>
      <c r="AT47" s="65"/>
      <c r="AU47" s="16"/>
      <c r="AV47" s="39"/>
      <c r="AW47" s="65"/>
      <c r="AX47" s="65"/>
      <c r="AY47" s="65"/>
      <c r="AZ47" s="65"/>
      <c r="BA47" s="65"/>
      <c r="BB47" s="16"/>
      <c r="BD47" s="3">
        <f>Neu!$B20</f>
        <v>0</v>
      </c>
      <c r="BE47" s="17"/>
    </row>
    <row r="48" spans="4:126" x14ac:dyDescent="0.35">
      <c r="D48" s="3">
        <f>Neu!$B21</f>
        <v>0</v>
      </c>
      <c r="E48" s="17"/>
      <c r="F48" s="65"/>
      <c r="G48" s="16"/>
      <c r="H48" s="39"/>
      <c r="I48" s="65"/>
      <c r="J48" s="16"/>
      <c r="K48" s="39"/>
      <c r="L48" s="65"/>
      <c r="M48" s="16"/>
      <c r="O48" s="3">
        <f>Neu!$B21</f>
        <v>0</v>
      </c>
      <c r="P48" s="39"/>
      <c r="Q48" s="16"/>
      <c r="R48" s="39"/>
      <c r="S48" s="16"/>
      <c r="T48" s="39"/>
      <c r="U48" s="16"/>
      <c r="V48" s="39"/>
      <c r="W48" s="16"/>
      <c r="Z48" s="3">
        <f>Neu!$B21</f>
        <v>0</v>
      </c>
      <c r="AA48" s="39"/>
      <c r="AB48" s="65"/>
      <c r="AC48" s="65"/>
      <c r="AD48" s="30"/>
      <c r="AE48" s="65"/>
      <c r="AF48" s="65"/>
      <c r="AG48" s="16"/>
      <c r="AH48" s="39"/>
      <c r="AI48" s="65"/>
      <c r="AJ48" s="65"/>
      <c r="AK48" s="65"/>
      <c r="AL48" s="65"/>
      <c r="AM48" s="65"/>
      <c r="AN48" s="16"/>
      <c r="AO48" s="39"/>
      <c r="AP48" s="65"/>
      <c r="AQ48" s="65"/>
      <c r="AR48" s="65"/>
      <c r="AS48" s="65"/>
      <c r="AT48" s="65"/>
      <c r="AU48" s="16"/>
      <c r="AV48" s="39"/>
      <c r="AW48" s="65"/>
      <c r="AX48" s="65"/>
      <c r="AY48" s="65"/>
      <c r="AZ48" s="65"/>
      <c r="BA48" s="65"/>
      <c r="BB48" s="16"/>
      <c r="BD48" s="3">
        <f>Neu!$B21</f>
        <v>0</v>
      </c>
      <c r="BE48" s="17"/>
    </row>
    <row r="49" spans="3:57" x14ac:dyDescent="0.35">
      <c r="D49" s="3">
        <f>Neu!$B22</f>
        <v>0</v>
      </c>
      <c r="E49" s="17"/>
      <c r="F49" s="65"/>
      <c r="G49" s="16"/>
      <c r="H49" s="39"/>
      <c r="I49" s="65"/>
      <c r="J49" s="16"/>
      <c r="K49" s="39"/>
      <c r="L49" s="65"/>
      <c r="M49" s="16"/>
      <c r="O49" s="3">
        <f>Neu!$B22</f>
        <v>0</v>
      </c>
      <c r="P49" s="39"/>
      <c r="Q49" s="16"/>
      <c r="R49" s="39"/>
      <c r="S49" s="16"/>
      <c r="T49" s="39"/>
      <c r="U49" s="16"/>
      <c r="V49" s="39"/>
      <c r="W49" s="16"/>
      <c r="Z49" s="3">
        <f>Neu!$B22</f>
        <v>0</v>
      </c>
      <c r="AA49" s="39"/>
      <c r="AB49" s="65"/>
      <c r="AC49" s="65"/>
      <c r="AD49" s="30"/>
      <c r="AE49" s="65"/>
      <c r="AF49" s="65"/>
      <c r="AG49" s="16"/>
      <c r="AH49" s="39"/>
      <c r="AI49" s="65"/>
      <c r="AJ49" s="65"/>
      <c r="AK49" s="65"/>
      <c r="AL49" s="65"/>
      <c r="AM49" s="65"/>
      <c r="AN49" s="16"/>
      <c r="AO49" s="39"/>
      <c r="AP49" s="65"/>
      <c r="AQ49" s="65"/>
      <c r="AR49" s="65"/>
      <c r="AS49" s="65"/>
      <c r="AT49" s="65"/>
      <c r="AU49" s="16"/>
      <c r="AV49" s="39"/>
      <c r="AW49" s="65"/>
      <c r="AX49" s="65"/>
      <c r="AY49" s="65"/>
      <c r="AZ49" s="65"/>
      <c r="BA49" s="65"/>
      <c r="BB49" s="16"/>
      <c r="BD49" s="3">
        <f>Neu!$B22</f>
        <v>0</v>
      </c>
      <c r="BE49" s="17"/>
    </row>
    <row r="50" spans="3:57" x14ac:dyDescent="0.35">
      <c r="D50" s="3">
        <f>Neu!$B23</f>
        <v>0</v>
      </c>
      <c r="E50" s="17"/>
      <c r="F50" s="65"/>
      <c r="G50" s="16"/>
      <c r="H50" s="39"/>
      <c r="I50" s="65"/>
      <c r="J50" s="16"/>
      <c r="K50" s="39"/>
      <c r="L50" s="65"/>
      <c r="M50" s="16"/>
      <c r="O50" s="3">
        <f>Neu!$B23</f>
        <v>0</v>
      </c>
      <c r="P50" s="39"/>
      <c r="Q50" s="16"/>
      <c r="R50" s="39"/>
      <c r="S50" s="16"/>
      <c r="T50" s="39"/>
      <c r="U50" s="16"/>
      <c r="V50" s="39"/>
      <c r="W50" s="16"/>
      <c r="Z50" s="3">
        <f>Neu!$B23</f>
        <v>0</v>
      </c>
      <c r="AA50" s="39"/>
      <c r="AB50" s="65"/>
      <c r="AC50" s="65"/>
      <c r="AD50" s="30"/>
      <c r="AE50" s="65"/>
      <c r="AF50" s="65"/>
      <c r="AG50" s="16"/>
      <c r="AH50" s="39"/>
      <c r="AI50" s="65"/>
      <c r="AJ50" s="65"/>
      <c r="AK50" s="65"/>
      <c r="AL50" s="65"/>
      <c r="AM50" s="65"/>
      <c r="AN50" s="16"/>
      <c r="AO50" s="39"/>
      <c r="AP50" s="65"/>
      <c r="AQ50" s="65"/>
      <c r="AR50" s="65"/>
      <c r="AS50" s="65"/>
      <c r="AT50" s="65"/>
      <c r="AU50" s="16"/>
      <c r="AV50" s="39"/>
      <c r="AW50" s="65"/>
      <c r="AX50" s="65"/>
      <c r="AY50" s="65"/>
      <c r="AZ50" s="65"/>
      <c r="BA50" s="65"/>
      <c r="BB50" s="16"/>
      <c r="BD50" s="3">
        <f>Neu!$B23</f>
        <v>0</v>
      </c>
      <c r="BE50" s="17"/>
    </row>
    <row r="51" spans="3:57" ht="15" thickBot="1" x14ac:dyDescent="0.4">
      <c r="D51" s="5">
        <f>Neu!$B24</f>
        <v>0</v>
      </c>
      <c r="E51" s="18"/>
      <c r="F51" s="19"/>
      <c r="G51" s="41"/>
      <c r="H51" s="40"/>
      <c r="I51" s="19"/>
      <c r="J51" s="41"/>
      <c r="K51" s="40"/>
      <c r="L51" s="19"/>
      <c r="M51" s="41"/>
      <c r="O51" s="5">
        <f>Neu!$B24</f>
        <v>0</v>
      </c>
      <c r="P51" s="40"/>
      <c r="Q51" s="41"/>
      <c r="R51" s="40"/>
      <c r="S51" s="41"/>
      <c r="T51" s="40"/>
      <c r="U51" s="41"/>
      <c r="V51" s="40"/>
      <c r="W51" s="41"/>
      <c r="Z51" s="5">
        <f>Neu!$B24</f>
        <v>0</v>
      </c>
      <c r="AA51" s="40"/>
      <c r="AB51" s="19"/>
      <c r="AC51" s="19"/>
      <c r="AD51" s="59"/>
      <c r="AE51" s="19"/>
      <c r="AF51" s="19"/>
      <c r="AG51" s="41"/>
      <c r="AH51" s="40"/>
      <c r="AI51" s="19"/>
      <c r="AJ51" s="19"/>
      <c r="AK51" s="19"/>
      <c r="AL51" s="19"/>
      <c r="AM51" s="19"/>
      <c r="AN51" s="41"/>
      <c r="AO51" s="40"/>
      <c r="AP51" s="19"/>
      <c r="AQ51" s="19"/>
      <c r="AR51" s="19"/>
      <c r="AS51" s="19"/>
      <c r="AT51" s="19"/>
      <c r="AU51" s="41"/>
      <c r="AV51" s="40"/>
      <c r="AW51" s="19"/>
      <c r="AX51" s="19"/>
      <c r="AY51" s="19"/>
      <c r="AZ51" s="19"/>
      <c r="BA51" s="19"/>
      <c r="BB51" s="41"/>
      <c r="BD51" s="5">
        <f>Neu!$B24</f>
        <v>0</v>
      </c>
      <c r="BE51" s="18"/>
    </row>
    <row r="52" spans="3:57" x14ac:dyDescent="0.35">
      <c r="F52" s="14">
        <v>40</v>
      </c>
      <c r="I52" s="14">
        <v>0.3</v>
      </c>
      <c r="J52" s="14">
        <v>9</v>
      </c>
      <c r="AC52" s="34"/>
      <c r="AD52" s="71"/>
      <c r="AE52" s="34">
        <v>0.7</v>
      </c>
      <c r="AF52" s="34"/>
      <c r="AG52" s="34"/>
      <c r="AL52" s="14">
        <v>1.5</v>
      </c>
    </row>
    <row r="53" spans="3:57" x14ac:dyDescent="0.35">
      <c r="AE53" s="14">
        <v>0.1</v>
      </c>
      <c r="AL53" s="14">
        <v>0.5</v>
      </c>
    </row>
    <row r="54" spans="3:57" x14ac:dyDescent="0.35">
      <c r="F54" s="14" t="s">
        <v>145</v>
      </c>
      <c r="AC54" s="51" t="s">
        <v>123</v>
      </c>
      <c r="AD54" s="14" t="s">
        <v>111</v>
      </c>
      <c r="AG54" s="14" t="s">
        <v>113</v>
      </c>
      <c r="AM54" s="57" t="s">
        <v>126</v>
      </c>
      <c r="AN54" s="14" t="s">
        <v>172</v>
      </c>
    </row>
    <row r="55" spans="3:57" x14ac:dyDescent="0.35">
      <c r="AC55" s="51" t="s">
        <v>124</v>
      </c>
      <c r="AD55" s="14" t="s">
        <v>112</v>
      </c>
      <c r="AG55" s="14" t="s">
        <v>114</v>
      </c>
      <c r="AM55" s="57" t="s">
        <v>127</v>
      </c>
      <c r="AN55" s="14" t="s">
        <v>130</v>
      </c>
    </row>
    <row r="56" spans="3:57" x14ac:dyDescent="0.35">
      <c r="AC56" s="57" t="s">
        <v>125</v>
      </c>
      <c r="AD56" s="14" t="s">
        <v>117</v>
      </c>
      <c r="AG56" s="14" t="s">
        <v>115</v>
      </c>
      <c r="AM56" s="57" t="s">
        <v>125</v>
      </c>
      <c r="AN56" s="14" t="s">
        <v>131</v>
      </c>
    </row>
    <row r="57" spans="3:57" x14ac:dyDescent="0.35">
      <c r="C57" s="14" t="s">
        <v>95</v>
      </c>
      <c r="D57" s="14" t="s">
        <v>153</v>
      </c>
      <c r="AM57" s="57" t="s">
        <v>128</v>
      </c>
      <c r="AN57" s="14" t="s">
        <v>132</v>
      </c>
    </row>
    <row r="58" spans="3:57" x14ac:dyDescent="0.35">
      <c r="C58" s="14" t="s">
        <v>8</v>
      </c>
      <c r="D58" s="14" t="s">
        <v>154</v>
      </c>
      <c r="J58" s="39" t="s">
        <v>104</v>
      </c>
      <c r="K58" s="65">
        <f>N58</f>
        <v>0.03</v>
      </c>
      <c r="L58" s="65">
        <f>O58</f>
        <v>20</v>
      </c>
      <c r="M58" s="39" t="s">
        <v>168</v>
      </c>
      <c r="N58" s="65">
        <v>0.03</v>
      </c>
      <c r="O58" s="16">
        <v>20</v>
      </c>
      <c r="AM58" s="57" t="s">
        <v>129</v>
      </c>
      <c r="AN58" s="14" t="s">
        <v>133</v>
      </c>
    </row>
    <row r="59" spans="3:57" x14ac:dyDescent="0.35">
      <c r="C59" s="14" t="s">
        <v>9</v>
      </c>
      <c r="D59" s="14" t="s">
        <v>155</v>
      </c>
      <c r="J59" s="39" t="s">
        <v>104</v>
      </c>
      <c r="K59" s="65">
        <f t="shared" ref="K59" si="9">N59</f>
        <v>0.03</v>
      </c>
      <c r="L59" s="65">
        <f t="shared" ref="L59:L60" si="10">O59</f>
        <v>20</v>
      </c>
      <c r="M59" s="39" t="s">
        <v>168</v>
      </c>
      <c r="N59" s="65">
        <v>0.03</v>
      </c>
      <c r="O59" s="16">
        <v>20</v>
      </c>
      <c r="AM59" s="58"/>
    </row>
    <row r="60" spans="3:57" x14ac:dyDescent="0.35">
      <c r="C60" s="14" t="s">
        <v>10</v>
      </c>
      <c r="D60" s="14" t="s">
        <v>156</v>
      </c>
      <c r="J60" s="39" t="s">
        <v>104</v>
      </c>
      <c r="K60" s="65">
        <f>N60</f>
        <v>1.4999999999999999E-2</v>
      </c>
      <c r="L60" s="65">
        <f t="shared" si="10"/>
        <v>16</v>
      </c>
      <c r="M60" s="39" t="s">
        <v>168</v>
      </c>
      <c r="N60" s="65">
        <v>1.4999999999999999E-2</v>
      </c>
      <c r="O60" s="16">
        <v>16</v>
      </c>
    </row>
    <row r="61" spans="3:57" x14ac:dyDescent="0.35">
      <c r="C61" s="14" t="s">
        <v>91</v>
      </c>
      <c r="D61" s="14" t="s">
        <v>157</v>
      </c>
    </row>
    <row r="62" spans="3:57" x14ac:dyDescent="0.35">
      <c r="C62" s="14" t="s">
        <v>92</v>
      </c>
      <c r="D62" s="14" t="s">
        <v>158</v>
      </c>
    </row>
  </sheetData>
  <mergeCells count="46">
    <mergeCell ref="GN1:HN1"/>
    <mergeCell ref="GN2:GP2"/>
    <mergeCell ref="GQ2:HB2"/>
    <mergeCell ref="HC2:HN2"/>
    <mergeCell ref="CJ2:CL2"/>
    <mergeCell ref="CM2:CX2"/>
    <mergeCell ref="CY2:DJ2"/>
    <mergeCell ref="BI1:CI1"/>
    <mergeCell ref="FA2:FL2"/>
    <mergeCell ref="J2:U2"/>
    <mergeCell ref="V2:AG2"/>
    <mergeCell ref="G1:AG1"/>
    <mergeCell ref="BI2:BK2"/>
    <mergeCell ref="BL2:BW2"/>
    <mergeCell ref="IP1:JP1"/>
    <mergeCell ref="IP2:IR2"/>
    <mergeCell ref="IS2:JD2"/>
    <mergeCell ref="JE2:JP2"/>
    <mergeCell ref="BX2:CI2"/>
    <mergeCell ref="FM1:GM1"/>
    <mergeCell ref="FM2:FO2"/>
    <mergeCell ref="FP2:GA2"/>
    <mergeCell ref="GB2:GM2"/>
    <mergeCell ref="HO1:IO1"/>
    <mergeCell ref="HO2:HQ2"/>
    <mergeCell ref="HR2:IC2"/>
    <mergeCell ref="ID2:IO2"/>
    <mergeCell ref="EL1:FL1"/>
    <mergeCell ref="EL2:EN2"/>
    <mergeCell ref="EO2:EZ2"/>
    <mergeCell ref="JQ1:KQ1"/>
    <mergeCell ref="JQ2:JS2"/>
    <mergeCell ref="JT2:KE2"/>
    <mergeCell ref="KF2:KQ2"/>
    <mergeCell ref="E1:F1"/>
    <mergeCell ref="E2:F2"/>
    <mergeCell ref="G2:I2"/>
    <mergeCell ref="DK1:EK1"/>
    <mergeCell ref="DK2:DM2"/>
    <mergeCell ref="DN2:DY2"/>
    <mergeCell ref="DZ2:EK2"/>
    <mergeCell ref="AH1:BH1"/>
    <mergeCell ref="AH2:AJ2"/>
    <mergeCell ref="AK2:AV2"/>
    <mergeCell ref="AW2:BH2"/>
    <mergeCell ref="CJ1:DJ1"/>
  </mergeCells>
  <conditionalFormatting sqref="A4:A24">
    <cfRule type="cellIs" dxfId="189" priority="614" operator="equal">
      <formula>0</formula>
    </cfRule>
  </conditionalFormatting>
  <conditionalFormatting sqref="D31:D51">
    <cfRule type="cellIs" dxfId="188" priority="664" operator="equal">
      <formula>0</formula>
    </cfRule>
  </conditionalFormatting>
  <conditionalFormatting sqref="E25:E27">
    <cfRule type="notContainsBlanks" dxfId="187" priority="137">
      <formula>LEN(TRIM(E25))&gt;0</formula>
    </cfRule>
  </conditionalFormatting>
  <conditionalFormatting sqref="E4:BH24">
    <cfRule type="notContainsBlanks" dxfId="186" priority="1">
      <formula>LEN(TRIM(E4))&gt;0</formula>
    </cfRule>
  </conditionalFormatting>
  <conditionalFormatting sqref="G25:AD28">
    <cfRule type="notContainsBlanks" dxfId="185" priority="59">
      <formula>LEN(TRIM(G25))&gt;0</formula>
    </cfRule>
  </conditionalFormatting>
  <conditionalFormatting sqref="O31:O51">
    <cfRule type="cellIs" dxfId="184" priority="534" operator="equal">
      <formula>0</formula>
    </cfRule>
  </conditionalFormatting>
  <conditionalFormatting sqref="Z31:Z51">
    <cfRule type="cellIs" dxfId="183" priority="533" operator="equal">
      <formula>0</formula>
    </cfRule>
  </conditionalFormatting>
  <conditionalFormatting sqref="AG25:CB27">
    <cfRule type="notContainsBlanks" dxfId="182" priority="42">
      <formula>LEN(TRIM(AG25))&gt;0</formula>
    </cfRule>
  </conditionalFormatting>
  <conditionalFormatting sqref="BD31:BD51">
    <cfRule type="cellIs" dxfId="181" priority="368" operator="equal">
      <formula>0</formula>
    </cfRule>
  </conditionalFormatting>
  <conditionalFormatting sqref="BI7:CI24">
    <cfRule type="notContainsBlanks" dxfId="180" priority="658">
      <formula>LEN(TRIM(BI7))&gt;0</formula>
    </cfRule>
  </conditionalFormatting>
  <conditionalFormatting sqref="BI4:DJ6">
    <cfRule type="notContainsBlanks" dxfId="179" priority="36">
      <formula>LEN(TRIM(BI4))&gt;0</formula>
    </cfRule>
  </conditionalFormatting>
  <conditionalFormatting sqref="CJ25:CJ27">
    <cfRule type="notContainsBlanks" dxfId="178" priority="64">
      <formula>LEN(TRIM(CJ25))&gt;0</formula>
    </cfRule>
  </conditionalFormatting>
  <conditionalFormatting sqref="CJ7:DJ8">
    <cfRule type="notContainsBlanks" dxfId="177" priority="653">
      <formula>LEN(TRIM(CJ7))&gt;0</formula>
    </cfRule>
  </conditionalFormatting>
  <conditionalFormatting sqref="CJ9:FL24">
    <cfRule type="notContainsBlanks" dxfId="176" priority="553">
      <formula>LEN(TRIM(CJ9))&gt;0</formula>
    </cfRule>
  </conditionalFormatting>
  <conditionalFormatting sqref="CK25:DC26">
    <cfRule type="notContainsBlanks" dxfId="175" priority="63">
      <formula>LEN(TRIM(CK25))&gt;0</formula>
    </cfRule>
  </conditionalFormatting>
  <conditionalFormatting sqref="CK27:DG27">
    <cfRule type="notContainsBlanks" dxfId="174" priority="67">
      <formula>LEN(TRIM(CK27))&gt;0</formula>
    </cfRule>
  </conditionalFormatting>
  <conditionalFormatting sqref="DD25:DG25">
    <cfRule type="notContainsBlanks" dxfId="173" priority="656">
      <formula>LEN(TRIM(DD25))&gt;0</formula>
    </cfRule>
  </conditionalFormatting>
  <conditionalFormatting sqref="DJ25:EH27">
    <cfRule type="notContainsBlanks" dxfId="172" priority="140">
      <formula>LEN(TRIM(DJ25))&gt;0</formula>
    </cfRule>
  </conditionalFormatting>
  <conditionalFormatting sqref="DK28:EH29">
    <cfRule type="notContainsBlanks" dxfId="171" priority="650">
      <formula>LEN(TRIM(DK28))&gt;0</formula>
    </cfRule>
  </conditionalFormatting>
  <conditionalFormatting sqref="DK4:EK8">
    <cfRule type="notContainsBlanks" dxfId="170" priority="39">
      <formula>LEN(TRIM(DK4))&gt;0</formula>
    </cfRule>
  </conditionalFormatting>
  <conditionalFormatting sqref="EL6:FL8">
    <cfRule type="notContainsBlanks" dxfId="169" priority="503">
      <formula>LEN(TRIM(EL6))&gt;0</formula>
    </cfRule>
  </conditionalFormatting>
  <conditionalFormatting sqref="EL4:GM5">
    <cfRule type="notContainsBlanks" dxfId="168" priority="164">
      <formula>LEN(TRIM(EL4))&gt;0</formula>
    </cfRule>
  </conditionalFormatting>
  <conditionalFormatting sqref="FE26">
    <cfRule type="notContainsBlanks" dxfId="167" priority="551">
      <formula>LEN(TRIM(FE26))&gt;0</formula>
    </cfRule>
  </conditionalFormatting>
  <conditionalFormatting sqref="FE25:FI25">
    <cfRule type="notContainsBlanks" dxfId="166" priority="552">
      <formula>LEN(TRIM(FE25))&gt;0</formula>
    </cfRule>
  </conditionalFormatting>
  <conditionalFormatting sqref="FE27:FI27">
    <cfRule type="notContainsBlanks" dxfId="165" priority="550">
      <formula>LEN(TRIM(FE27))&gt;0</formula>
    </cfRule>
  </conditionalFormatting>
  <conditionalFormatting sqref="FL25:GF27">
    <cfRule type="notContainsBlanks" dxfId="164" priority="48">
      <formula>LEN(TRIM(FL25))&gt;0</formula>
    </cfRule>
  </conditionalFormatting>
  <conditionalFormatting sqref="FM4:FM6">
    <cfRule type="notContainsBlanks" dxfId="163" priority="165">
      <formula>LEN(TRIM(FM4))&gt;0</formula>
    </cfRule>
  </conditionalFormatting>
  <conditionalFormatting sqref="FM6:GM24">
    <cfRule type="notContainsBlanks" dxfId="162" priority="475">
      <formula>LEN(TRIM(FM6))&gt;0</formula>
    </cfRule>
  </conditionalFormatting>
  <conditionalFormatting sqref="FN25:FS26">
    <cfRule type="notContainsBlanks" dxfId="161" priority="51">
      <formula>LEN(TRIM(FN25))&gt;0</formula>
    </cfRule>
  </conditionalFormatting>
  <conditionalFormatting sqref="FN27:GA27">
    <cfRule type="notContainsBlanks" dxfId="160" priority="57">
      <formula>LEN(TRIM(FN27))&gt;0</formula>
    </cfRule>
  </conditionalFormatting>
  <conditionalFormatting sqref="FN6:GM6">
    <cfRule type="notContainsBlanks" dxfId="159" priority="497">
      <formula>LEN(TRIM(FN6))&gt;0</formula>
    </cfRule>
  </conditionalFormatting>
  <conditionalFormatting sqref="FU25:GF26">
    <cfRule type="notContainsBlanks" dxfId="158" priority="181">
      <formula>LEN(TRIM(FU25))&gt;0</formula>
    </cfRule>
  </conditionalFormatting>
  <conditionalFormatting sqref="GL25:GL27">
    <cfRule type="notContainsBlanks" dxfId="157" priority="574">
      <formula>LEN(TRIM(GL25))&gt;0</formula>
    </cfRule>
  </conditionalFormatting>
  <conditionalFormatting sqref="GN25:GN27">
    <cfRule type="notContainsBlanks" dxfId="156" priority="143">
      <formula>LEN(TRIM(GN25))&gt;0</formula>
    </cfRule>
  </conditionalFormatting>
  <conditionalFormatting sqref="GN4:HN24">
    <cfRule type="notContainsBlanks" dxfId="155" priority="466">
      <formula>LEN(TRIM(GN4))&gt;0</formula>
    </cfRule>
  </conditionalFormatting>
  <conditionalFormatting sqref="GU4:HB5">
    <cfRule type="notContainsBlanks" dxfId="154" priority="473">
      <formula>LEN(TRIM(GU4))&gt;0</formula>
    </cfRule>
  </conditionalFormatting>
  <conditionalFormatting sqref="HJ25:HJ27">
    <cfRule type="notContainsBlanks" dxfId="153" priority="247">
      <formula>LEN(TRIM(HJ25))&gt;0</formula>
    </cfRule>
  </conditionalFormatting>
  <conditionalFormatting sqref="HL25:HM27">
    <cfRule type="notContainsBlanks" dxfId="152" priority="309">
      <formula>LEN(TRIM(HL25))&gt;0</formula>
    </cfRule>
  </conditionalFormatting>
  <conditionalFormatting sqref="HO4">
    <cfRule type="notContainsBlanks" dxfId="151" priority="305">
      <formula>LEN(TRIM(HO4))&gt;0</formula>
    </cfRule>
  </conditionalFormatting>
  <conditionalFormatting sqref="HO25">
    <cfRule type="notContainsBlanks" dxfId="150" priority="75">
      <formula>LEN(TRIM(HO25))&gt;0</formula>
    </cfRule>
  </conditionalFormatting>
  <conditionalFormatting sqref="HO29:HO31">
    <cfRule type="notContainsBlanks" dxfId="149" priority="628">
      <formula>LEN(TRIM(HO29))&gt;0</formula>
    </cfRule>
  </conditionalFormatting>
  <conditionalFormatting sqref="HO9:IO27">
    <cfRule type="notContainsBlanks" dxfId="148" priority="70">
      <formula>LEN(TRIM(HO9))&gt;0</formula>
    </cfRule>
  </conditionalFormatting>
  <conditionalFormatting sqref="HO4:KQ8">
    <cfRule type="notContainsBlanks" dxfId="147" priority="300">
      <formula>LEN(TRIM(HO4))&gt;0</formula>
    </cfRule>
  </conditionalFormatting>
  <conditionalFormatting sqref="HP4:IO6">
    <cfRule type="notContainsBlanks" dxfId="146" priority="381">
      <formula>LEN(TRIM(HP4))&gt;0</formula>
    </cfRule>
  </conditionalFormatting>
  <conditionalFormatting sqref="HP25:JD27">
    <cfRule type="notContainsBlanks" dxfId="145" priority="79">
      <formula>LEN(TRIM(HP25))&gt;0</formula>
    </cfRule>
  </conditionalFormatting>
  <conditionalFormatting sqref="HV4:IC5">
    <cfRule type="notContainsBlanks" dxfId="144" priority="449">
      <formula>LEN(TRIM(HV4))&gt;0</formula>
    </cfRule>
  </conditionalFormatting>
  <conditionalFormatting sqref="HV25:IC26">
    <cfRule type="notContainsBlanks" dxfId="143" priority="88">
      <formula>LEN(TRIM(HV25))&gt;0</formula>
    </cfRule>
  </conditionalFormatting>
  <conditionalFormatting sqref="IP9:KQ24">
    <cfRule type="notContainsBlanks" dxfId="142" priority="532">
      <formula>LEN(TRIM(IP9))&gt;0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7"/>
  <sheetViews>
    <sheetView zoomScale="90" zoomScaleNormal="90" workbookViewId="0">
      <selection activeCell="K9" sqref="K9:K11"/>
    </sheetView>
  </sheetViews>
  <sheetFormatPr defaultColWidth="9.1796875" defaultRowHeight="14.5" x14ac:dyDescent="0.35"/>
  <cols>
    <col min="1" max="2" width="8.453125" style="34" customWidth="1"/>
    <col min="3" max="3" width="10.54296875" style="34" customWidth="1"/>
    <col min="4" max="4" width="8.453125" style="34" customWidth="1"/>
    <col min="5" max="5" width="10.7265625" style="34" customWidth="1"/>
    <col min="6" max="6" width="8.81640625" style="34" customWidth="1"/>
    <col min="7" max="7" width="17" style="34" customWidth="1"/>
    <col min="8" max="8" width="9" style="34" customWidth="1"/>
    <col min="9" max="9" width="8.453125" style="34" customWidth="1"/>
    <col min="10" max="10" width="10.1796875" style="34" customWidth="1"/>
    <col min="11" max="11" width="12.1796875" style="34" customWidth="1"/>
    <col min="12" max="12" width="19.1796875" style="34" customWidth="1"/>
    <col min="13" max="13" width="10.26953125" style="34" customWidth="1"/>
    <col min="14" max="14" width="8.453125" style="34" customWidth="1"/>
    <col min="15" max="15" width="10.1796875" style="34" customWidth="1"/>
    <col min="16" max="16" width="9.81640625" style="34" customWidth="1"/>
    <col min="17" max="17" width="15.81640625" style="34" customWidth="1"/>
    <col min="18" max="19" width="8.453125" style="34" customWidth="1"/>
    <col min="20" max="20" width="10.26953125" style="34" customWidth="1"/>
    <col min="21" max="21" width="17" style="34" customWidth="1"/>
    <col min="22" max="22" width="17.7265625" style="34" customWidth="1"/>
    <col min="23" max="24" width="8.453125" style="34" customWidth="1"/>
    <col min="25" max="25" width="11.1796875" style="34" customWidth="1"/>
    <col min="26" max="26" width="7.81640625" style="34" customWidth="1"/>
    <col min="27" max="27" width="15.7265625" style="34" customWidth="1"/>
    <col min="28" max="31" width="7.81640625" style="34" customWidth="1"/>
    <col min="32" max="16384" width="9.1796875" style="34"/>
  </cols>
  <sheetData>
    <row r="1" spans="1:26" x14ac:dyDescent="0.35">
      <c r="F1" s="201" t="s">
        <v>70</v>
      </c>
      <c r="G1" s="201"/>
      <c r="H1" s="201"/>
      <c r="I1" s="201"/>
      <c r="J1" s="201"/>
      <c r="K1" s="201"/>
      <c r="L1" s="51" t="s">
        <v>46</v>
      </c>
      <c r="M1" s="66" t="s">
        <v>135</v>
      </c>
      <c r="N1" s="32" t="s">
        <v>136</v>
      </c>
      <c r="T1" s="32" t="s">
        <v>74</v>
      </c>
    </row>
    <row r="2" spans="1:26" x14ac:dyDescent="0.35">
      <c r="A2" s="155" t="s">
        <v>21</v>
      </c>
      <c r="B2" s="31" t="s">
        <v>22</v>
      </c>
      <c r="C2" s="65" t="s">
        <v>169</v>
      </c>
      <c r="D2" s="31" t="s">
        <v>24</v>
      </c>
      <c r="E2" s="65">
        <v>1</v>
      </c>
      <c r="F2" s="35" t="s">
        <v>61</v>
      </c>
      <c r="G2" s="32" t="s">
        <v>57</v>
      </c>
      <c r="M2" s="66" t="s">
        <v>44</v>
      </c>
      <c r="N2" s="32" t="s">
        <v>49</v>
      </c>
      <c r="Q2" s="66" t="s">
        <v>54</v>
      </c>
      <c r="R2" s="32" t="s">
        <v>84</v>
      </c>
      <c r="T2" s="66" t="s">
        <v>75</v>
      </c>
      <c r="U2" s="34" t="s">
        <v>80</v>
      </c>
    </row>
    <row r="3" spans="1:26" x14ac:dyDescent="0.35">
      <c r="B3" s="31" t="s">
        <v>14</v>
      </c>
      <c r="C3" s="65">
        <v>60</v>
      </c>
      <c r="D3" s="31" t="s">
        <v>25</v>
      </c>
      <c r="E3" s="65">
        <v>1</v>
      </c>
      <c r="F3" s="51" t="s">
        <v>45</v>
      </c>
      <c r="G3" s="32" t="s">
        <v>58</v>
      </c>
      <c r="I3" s="155" t="s">
        <v>151</v>
      </c>
      <c r="J3" s="32" t="s">
        <v>152</v>
      </c>
      <c r="M3" s="66" t="s">
        <v>47</v>
      </c>
      <c r="N3" s="32" t="s">
        <v>48</v>
      </c>
      <c r="Q3" s="66" t="s">
        <v>55</v>
      </c>
      <c r="R3" s="32" t="s">
        <v>56</v>
      </c>
      <c r="T3" s="66" t="s">
        <v>76</v>
      </c>
      <c r="U3" s="34" t="s">
        <v>82</v>
      </c>
    </row>
    <row r="4" spans="1:26" x14ac:dyDescent="0.35">
      <c r="B4" s="31" t="s">
        <v>23</v>
      </c>
      <c r="C4" s="65">
        <v>5.0000000000000002E-5</v>
      </c>
      <c r="D4" s="31" t="s">
        <v>26</v>
      </c>
      <c r="E4" s="65">
        <v>1</v>
      </c>
      <c r="F4" s="35" t="s">
        <v>62</v>
      </c>
      <c r="G4" s="32" t="s">
        <v>59</v>
      </c>
      <c r="I4" s="155" t="s">
        <v>71</v>
      </c>
      <c r="J4" s="50" t="s">
        <v>72</v>
      </c>
      <c r="M4" s="66" t="s">
        <v>50</v>
      </c>
      <c r="N4" s="32" t="s">
        <v>52</v>
      </c>
      <c r="Q4" s="66" t="s">
        <v>86</v>
      </c>
      <c r="R4" s="32" t="s">
        <v>85</v>
      </c>
      <c r="T4" s="66" t="s">
        <v>77</v>
      </c>
      <c r="U4" s="34" t="s">
        <v>79</v>
      </c>
    </row>
    <row r="5" spans="1:26" x14ac:dyDescent="0.35">
      <c r="B5" s="36" t="s">
        <v>63</v>
      </c>
      <c r="F5" s="51" t="s">
        <v>45</v>
      </c>
      <c r="G5" s="32" t="s">
        <v>60</v>
      </c>
      <c r="I5" s="34" t="s">
        <v>45</v>
      </c>
      <c r="J5" s="50" t="s">
        <v>73</v>
      </c>
      <c r="M5" s="66" t="s">
        <v>51</v>
      </c>
      <c r="N5" s="32" t="s">
        <v>53</v>
      </c>
      <c r="Q5" s="66" t="s">
        <v>143</v>
      </c>
      <c r="R5" s="32" t="s">
        <v>144</v>
      </c>
      <c r="T5" s="66" t="s">
        <v>78</v>
      </c>
      <c r="U5" s="34" t="s">
        <v>81</v>
      </c>
    </row>
    <row r="6" spans="1:26" ht="15" thickBot="1" x14ac:dyDescent="0.4">
      <c r="A6" s="33" t="s">
        <v>36</v>
      </c>
      <c r="J6" s="50" t="s">
        <v>83</v>
      </c>
      <c r="M6" s="60" t="s">
        <v>141</v>
      </c>
      <c r="N6" s="32" t="s">
        <v>142</v>
      </c>
    </row>
    <row r="7" spans="1:26" ht="15" thickBot="1" x14ac:dyDescent="0.4">
      <c r="B7" s="169" t="s">
        <v>31</v>
      </c>
      <c r="C7" s="200"/>
      <c r="D7" s="200"/>
      <c r="E7" s="200"/>
      <c r="F7" s="205"/>
      <c r="G7" s="206" t="s">
        <v>35</v>
      </c>
      <c r="H7" s="200"/>
      <c r="I7" s="200"/>
      <c r="J7" s="200"/>
      <c r="K7" s="170"/>
      <c r="L7" s="169" t="s">
        <v>41</v>
      </c>
      <c r="M7" s="200"/>
      <c r="N7" s="200"/>
      <c r="O7" s="200"/>
      <c r="P7" s="170"/>
      <c r="Q7" s="169" t="s">
        <v>42</v>
      </c>
      <c r="R7" s="200"/>
      <c r="S7" s="200"/>
      <c r="T7" s="200"/>
      <c r="U7" s="170"/>
      <c r="V7" s="169" t="s">
        <v>43</v>
      </c>
      <c r="W7" s="200"/>
      <c r="X7" s="200"/>
      <c r="Y7" s="200"/>
      <c r="Z7" s="170"/>
    </row>
    <row r="8" spans="1:26" x14ac:dyDescent="0.35">
      <c r="A8" s="42" t="s">
        <v>40</v>
      </c>
      <c r="B8" s="61" t="s">
        <v>27</v>
      </c>
      <c r="C8" s="66" t="s">
        <v>30</v>
      </c>
      <c r="D8" s="66" t="s">
        <v>28</v>
      </c>
      <c r="E8" s="66" t="s">
        <v>29</v>
      </c>
      <c r="F8" s="154" t="s">
        <v>34</v>
      </c>
      <c r="G8" s="47" t="s">
        <v>27</v>
      </c>
      <c r="H8" s="66" t="s">
        <v>30</v>
      </c>
      <c r="I8" s="66" t="s">
        <v>32</v>
      </c>
      <c r="J8" s="66" t="s">
        <v>33</v>
      </c>
      <c r="K8" s="38" t="s">
        <v>34</v>
      </c>
      <c r="L8" s="37" t="s">
        <v>27</v>
      </c>
      <c r="M8" s="66" t="s">
        <v>30</v>
      </c>
      <c r="N8" s="66" t="s">
        <v>32</v>
      </c>
      <c r="O8" s="66" t="s">
        <v>33</v>
      </c>
      <c r="P8" s="38" t="s">
        <v>34</v>
      </c>
      <c r="Q8" s="37" t="s">
        <v>27</v>
      </c>
      <c r="R8" s="66" t="s">
        <v>30</v>
      </c>
      <c r="S8" s="66" t="s">
        <v>32</v>
      </c>
      <c r="T8" s="66" t="s">
        <v>33</v>
      </c>
      <c r="U8" s="38" t="s">
        <v>34</v>
      </c>
      <c r="V8" s="37" t="s">
        <v>27</v>
      </c>
      <c r="W8" s="66" t="s">
        <v>30</v>
      </c>
      <c r="X8" s="66" t="s">
        <v>32</v>
      </c>
      <c r="Y8" s="66" t="s">
        <v>33</v>
      </c>
      <c r="Z8" s="38" t="s">
        <v>34</v>
      </c>
    </row>
    <row r="9" spans="1:26" x14ac:dyDescent="0.35">
      <c r="A9" s="43">
        <v>1</v>
      </c>
      <c r="B9" s="62" t="s">
        <v>31</v>
      </c>
      <c r="C9" s="65">
        <v>12</v>
      </c>
      <c r="D9" s="65">
        <v>0</v>
      </c>
      <c r="E9" s="65">
        <v>60</v>
      </c>
      <c r="F9" s="45" t="s">
        <v>69</v>
      </c>
      <c r="G9" s="39" t="s">
        <v>175</v>
      </c>
      <c r="H9" s="65">
        <v>8</v>
      </c>
      <c r="I9" s="65">
        <v>-90</v>
      </c>
      <c r="J9" s="65">
        <v>70</v>
      </c>
      <c r="K9" s="45" t="s">
        <v>69</v>
      </c>
      <c r="L9" s="39"/>
      <c r="M9" s="65"/>
      <c r="N9" s="65"/>
      <c r="O9" s="65"/>
      <c r="P9" s="45"/>
      <c r="Q9" s="39"/>
      <c r="R9" s="65"/>
      <c r="S9" s="65"/>
      <c r="T9" s="65"/>
      <c r="U9" s="16"/>
      <c r="V9" s="39"/>
      <c r="W9" s="65"/>
      <c r="X9" s="65"/>
      <c r="Y9" s="65"/>
      <c r="Z9" s="16"/>
    </row>
    <row r="10" spans="1:26" x14ac:dyDescent="0.35">
      <c r="A10" s="43">
        <v>1</v>
      </c>
      <c r="B10" s="62" t="s">
        <v>31</v>
      </c>
      <c r="C10" s="65">
        <v>12</v>
      </c>
      <c r="D10" s="65">
        <v>0</v>
      </c>
      <c r="E10" s="65">
        <v>60</v>
      </c>
      <c r="F10" s="45" t="s">
        <v>69</v>
      </c>
      <c r="G10" s="39" t="s">
        <v>176</v>
      </c>
      <c r="H10" s="65">
        <v>8</v>
      </c>
      <c r="I10" s="65">
        <v>-90</v>
      </c>
      <c r="J10" s="65">
        <v>70</v>
      </c>
      <c r="K10" s="45" t="s">
        <v>178</v>
      </c>
      <c r="L10" s="39"/>
      <c r="M10" s="65"/>
      <c r="N10" s="65"/>
      <c r="O10" s="65"/>
      <c r="P10" s="45"/>
      <c r="Q10" s="39"/>
      <c r="R10" s="65"/>
      <c r="S10" s="65"/>
      <c r="T10" s="65"/>
      <c r="U10" s="45"/>
      <c r="V10" s="39"/>
      <c r="W10" s="65"/>
      <c r="X10" s="65"/>
      <c r="Y10" s="65"/>
      <c r="Z10" s="45"/>
    </row>
    <row r="11" spans="1:26" x14ac:dyDescent="0.35">
      <c r="A11" s="43">
        <v>1</v>
      </c>
      <c r="B11" s="62" t="s">
        <v>31</v>
      </c>
      <c r="C11" s="65">
        <v>12</v>
      </c>
      <c r="D11" s="65">
        <v>0</v>
      </c>
      <c r="E11" s="65">
        <v>60</v>
      </c>
      <c r="F11" s="45" t="s">
        <v>69</v>
      </c>
      <c r="G11" s="39" t="s">
        <v>177</v>
      </c>
      <c r="H11" s="65">
        <v>8</v>
      </c>
      <c r="I11" s="65">
        <v>-90</v>
      </c>
      <c r="J11" s="65">
        <v>70</v>
      </c>
      <c r="K11" s="45" t="s">
        <v>179</v>
      </c>
      <c r="L11" s="39"/>
      <c r="M11" s="65"/>
      <c r="N11" s="65"/>
      <c r="O11" s="65"/>
      <c r="P11" s="45"/>
      <c r="Q11" s="39"/>
      <c r="R11" s="65"/>
      <c r="S11" s="65"/>
      <c r="T11" s="65"/>
      <c r="U11" s="45"/>
      <c r="V11" s="39"/>
      <c r="W11" s="65"/>
      <c r="X11" s="65"/>
      <c r="Y11" s="65"/>
      <c r="Z11" s="16"/>
    </row>
    <row r="12" spans="1:26" x14ac:dyDescent="0.35">
      <c r="A12" s="43"/>
      <c r="B12" s="62"/>
      <c r="C12" s="65"/>
      <c r="D12" s="65"/>
      <c r="E12" s="65"/>
      <c r="F12" s="45"/>
      <c r="G12" s="39"/>
      <c r="H12" s="65"/>
      <c r="I12" s="65"/>
      <c r="J12" s="65"/>
      <c r="K12" s="45"/>
      <c r="L12" s="39"/>
      <c r="M12" s="65"/>
      <c r="N12" s="65"/>
      <c r="O12" s="65"/>
      <c r="P12" s="45"/>
      <c r="Q12" s="39"/>
      <c r="R12" s="65"/>
      <c r="S12" s="65"/>
      <c r="T12" s="65"/>
      <c r="U12" s="45"/>
      <c r="V12" s="39"/>
      <c r="W12" s="65"/>
      <c r="X12" s="65"/>
      <c r="Y12" s="65"/>
      <c r="Z12" s="45"/>
    </row>
    <row r="13" spans="1:26" x14ac:dyDescent="0.35">
      <c r="A13" s="43"/>
      <c r="B13" s="62"/>
      <c r="C13" s="65"/>
      <c r="D13" s="65"/>
      <c r="E13" s="65"/>
      <c r="F13" s="45"/>
      <c r="G13" s="39"/>
      <c r="H13" s="65"/>
      <c r="I13" s="65"/>
      <c r="J13" s="65"/>
      <c r="K13" s="45"/>
      <c r="L13" s="39"/>
      <c r="M13" s="65"/>
      <c r="N13" s="65"/>
      <c r="O13" s="65"/>
      <c r="P13" s="45"/>
      <c r="Q13" s="39"/>
      <c r="R13" s="65"/>
      <c r="S13" s="65"/>
      <c r="T13" s="65"/>
      <c r="U13" s="45"/>
      <c r="V13" s="39"/>
      <c r="W13" s="65"/>
      <c r="X13" s="65"/>
      <c r="Y13" s="65"/>
      <c r="Z13" s="45"/>
    </row>
    <row r="14" spans="1:26" x14ac:dyDescent="0.35">
      <c r="A14" s="43"/>
      <c r="B14" s="62"/>
      <c r="C14" s="65"/>
      <c r="D14" s="65"/>
      <c r="E14" s="65"/>
      <c r="F14" s="45"/>
      <c r="G14" s="39"/>
      <c r="H14" s="65"/>
      <c r="I14" s="65"/>
      <c r="J14" s="65"/>
      <c r="K14" s="45"/>
      <c r="L14" s="39"/>
      <c r="M14" s="65"/>
      <c r="N14" s="65"/>
      <c r="O14" s="65"/>
      <c r="P14" s="45"/>
      <c r="Q14" s="39"/>
      <c r="R14" s="65"/>
      <c r="S14" s="65"/>
      <c r="T14" s="65"/>
      <c r="U14" s="45"/>
      <c r="V14" s="39"/>
      <c r="W14" s="65"/>
      <c r="X14" s="65"/>
      <c r="Y14" s="65"/>
      <c r="Z14" s="45"/>
    </row>
    <row r="15" spans="1:26" x14ac:dyDescent="0.35">
      <c r="A15" s="43"/>
      <c r="B15" s="62"/>
      <c r="C15" s="65"/>
      <c r="D15" s="65"/>
      <c r="E15" s="65"/>
      <c r="F15" s="45"/>
      <c r="G15" s="39"/>
      <c r="H15" s="65"/>
      <c r="I15" s="65"/>
      <c r="J15" s="65"/>
      <c r="K15" s="45"/>
      <c r="L15" s="39"/>
      <c r="M15" s="65"/>
      <c r="N15" s="65"/>
      <c r="O15" s="65"/>
      <c r="P15" s="45"/>
      <c r="Q15" s="39"/>
      <c r="R15" s="65"/>
      <c r="S15" s="65"/>
      <c r="T15" s="65"/>
      <c r="U15" s="16"/>
      <c r="V15" s="39"/>
      <c r="W15" s="65"/>
      <c r="X15" s="65"/>
      <c r="Y15" s="65"/>
      <c r="Z15" s="16"/>
    </row>
    <row r="16" spans="1:26" x14ac:dyDescent="0.35">
      <c r="A16" s="43"/>
      <c r="B16" s="62"/>
      <c r="C16" s="65"/>
      <c r="D16" s="65"/>
      <c r="E16" s="65"/>
      <c r="F16" s="45"/>
      <c r="G16" s="39"/>
      <c r="H16" s="65"/>
      <c r="I16" s="65"/>
      <c r="J16" s="65"/>
      <c r="K16" s="45"/>
      <c r="L16" s="39"/>
      <c r="M16" s="65"/>
      <c r="N16" s="65"/>
      <c r="O16" s="65"/>
      <c r="P16" s="45"/>
      <c r="Q16" s="39"/>
      <c r="R16" s="65"/>
      <c r="S16" s="65"/>
      <c r="T16" s="65"/>
      <c r="U16" s="16"/>
      <c r="V16" s="39"/>
      <c r="W16" s="65"/>
      <c r="X16" s="65"/>
      <c r="Y16" s="65"/>
      <c r="Z16" s="16"/>
    </row>
    <row r="17" spans="1:26" x14ac:dyDescent="0.35">
      <c r="A17" s="43"/>
      <c r="B17" s="62"/>
      <c r="C17" s="65"/>
      <c r="D17" s="65"/>
      <c r="E17" s="65"/>
      <c r="F17" s="45"/>
      <c r="G17" s="39"/>
      <c r="H17" s="65"/>
      <c r="I17" s="65"/>
      <c r="J17" s="65"/>
      <c r="K17" s="45"/>
      <c r="L17" s="39"/>
      <c r="M17" s="65"/>
      <c r="N17" s="65"/>
      <c r="O17" s="65"/>
      <c r="P17" s="45"/>
      <c r="Q17" s="39"/>
      <c r="R17" s="65"/>
      <c r="S17" s="65"/>
      <c r="T17" s="65"/>
      <c r="U17" s="16"/>
      <c r="V17" s="39"/>
      <c r="W17" s="65"/>
      <c r="X17" s="65"/>
      <c r="Y17" s="65"/>
      <c r="Z17" s="16"/>
    </row>
    <row r="18" spans="1:26" x14ac:dyDescent="0.35">
      <c r="A18" s="43"/>
      <c r="B18" s="62"/>
      <c r="C18" s="65"/>
      <c r="D18" s="65"/>
      <c r="E18" s="65"/>
      <c r="F18" s="45"/>
      <c r="G18" s="39"/>
      <c r="H18" s="65"/>
      <c r="I18" s="65"/>
      <c r="J18" s="65"/>
      <c r="K18" s="45"/>
      <c r="L18" s="39"/>
      <c r="M18" s="65"/>
      <c r="N18" s="65"/>
      <c r="O18" s="65"/>
      <c r="P18" s="45"/>
      <c r="Q18" s="39"/>
      <c r="R18" s="65"/>
      <c r="S18" s="65"/>
      <c r="T18" s="65"/>
      <c r="U18" s="16"/>
      <c r="V18" s="39"/>
      <c r="W18" s="65"/>
      <c r="X18" s="65"/>
      <c r="Y18" s="65"/>
      <c r="Z18" s="16"/>
    </row>
    <row r="19" spans="1:26" x14ac:dyDescent="0.35">
      <c r="A19" s="43"/>
      <c r="B19" s="62"/>
      <c r="C19" s="65"/>
      <c r="D19" s="65"/>
      <c r="E19" s="65"/>
      <c r="F19" s="45"/>
      <c r="G19" s="48"/>
      <c r="H19" s="65"/>
      <c r="I19" s="65"/>
      <c r="J19" s="65"/>
      <c r="K19" s="45"/>
      <c r="L19" s="39"/>
      <c r="M19" s="65"/>
      <c r="N19" s="65"/>
      <c r="O19" s="65"/>
      <c r="P19" s="16"/>
      <c r="Q19" s="39"/>
      <c r="R19" s="65"/>
      <c r="S19" s="65"/>
      <c r="T19" s="65"/>
      <c r="U19" s="16"/>
      <c r="V19" s="39"/>
      <c r="W19" s="65"/>
      <c r="X19" s="65"/>
      <c r="Y19" s="65"/>
      <c r="Z19" s="16"/>
    </row>
    <row r="20" spans="1:26" x14ac:dyDescent="0.35">
      <c r="A20" s="43"/>
      <c r="B20" s="62"/>
      <c r="C20" s="65"/>
      <c r="D20" s="65"/>
      <c r="E20" s="65"/>
      <c r="F20" s="45"/>
      <c r="G20" s="48"/>
      <c r="H20" s="65"/>
      <c r="I20" s="65"/>
      <c r="J20" s="65"/>
      <c r="K20" s="16"/>
      <c r="L20" s="39"/>
      <c r="M20" s="65"/>
      <c r="N20" s="65"/>
      <c r="O20" s="65"/>
      <c r="P20" s="16"/>
      <c r="Q20" s="39"/>
      <c r="R20" s="65"/>
      <c r="S20" s="65"/>
      <c r="T20" s="65"/>
      <c r="U20" s="16"/>
      <c r="V20" s="39"/>
      <c r="W20" s="65"/>
      <c r="X20" s="65"/>
      <c r="Y20" s="65"/>
      <c r="Z20" s="16"/>
    </row>
    <row r="21" spans="1:26" x14ac:dyDescent="0.35">
      <c r="A21" s="43"/>
      <c r="B21" s="62"/>
      <c r="C21" s="65"/>
      <c r="D21" s="65"/>
      <c r="E21" s="65"/>
      <c r="F21" s="45"/>
      <c r="G21" s="48"/>
      <c r="H21" s="65"/>
      <c r="I21" s="65"/>
      <c r="J21" s="65"/>
      <c r="K21" s="16"/>
      <c r="L21" s="39"/>
      <c r="M21" s="65"/>
      <c r="N21" s="65"/>
      <c r="O21" s="65"/>
      <c r="P21" s="16"/>
      <c r="Q21" s="39"/>
      <c r="R21" s="65"/>
      <c r="S21" s="65"/>
      <c r="T21" s="65"/>
      <c r="U21" s="16"/>
      <c r="V21" s="39"/>
      <c r="W21" s="65"/>
      <c r="X21" s="65"/>
      <c r="Y21" s="65"/>
      <c r="Z21" s="16"/>
    </row>
    <row r="22" spans="1:26" x14ac:dyDescent="0.35">
      <c r="A22" s="43"/>
      <c r="B22" s="62"/>
      <c r="C22" s="65"/>
      <c r="D22" s="65"/>
      <c r="E22" s="65"/>
      <c r="F22" s="45"/>
      <c r="G22" s="48"/>
      <c r="H22" s="65"/>
      <c r="I22" s="65"/>
      <c r="J22" s="65"/>
      <c r="K22" s="16"/>
      <c r="L22" s="39"/>
      <c r="M22" s="65"/>
      <c r="N22" s="65"/>
      <c r="O22" s="65"/>
      <c r="P22" s="16"/>
      <c r="Q22" s="39"/>
      <c r="R22" s="65"/>
      <c r="S22" s="65"/>
      <c r="T22" s="65"/>
      <c r="U22" s="16"/>
      <c r="V22" s="39"/>
      <c r="W22" s="65"/>
      <c r="X22" s="65"/>
      <c r="Y22" s="65"/>
      <c r="Z22" s="16"/>
    </row>
    <row r="23" spans="1:26" ht="15" thickBot="1" x14ac:dyDescent="0.4">
      <c r="A23" s="44"/>
      <c r="B23" s="63"/>
      <c r="C23" s="19"/>
      <c r="D23" s="19"/>
      <c r="E23" s="19"/>
      <c r="F23" s="46"/>
      <c r="G23" s="49"/>
      <c r="H23" s="19"/>
      <c r="I23" s="19"/>
      <c r="J23" s="19"/>
      <c r="K23" s="41"/>
      <c r="L23" s="40"/>
      <c r="M23" s="19"/>
      <c r="N23" s="19"/>
      <c r="O23" s="19"/>
      <c r="P23" s="41"/>
      <c r="Q23" s="40"/>
      <c r="R23" s="19"/>
      <c r="S23" s="19"/>
      <c r="T23" s="19"/>
      <c r="U23" s="41"/>
      <c r="V23" s="40"/>
      <c r="W23" s="19"/>
      <c r="X23" s="19"/>
      <c r="Y23" s="19"/>
      <c r="Z23" s="41"/>
    </row>
    <row r="25" spans="1:26" x14ac:dyDescent="0.35">
      <c r="A25" s="201" t="s">
        <v>64</v>
      </c>
      <c r="B25" s="201"/>
      <c r="C25" s="201"/>
      <c r="D25" s="201"/>
      <c r="E25" s="201"/>
      <c r="F25" s="201"/>
      <c r="G25" s="201"/>
      <c r="H25" s="201"/>
      <c r="I25" s="201"/>
      <c r="J25" s="201"/>
      <c r="L25" s="201" t="s">
        <v>65</v>
      </c>
      <c r="M25" s="201"/>
    </row>
    <row r="26" spans="1:26" ht="15" customHeight="1" x14ac:dyDescent="0.35">
      <c r="B26" s="167" t="s">
        <v>37</v>
      </c>
      <c r="C26" s="165"/>
      <c r="D26" s="165"/>
      <c r="E26" s="166"/>
      <c r="G26" s="202" t="s">
        <v>68</v>
      </c>
      <c r="H26" s="202"/>
      <c r="I26" s="202"/>
      <c r="J26" s="202"/>
      <c r="L26" s="39" t="s">
        <v>94</v>
      </c>
      <c r="M26" s="203" t="s">
        <v>66</v>
      </c>
      <c r="N26" s="204"/>
      <c r="O26" s="204"/>
      <c r="P26" s="204"/>
      <c r="Q26" s="204"/>
    </row>
    <row r="27" spans="1:26" x14ac:dyDescent="0.35">
      <c r="B27" s="66" t="s">
        <v>38</v>
      </c>
      <c r="C27" s="66" t="s">
        <v>28</v>
      </c>
      <c r="D27" s="66" t="s">
        <v>29</v>
      </c>
      <c r="E27" s="66" t="s">
        <v>39</v>
      </c>
      <c r="G27" s="66" t="s">
        <v>38</v>
      </c>
      <c r="H27" s="66" t="s">
        <v>28</v>
      </c>
      <c r="I27" s="66" t="s">
        <v>29</v>
      </c>
      <c r="J27" s="66" t="s">
        <v>67</v>
      </c>
      <c r="L27" s="39"/>
      <c r="M27" s="203"/>
      <c r="N27" s="204"/>
      <c r="O27" s="204"/>
      <c r="P27" s="204"/>
      <c r="Q27" s="204"/>
    </row>
    <row r="28" spans="1:26" x14ac:dyDescent="0.35">
      <c r="B28" s="65" t="s">
        <v>50</v>
      </c>
      <c r="C28" s="65">
        <v>0</v>
      </c>
      <c r="D28" s="65">
        <v>60</v>
      </c>
      <c r="E28" s="65">
        <v>1</v>
      </c>
      <c r="G28" s="65"/>
      <c r="H28" s="65"/>
      <c r="I28" s="65"/>
      <c r="J28" s="65"/>
      <c r="L28" s="39"/>
      <c r="M28" s="14"/>
    </row>
    <row r="29" spans="1:26" x14ac:dyDescent="0.35">
      <c r="B29" s="65" t="s">
        <v>51</v>
      </c>
      <c r="C29" s="65">
        <v>0</v>
      </c>
      <c r="D29" s="65">
        <v>60</v>
      </c>
      <c r="E29" s="65">
        <v>1</v>
      </c>
      <c r="G29" s="65"/>
      <c r="H29" s="65"/>
      <c r="I29" s="65"/>
      <c r="J29" s="65"/>
      <c r="L29" s="39"/>
      <c r="M29" s="14"/>
    </row>
    <row r="30" spans="1:26" x14ac:dyDescent="0.35">
      <c r="B30" s="65"/>
      <c r="C30" s="65"/>
      <c r="D30" s="65"/>
      <c r="E30" s="65"/>
      <c r="G30" s="65"/>
      <c r="H30" s="65"/>
      <c r="I30" s="65"/>
      <c r="J30" s="65"/>
      <c r="L30" s="39"/>
      <c r="M30" s="14"/>
    </row>
    <row r="31" spans="1:26" x14ac:dyDescent="0.35">
      <c r="B31" s="65"/>
      <c r="C31" s="65"/>
      <c r="D31" s="65"/>
      <c r="E31" s="65"/>
      <c r="G31" s="65"/>
      <c r="H31" s="65"/>
      <c r="I31" s="65"/>
      <c r="J31" s="65"/>
      <c r="L31" s="39"/>
      <c r="M31" s="14"/>
    </row>
    <row r="32" spans="1:26" x14ac:dyDescent="0.35">
      <c r="B32" s="65"/>
      <c r="C32" s="65"/>
      <c r="D32" s="65"/>
      <c r="E32" s="65"/>
      <c r="G32" s="65"/>
      <c r="H32" s="65"/>
      <c r="I32" s="65"/>
      <c r="J32" s="65"/>
      <c r="L32" s="39"/>
      <c r="M32" s="14"/>
    </row>
    <row r="33" spans="2:13" x14ac:dyDescent="0.35">
      <c r="B33" s="65"/>
      <c r="C33" s="65"/>
      <c r="D33" s="65"/>
      <c r="E33" s="65"/>
      <c r="G33" s="65"/>
      <c r="H33" s="65"/>
      <c r="I33" s="65"/>
      <c r="J33" s="65"/>
      <c r="L33" s="39"/>
      <c r="M33" s="14"/>
    </row>
    <row r="34" spans="2:13" x14ac:dyDescent="0.35">
      <c r="B34" s="65"/>
      <c r="C34" s="65"/>
      <c r="D34" s="65"/>
      <c r="E34" s="65"/>
      <c r="G34" s="65"/>
      <c r="H34" s="65"/>
      <c r="I34" s="65"/>
      <c r="J34" s="65"/>
      <c r="L34" s="39"/>
      <c r="M34" s="14"/>
    </row>
    <row r="35" spans="2:13" x14ac:dyDescent="0.35">
      <c r="B35" s="65"/>
      <c r="C35" s="65"/>
      <c r="D35" s="65"/>
      <c r="E35" s="65"/>
      <c r="G35" s="65"/>
      <c r="H35" s="65"/>
      <c r="I35" s="65"/>
      <c r="J35" s="65"/>
      <c r="L35" s="39"/>
      <c r="M35" s="14"/>
    </row>
    <row r="36" spans="2:13" x14ac:dyDescent="0.35">
      <c r="B36" s="65"/>
      <c r="C36" s="65"/>
      <c r="D36" s="65"/>
      <c r="E36" s="65"/>
      <c r="G36" s="65"/>
      <c r="H36" s="65"/>
      <c r="I36" s="65"/>
      <c r="J36" s="65"/>
      <c r="L36" s="39"/>
      <c r="M36" s="14"/>
    </row>
    <row r="37" spans="2:13" x14ac:dyDescent="0.35">
      <c r="B37" s="65"/>
      <c r="C37" s="65"/>
      <c r="D37" s="65"/>
      <c r="E37" s="65"/>
      <c r="G37" s="65"/>
      <c r="H37" s="65"/>
      <c r="I37" s="65"/>
      <c r="J37" s="65"/>
      <c r="L37" s="20"/>
      <c r="M37" s="14"/>
    </row>
    <row r="38" spans="2:13" x14ac:dyDescent="0.35">
      <c r="B38" s="65"/>
      <c r="C38" s="65"/>
      <c r="D38" s="65"/>
      <c r="E38" s="65"/>
      <c r="G38" s="65"/>
      <c r="H38" s="65"/>
      <c r="I38" s="65"/>
      <c r="J38" s="65"/>
      <c r="L38" s="20"/>
      <c r="M38" s="14"/>
    </row>
    <row r="39" spans="2:13" x14ac:dyDescent="0.35">
      <c r="B39" s="65"/>
      <c r="C39" s="65"/>
      <c r="D39" s="65"/>
      <c r="E39" s="65"/>
      <c r="G39" s="65"/>
      <c r="H39" s="65"/>
      <c r="I39" s="65"/>
      <c r="J39" s="65"/>
      <c r="L39" s="20"/>
      <c r="M39" s="14"/>
    </row>
    <row r="40" spans="2:13" x14ac:dyDescent="0.35">
      <c r="B40" s="65"/>
      <c r="C40" s="65"/>
      <c r="D40" s="65"/>
      <c r="E40" s="65"/>
      <c r="G40" s="65"/>
      <c r="H40" s="65"/>
      <c r="I40" s="65"/>
      <c r="J40" s="65"/>
      <c r="L40" s="20"/>
      <c r="M40" s="14"/>
    </row>
    <row r="41" spans="2:13" x14ac:dyDescent="0.35">
      <c r="B41" s="65"/>
      <c r="C41" s="65"/>
      <c r="D41" s="65"/>
      <c r="E41" s="65"/>
      <c r="G41" s="65"/>
      <c r="H41" s="65"/>
      <c r="I41" s="65"/>
      <c r="J41" s="65"/>
      <c r="L41" s="20"/>
      <c r="M41" s="14"/>
    </row>
    <row r="42" spans="2:13" x14ac:dyDescent="0.35">
      <c r="B42" s="65"/>
      <c r="C42" s="65"/>
      <c r="D42" s="65"/>
      <c r="E42" s="65"/>
      <c r="G42" s="65"/>
      <c r="H42" s="65"/>
      <c r="I42" s="65"/>
      <c r="J42" s="65"/>
      <c r="L42" s="20"/>
      <c r="M42" s="14"/>
    </row>
    <row r="43" spans="2:13" x14ac:dyDescent="0.35">
      <c r="B43" s="65"/>
      <c r="C43" s="65"/>
      <c r="D43" s="65"/>
      <c r="E43" s="65"/>
      <c r="G43" s="65"/>
      <c r="H43" s="65"/>
      <c r="I43" s="65"/>
      <c r="J43" s="65"/>
      <c r="L43" s="20"/>
      <c r="M43" s="14"/>
    </row>
    <row r="44" spans="2:13" x14ac:dyDescent="0.35">
      <c r="B44" s="65"/>
      <c r="C44" s="65"/>
      <c r="D44" s="65"/>
      <c r="E44" s="65"/>
      <c r="G44" s="65"/>
      <c r="H44" s="65"/>
      <c r="I44" s="65"/>
      <c r="J44" s="65"/>
      <c r="L44" s="20"/>
      <c r="M44" s="14"/>
    </row>
    <row r="45" spans="2:13" x14ac:dyDescent="0.35">
      <c r="B45" s="65"/>
      <c r="C45" s="65"/>
      <c r="D45" s="65"/>
      <c r="E45" s="65"/>
      <c r="G45" s="65"/>
      <c r="H45" s="65"/>
      <c r="I45" s="65"/>
      <c r="J45" s="65"/>
    </row>
    <row r="46" spans="2:13" x14ac:dyDescent="0.35">
      <c r="B46" s="65"/>
      <c r="C46" s="65"/>
      <c r="D46" s="65"/>
      <c r="E46" s="65"/>
      <c r="G46" s="65"/>
      <c r="H46" s="65"/>
      <c r="I46" s="65"/>
      <c r="J46" s="65"/>
    </row>
    <row r="47" spans="2:13" x14ac:dyDescent="0.35">
      <c r="B47" s="65"/>
      <c r="C47" s="65"/>
      <c r="D47" s="65"/>
      <c r="E47" s="65"/>
      <c r="G47" s="65"/>
      <c r="H47" s="65"/>
      <c r="I47" s="65"/>
      <c r="J47" s="65"/>
    </row>
    <row r="48" spans="2:13" x14ac:dyDescent="0.35">
      <c r="B48" s="65"/>
      <c r="C48" s="65"/>
      <c r="D48" s="65"/>
      <c r="E48" s="65"/>
      <c r="G48" s="65"/>
      <c r="H48" s="65"/>
      <c r="I48" s="65"/>
      <c r="J48" s="65"/>
    </row>
    <row r="49" spans="2:10" x14ac:dyDescent="0.35">
      <c r="B49" s="65"/>
      <c r="C49" s="65"/>
      <c r="D49" s="65"/>
      <c r="E49" s="65"/>
      <c r="G49" s="65"/>
      <c r="H49" s="65"/>
      <c r="I49" s="65"/>
      <c r="J49" s="65"/>
    </row>
    <row r="50" spans="2:10" x14ac:dyDescent="0.35">
      <c r="B50" s="65"/>
      <c r="C50" s="65"/>
      <c r="D50" s="65"/>
      <c r="E50" s="65"/>
      <c r="G50" s="65"/>
      <c r="H50" s="65"/>
      <c r="I50" s="65"/>
      <c r="J50" s="65"/>
    </row>
    <row r="51" spans="2:10" x14ac:dyDescent="0.35">
      <c r="B51" s="65"/>
      <c r="C51" s="65"/>
      <c r="D51" s="65"/>
      <c r="E51" s="65"/>
      <c r="G51" s="65"/>
      <c r="H51" s="65"/>
      <c r="I51" s="65"/>
      <c r="J51" s="65"/>
    </row>
    <row r="52" spans="2:10" x14ac:dyDescent="0.35">
      <c r="B52" s="65"/>
      <c r="C52" s="65"/>
      <c r="D52" s="65"/>
      <c r="E52" s="65"/>
      <c r="G52" s="65"/>
      <c r="H52" s="65"/>
      <c r="I52" s="65"/>
      <c r="J52" s="65"/>
    </row>
    <row r="53" spans="2:10" x14ac:dyDescent="0.35">
      <c r="B53" s="65"/>
      <c r="C53" s="65"/>
      <c r="D53" s="65"/>
      <c r="E53" s="65"/>
      <c r="G53" s="65"/>
      <c r="H53" s="65"/>
      <c r="I53" s="65"/>
      <c r="J53" s="65"/>
    </row>
    <row r="54" spans="2:10" x14ac:dyDescent="0.35">
      <c r="B54" s="65"/>
      <c r="C54" s="65"/>
      <c r="D54" s="65"/>
      <c r="E54" s="65"/>
      <c r="G54" s="65"/>
      <c r="H54" s="65"/>
      <c r="I54" s="65"/>
      <c r="J54" s="65"/>
    </row>
    <row r="55" spans="2:10" x14ac:dyDescent="0.35">
      <c r="B55" s="65"/>
      <c r="C55" s="65"/>
      <c r="D55" s="65"/>
      <c r="E55" s="65"/>
      <c r="G55" s="65"/>
      <c r="H55" s="65"/>
      <c r="I55" s="65"/>
      <c r="J55" s="65"/>
    </row>
    <row r="56" spans="2:10" x14ac:dyDescent="0.35">
      <c r="B56" s="65"/>
      <c r="C56" s="65"/>
      <c r="D56" s="65"/>
      <c r="E56" s="65"/>
      <c r="G56" s="65"/>
      <c r="H56" s="65"/>
      <c r="I56" s="65"/>
      <c r="J56" s="65"/>
    </row>
    <row r="57" spans="2:10" x14ac:dyDescent="0.35">
      <c r="B57" s="65"/>
      <c r="C57" s="65"/>
      <c r="D57" s="65"/>
      <c r="E57" s="65"/>
      <c r="G57" s="65"/>
      <c r="H57" s="65"/>
      <c r="I57" s="65"/>
      <c r="J57" s="65"/>
    </row>
    <row r="58" spans="2:10" x14ac:dyDescent="0.35">
      <c r="B58" s="65"/>
      <c r="C58" s="65"/>
      <c r="D58" s="65"/>
      <c r="E58" s="65"/>
      <c r="G58" s="65"/>
      <c r="H58" s="65"/>
      <c r="I58" s="65"/>
      <c r="J58" s="65"/>
    </row>
    <row r="59" spans="2:10" x14ac:dyDescent="0.35">
      <c r="B59" s="65"/>
      <c r="C59" s="65"/>
      <c r="D59" s="65"/>
      <c r="E59" s="65"/>
      <c r="G59" s="65"/>
      <c r="H59" s="65"/>
      <c r="I59" s="65"/>
      <c r="J59" s="65"/>
    </row>
    <row r="60" spans="2:10" x14ac:dyDescent="0.35">
      <c r="B60" s="65"/>
      <c r="C60" s="65"/>
      <c r="D60" s="65"/>
      <c r="E60" s="65"/>
      <c r="G60" s="65"/>
      <c r="H60" s="65"/>
      <c r="I60" s="65"/>
      <c r="J60" s="65"/>
    </row>
    <row r="61" spans="2:10" x14ac:dyDescent="0.35">
      <c r="B61" s="65"/>
      <c r="C61" s="65"/>
      <c r="D61" s="65"/>
      <c r="E61" s="65"/>
      <c r="G61" s="65"/>
      <c r="H61" s="65"/>
      <c r="I61" s="65"/>
      <c r="J61" s="65"/>
    </row>
    <row r="62" spans="2:10" x14ac:dyDescent="0.35">
      <c r="B62" s="65"/>
      <c r="C62" s="65"/>
      <c r="D62" s="65"/>
      <c r="E62" s="65"/>
      <c r="G62" s="65"/>
      <c r="H62" s="65"/>
      <c r="I62" s="65"/>
      <c r="J62" s="65"/>
    </row>
    <row r="63" spans="2:10" x14ac:dyDescent="0.35">
      <c r="B63" s="65"/>
      <c r="C63" s="65"/>
      <c r="D63" s="65"/>
      <c r="E63" s="65"/>
      <c r="G63" s="65"/>
      <c r="H63" s="65"/>
      <c r="I63" s="65"/>
      <c r="J63" s="65"/>
    </row>
    <row r="64" spans="2:10" x14ac:dyDescent="0.35">
      <c r="B64" s="65"/>
      <c r="C64" s="65"/>
      <c r="D64" s="65"/>
      <c r="E64" s="65"/>
      <c r="G64" s="65"/>
      <c r="H64" s="65"/>
      <c r="I64" s="65"/>
      <c r="J64" s="65"/>
    </row>
    <row r="65" spans="2:10" x14ac:dyDescent="0.35">
      <c r="B65" s="65"/>
      <c r="C65" s="65"/>
      <c r="D65" s="65"/>
      <c r="E65" s="65"/>
      <c r="G65" s="65"/>
      <c r="H65" s="65"/>
      <c r="I65" s="65"/>
      <c r="J65" s="65"/>
    </row>
    <row r="66" spans="2:10" x14ac:dyDescent="0.35">
      <c r="B66" s="65"/>
      <c r="C66" s="65"/>
      <c r="D66" s="65"/>
      <c r="E66" s="65"/>
      <c r="G66" s="65"/>
      <c r="H66" s="65"/>
      <c r="I66" s="65"/>
      <c r="J66" s="65"/>
    </row>
    <row r="67" spans="2:10" x14ac:dyDescent="0.35">
      <c r="B67" s="65"/>
      <c r="C67" s="65"/>
      <c r="D67" s="65"/>
      <c r="E67" s="65"/>
      <c r="G67" s="65"/>
      <c r="H67" s="65"/>
      <c r="I67" s="65"/>
      <c r="J67" s="65"/>
    </row>
    <row r="68" spans="2:10" x14ac:dyDescent="0.35">
      <c r="B68" s="65"/>
      <c r="C68" s="65"/>
      <c r="D68" s="65"/>
      <c r="E68" s="65"/>
      <c r="G68" s="65"/>
      <c r="H68" s="65"/>
      <c r="I68" s="65"/>
      <c r="J68" s="65"/>
    </row>
    <row r="69" spans="2:10" x14ac:dyDescent="0.35">
      <c r="B69" s="65"/>
      <c r="C69" s="65"/>
      <c r="D69" s="65"/>
      <c r="E69" s="65"/>
      <c r="G69" s="65"/>
      <c r="H69" s="65"/>
      <c r="I69" s="65"/>
      <c r="J69" s="65"/>
    </row>
    <row r="70" spans="2:10" x14ac:dyDescent="0.35">
      <c r="B70" s="65"/>
      <c r="C70" s="65"/>
      <c r="D70" s="65"/>
      <c r="E70" s="65"/>
      <c r="G70" s="65"/>
      <c r="H70" s="65"/>
      <c r="I70" s="65"/>
      <c r="J70" s="65"/>
    </row>
    <row r="71" spans="2:10" x14ac:dyDescent="0.35">
      <c r="B71" s="65"/>
      <c r="C71" s="65"/>
      <c r="D71" s="65"/>
      <c r="E71" s="65"/>
      <c r="G71" s="65"/>
      <c r="H71" s="65"/>
      <c r="I71" s="65"/>
      <c r="J71" s="65"/>
    </row>
    <row r="72" spans="2:10" x14ac:dyDescent="0.35">
      <c r="B72" s="65"/>
      <c r="C72" s="65"/>
      <c r="D72" s="65"/>
      <c r="E72" s="65"/>
      <c r="G72" s="65"/>
      <c r="H72" s="65"/>
      <c r="I72" s="65"/>
      <c r="J72" s="65"/>
    </row>
    <row r="73" spans="2:10" x14ac:dyDescent="0.35">
      <c r="B73" s="65"/>
      <c r="C73" s="65"/>
      <c r="D73" s="65"/>
      <c r="E73" s="65"/>
      <c r="G73" s="65"/>
      <c r="H73" s="65"/>
      <c r="I73" s="65"/>
      <c r="J73" s="65"/>
    </row>
    <row r="74" spans="2:10" x14ac:dyDescent="0.35">
      <c r="B74" s="65"/>
      <c r="C74" s="65"/>
      <c r="D74" s="65"/>
      <c r="E74" s="65"/>
      <c r="G74" s="65"/>
      <c r="H74" s="65"/>
      <c r="I74" s="65"/>
      <c r="J74" s="65"/>
    </row>
    <row r="75" spans="2:10" x14ac:dyDescent="0.35">
      <c r="B75" s="65"/>
      <c r="C75" s="65"/>
      <c r="D75" s="65"/>
      <c r="E75" s="65"/>
      <c r="G75" s="65"/>
      <c r="H75" s="65"/>
      <c r="I75" s="65"/>
      <c r="J75" s="65"/>
    </row>
    <row r="76" spans="2:10" x14ac:dyDescent="0.35">
      <c r="B76" s="65"/>
      <c r="C76" s="65"/>
      <c r="D76" s="65"/>
      <c r="E76" s="65"/>
      <c r="G76" s="65"/>
      <c r="H76" s="65"/>
      <c r="I76" s="65"/>
      <c r="J76" s="65"/>
    </row>
    <row r="77" spans="2:10" x14ac:dyDescent="0.35">
      <c r="B77" s="65"/>
      <c r="C77" s="65"/>
      <c r="D77" s="65"/>
      <c r="E77" s="65"/>
      <c r="G77" s="65"/>
      <c r="H77" s="65"/>
      <c r="I77" s="65"/>
      <c r="J77" s="65"/>
    </row>
    <row r="78" spans="2:10" x14ac:dyDescent="0.35">
      <c r="B78" s="65"/>
      <c r="C78" s="65"/>
      <c r="D78" s="65"/>
      <c r="E78" s="65"/>
      <c r="G78" s="65"/>
      <c r="H78" s="65"/>
      <c r="I78" s="65"/>
      <c r="J78" s="65"/>
    </row>
    <row r="79" spans="2:10" x14ac:dyDescent="0.35">
      <c r="B79" s="65"/>
      <c r="C79" s="65"/>
      <c r="D79" s="65"/>
      <c r="E79" s="65"/>
      <c r="G79" s="65"/>
      <c r="H79" s="65"/>
      <c r="I79" s="65"/>
      <c r="J79" s="65"/>
    </row>
    <row r="80" spans="2:10" x14ac:dyDescent="0.35">
      <c r="B80" s="65"/>
      <c r="C80" s="65"/>
      <c r="D80" s="65"/>
      <c r="E80" s="65"/>
      <c r="G80" s="65"/>
      <c r="H80" s="65"/>
      <c r="I80" s="65"/>
      <c r="J80" s="65"/>
    </row>
    <row r="81" spans="2:10" x14ac:dyDescent="0.35">
      <c r="B81" s="65"/>
      <c r="C81" s="65"/>
      <c r="D81" s="65"/>
      <c r="E81" s="65"/>
      <c r="G81" s="65"/>
      <c r="H81" s="65"/>
      <c r="I81" s="65"/>
      <c r="J81" s="65"/>
    </row>
    <row r="82" spans="2:10" x14ac:dyDescent="0.35">
      <c r="B82" s="65"/>
      <c r="C82" s="65"/>
      <c r="D82" s="65"/>
      <c r="E82" s="65"/>
      <c r="G82" s="65"/>
      <c r="H82" s="65"/>
      <c r="I82" s="65"/>
      <c r="J82" s="65"/>
    </row>
    <row r="83" spans="2:10" x14ac:dyDescent="0.35">
      <c r="B83" s="65"/>
      <c r="C83" s="65"/>
      <c r="D83" s="65"/>
      <c r="E83" s="65"/>
      <c r="G83" s="65"/>
      <c r="H83" s="65"/>
      <c r="I83" s="65"/>
      <c r="J83" s="65"/>
    </row>
    <row r="84" spans="2:10" x14ac:dyDescent="0.35">
      <c r="B84" s="65"/>
      <c r="C84" s="65"/>
      <c r="D84" s="65"/>
      <c r="E84" s="65"/>
      <c r="G84" s="65"/>
      <c r="H84" s="65"/>
      <c r="I84" s="65"/>
      <c r="J84" s="65"/>
    </row>
    <row r="85" spans="2:10" x14ac:dyDescent="0.35">
      <c r="B85" s="65"/>
      <c r="C85" s="65"/>
      <c r="D85" s="65"/>
      <c r="E85" s="65"/>
      <c r="G85" s="65"/>
      <c r="H85" s="65"/>
      <c r="I85" s="65"/>
      <c r="J85" s="65"/>
    </row>
    <row r="86" spans="2:10" x14ac:dyDescent="0.35">
      <c r="B86" s="65"/>
      <c r="C86" s="65"/>
      <c r="D86" s="65"/>
      <c r="E86" s="65"/>
      <c r="G86" s="65"/>
      <c r="H86" s="65"/>
      <c r="I86" s="65"/>
      <c r="J86" s="65"/>
    </row>
    <row r="87" spans="2:10" x14ac:dyDescent="0.35">
      <c r="B87" s="65"/>
      <c r="C87" s="65"/>
      <c r="D87" s="65"/>
      <c r="E87" s="65"/>
      <c r="G87" s="65"/>
      <c r="H87" s="65"/>
      <c r="I87" s="65"/>
      <c r="J87" s="65"/>
    </row>
  </sheetData>
  <mergeCells count="11">
    <mergeCell ref="Q7:U7"/>
    <mergeCell ref="V7:Z7"/>
    <mergeCell ref="F1:K1"/>
    <mergeCell ref="G26:J26"/>
    <mergeCell ref="B26:E26"/>
    <mergeCell ref="L25:M25"/>
    <mergeCell ref="M26:Q27"/>
    <mergeCell ref="A25:J25"/>
    <mergeCell ref="B7:F7"/>
    <mergeCell ref="G7:K7"/>
    <mergeCell ref="L7:P7"/>
  </mergeCells>
  <conditionalFormatting sqref="C3">
    <cfRule type="cellIs" dxfId="141" priority="93" operator="notEqual">
      <formula>MAX($E$9:$E$23)</formula>
    </cfRule>
  </conditionalFormatting>
  <conditionalFormatting sqref="H14">
    <cfRule type="cellIs" dxfId="140" priority="56" operator="equal">
      <formula>0</formula>
    </cfRule>
    <cfRule type="containsBlanks" dxfId="139" priority="55">
      <formula>LEN(TRIM(H14))=0</formula>
    </cfRule>
  </conditionalFormatting>
  <conditionalFormatting sqref="H14:H15">
    <cfRule type="cellIs" dxfId="138" priority="48" operator="equal">
      <formula>0</formula>
    </cfRule>
    <cfRule type="containsBlanks" dxfId="137" priority="47">
      <formula>LEN(TRIM(H14))=0</formula>
    </cfRule>
  </conditionalFormatting>
  <conditionalFormatting sqref="H15:H16">
    <cfRule type="cellIs" dxfId="136" priority="40" operator="equal">
      <formula>0</formula>
    </cfRule>
    <cfRule type="containsBlanks" dxfId="135" priority="39">
      <formula>LEN(TRIM(H15))=0</formula>
    </cfRule>
  </conditionalFormatting>
  <conditionalFormatting sqref="H16:H17">
    <cfRule type="cellIs" dxfId="134" priority="32" operator="equal">
      <formula>0</formula>
    </cfRule>
    <cfRule type="containsBlanks" dxfId="133" priority="31">
      <formula>LEN(TRIM(H16))=0</formula>
    </cfRule>
  </conditionalFormatting>
  <conditionalFormatting sqref="H17:H18">
    <cfRule type="cellIs" dxfId="132" priority="24" operator="equal">
      <formula>0</formula>
    </cfRule>
    <cfRule type="containsBlanks" dxfId="131" priority="23">
      <formula>LEN(TRIM(H17))=0</formula>
    </cfRule>
  </conditionalFormatting>
  <conditionalFormatting sqref="H18">
    <cfRule type="containsBlanks" dxfId="130" priority="21">
      <formula>LEN(TRIM(H18))=0</formula>
    </cfRule>
    <cfRule type="cellIs" dxfId="129" priority="22" operator="equal">
      <formula>0</formula>
    </cfRule>
  </conditionalFormatting>
  <conditionalFormatting sqref="M9">
    <cfRule type="cellIs" dxfId="128" priority="90" operator="equal">
      <formula>0</formula>
    </cfRule>
    <cfRule type="containsBlanks" dxfId="127" priority="91">
      <formula>LEN(TRIM(M9))=0</formula>
    </cfRule>
    <cfRule type="cellIs" dxfId="126" priority="92" operator="equal">
      <formula>0</formula>
    </cfRule>
    <cfRule type="containsBlanks" dxfId="125" priority="89">
      <formula>LEN(TRIM(M9))=0</formula>
    </cfRule>
  </conditionalFormatting>
  <conditionalFormatting sqref="M11">
    <cfRule type="containsBlanks" dxfId="124" priority="79">
      <formula>LEN(TRIM(M11))=0</formula>
    </cfRule>
    <cfRule type="cellIs" dxfId="123" priority="80" operator="equal">
      <formula>0</formula>
    </cfRule>
  </conditionalFormatting>
  <conditionalFormatting sqref="M11:M12">
    <cfRule type="cellIs" dxfId="122" priority="16" operator="equal">
      <formula>0</formula>
    </cfRule>
    <cfRule type="containsBlanks" dxfId="121" priority="15">
      <formula>LEN(TRIM(M11))=0</formula>
    </cfRule>
  </conditionalFormatting>
  <conditionalFormatting sqref="M12">
    <cfRule type="cellIs" dxfId="120" priority="6" operator="equal">
      <formula>0</formula>
    </cfRule>
    <cfRule type="containsBlanks" dxfId="119" priority="5">
      <formula>LEN(TRIM(M12))=0</formula>
    </cfRule>
    <cfRule type="containsBlanks" dxfId="118" priority="7">
      <formula>LEN(TRIM(M12))=0</formula>
    </cfRule>
    <cfRule type="cellIs" dxfId="117" priority="8" operator="equal">
      <formula>0</formula>
    </cfRule>
    <cfRule type="cellIs" dxfId="116" priority="12" operator="equal">
      <formula>0</formula>
    </cfRule>
    <cfRule type="containsBlanks" dxfId="115" priority="11">
      <formula>LEN(TRIM(M12))=0</formula>
    </cfRule>
  </conditionalFormatting>
  <conditionalFormatting sqref="M13">
    <cfRule type="cellIs" dxfId="114" priority="60" operator="equal">
      <formula>0</formula>
    </cfRule>
    <cfRule type="containsBlanks" dxfId="113" priority="59">
      <formula>LEN(TRIM(M13))=0</formula>
    </cfRule>
  </conditionalFormatting>
  <conditionalFormatting sqref="M13:M14">
    <cfRule type="containsBlanks" dxfId="112" priority="51">
      <formula>LEN(TRIM(M13))=0</formula>
    </cfRule>
    <cfRule type="cellIs" dxfId="111" priority="52" operator="equal">
      <formula>0</formula>
    </cfRule>
  </conditionalFormatting>
  <conditionalFormatting sqref="M14:M15">
    <cfRule type="containsBlanks" dxfId="110" priority="43">
      <formula>LEN(TRIM(M14))=0</formula>
    </cfRule>
    <cfRule type="cellIs" dxfId="109" priority="44" operator="equal">
      <formula>0</formula>
    </cfRule>
  </conditionalFormatting>
  <conditionalFormatting sqref="M15:M16">
    <cfRule type="containsBlanks" dxfId="108" priority="35">
      <formula>LEN(TRIM(M15))=0</formula>
    </cfRule>
    <cfRule type="cellIs" dxfId="107" priority="36" operator="equal">
      <formula>0</formula>
    </cfRule>
  </conditionalFormatting>
  <conditionalFormatting sqref="M16:M17">
    <cfRule type="containsBlanks" dxfId="106" priority="27">
      <formula>LEN(TRIM(M16))=0</formula>
    </cfRule>
    <cfRule type="cellIs" dxfId="105" priority="28" operator="equal">
      <formula>0</formula>
    </cfRule>
  </conditionalFormatting>
  <conditionalFormatting sqref="M17:M18">
    <cfRule type="containsBlanks" dxfId="104" priority="19">
      <formula>LEN(TRIM(M17))=0</formula>
    </cfRule>
    <cfRule type="cellIs" dxfId="103" priority="20" operator="equal">
      <formula>0</formula>
    </cfRule>
  </conditionalFormatting>
  <conditionalFormatting sqref="M18">
    <cfRule type="containsBlanks" dxfId="102" priority="17">
      <formula>LEN(TRIM(M18))=0</formula>
    </cfRule>
    <cfRule type="cellIs" dxfId="101" priority="18" operator="equal">
      <formula>0</formula>
    </cfRule>
  </conditionalFormatting>
  <conditionalFormatting sqref="R10">
    <cfRule type="cellIs" dxfId="100" priority="88" operator="equal">
      <formula>0</formula>
    </cfRule>
    <cfRule type="containsBlanks" dxfId="99" priority="87">
      <formula>LEN(TRIM(R10))=0</formula>
    </cfRule>
  </conditionalFormatting>
  <conditionalFormatting sqref="R10:R11">
    <cfRule type="containsBlanks" dxfId="98" priority="75">
      <formula>LEN(TRIM(R10))=0</formula>
    </cfRule>
    <cfRule type="cellIs" dxfId="97" priority="76" operator="equal">
      <formula>0</formula>
    </cfRule>
  </conditionalFormatting>
  <conditionalFormatting sqref="R11:R12">
    <cfRule type="containsBlanks" dxfId="96" priority="13">
      <formula>LEN(TRIM(R11))=0</formula>
    </cfRule>
    <cfRule type="cellIs" dxfId="95" priority="14" operator="equal">
      <formula>0</formula>
    </cfRule>
  </conditionalFormatting>
  <conditionalFormatting sqref="R12">
    <cfRule type="cellIs" dxfId="94" priority="4" operator="equal">
      <formula>0</formula>
    </cfRule>
    <cfRule type="cellIs" dxfId="93" priority="10" operator="equal">
      <formula>0</formula>
    </cfRule>
    <cfRule type="containsBlanks" dxfId="92" priority="9">
      <formula>LEN(TRIM(R12))=0</formula>
    </cfRule>
    <cfRule type="containsBlanks" dxfId="91" priority="1">
      <formula>LEN(TRIM(R12))=0</formula>
    </cfRule>
    <cfRule type="cellIs" dxfId="90" priority="2" operator="equal">
      <formula>0</formula>
    </cfRule>
    <cfRule type="containsBlanks" dxfId="89" priority="3">
      <formula>LEN(TRIM(R12))=0</formula>
    </cfRule>
  </conditionalFormatting>
  <conditionalFormatting sqref="R13">
    <cfRule type="containsBlanks" dxfId="88" priority="71">
      <formula>LEN(TRIM(R13))=0</formula>
    </cfRule>
    <cfRule type="cellIs" dxfId="87" priority="72" operator="equal">
      <formula>0</formula>
    </cfRule>
  </conditionalFormatting>
  <conditionalFormatting sqref="R13:R14">
    <cfRule type="containsBlanks" dxfId="86" priority="63">
      <formula>LEN(TRIM(R13))=0</formula>
    </cfRule>
    <cfRule type="cellIs" dxfId="85" priority="64" operator="equal">
      <formula>0</formula>
    </cfRule>
  </conditionalFormatting>
  <conditionalFormatting sqref="R14">
    <cfRule type="containsBlanks" dxfId="84" priority="61">
      <formula>LEN(TRIM(R14))=0</formula>
    </cfRule>
    <cfRule type="cellIs" dxfId="83" priority="62" operator="equal">
      <formula>0</formula>
    </cfRule>
  </conditionalFormatting>
  <conditionalFormatting sqref="W10">
    <cfRule type="containsBlanks" dxfId="82" priority="81">
      <formula>LEN(TRIM(W10))=0</formula>
    </cfRule>
    <cfRule type="cellIs" dxfId="81" priority="82" operator="equal">
      <formula>0</formula>
    </cfRule>
    <cfRule type="cellIs" dxfId="80" priority="84" operator="equal">
      <formula>0</formula>
    </cfRule>
    <cfRule type="containsBlanks" dxfId="79" priority="83">
      <formula>LEN(TRIM(W10))=0</formula>
    </cfRule>
  </conditionalFormatting>
  <conditionalFormatting sqref="W13:W14">
    <cfRule type="containsBlanks" dxfId="78" priority="67">
      <formula>LEN(TRIM(W13))=0</formula>
    </cfRule>
    <cfRule type="cellIs" dxfId="77" priority="68" operator="equal">
      <formula>0</formula>
    </cfRule>
  </conditionalFormatting>
  <dataValidations count="1">
    <dataValidation type="list" allowBlank="1" showInputMessage="1" showErrorMessage="1" sqref="Z9:Z23 U9:U23 P9:P23 F9:F23 K9:K23" xr:uid="{F7795601-6BA3-4EBF-A520-47E46A2379CF}">
      <formula1>"green,red,yellow,blue,orange,cyan,black,white,magenta"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48707-1813-4C87-836D-6DCFAC90F007}">
  <dimension ref="A1:Z87"/>
  <sheetViews>
    <sheetView topLeftCell="A30" zoomScale="85" zoomScaleNormal="115" workbookViewId="0">
      <selection activeCell="J44" sqref="J44"/>
    </sheetView>
  </sheetViews>
  <sheetFormatPr defaultColWidth="9.1796875" defaultRowHeight="14.5" x14ac:dyDescent="0.35"/>
  <cols>
    <col min="1" max="2" width="8.453125" style="34" customWidth="1"/>
    <col min="3" max="3" width="10.54296875" style="34" customWidth="1"/>
    <col min="4" max="4" width="8.453125" style="34" customWidth="1"/>
    <col min="5" max="5" width="10.7265625" style="34" customWidth="1"/>
    <col min="6" max="6" width="8.81640625" style="34" customWidth="1"/>
    <col min="7" max="7" width="17" style="34" customWidth="1"/>
    <col min="8" max="8" width="9" style="34" customWidth="1"/>
    <col min="9" max="9" width="8.453125" style="34" customWidth="1"/>
    <col min="10" max="10" width="10.1796875" style="34" customWidth="1"/>
    <col min="11" max="11" width="12.1796875" style="34" customWidth="1"/>
    <col min="12" max="12" width="19.1796875" style="34" customWidth="1"/>
    <col min="13" max="13" width="10.26953125" style="34" customWidth="1"/>
    <col min="14" max="14" width="8.453125" style="34" customWidth="1"/>
    <col min="15" max="15" width="10.1796875" style="34" customWidth="1"/>
    <col min="16" max="16" width="9.81640625" style="34" customWidth="1"/>
    <col min="17" max="17" width="15.81640625" style="34" customWidth="1"/>
    <col min="18" max="19" width="8.453125" style="34" customWidth="1"/>
    <col min="20" max="20" width="10.26953125" style="34" customWidth="1"/>
    <col min="21" max="21" width="17" style="34" customWidth="1"/>
    <col min="22" max="22" width="17.7265625" style="34" customWidth="1"/>
    <col min="23" max="24" width="8.453125" style="34" customWidth="1"/>
    <col min="25" max="25" width="11.1796875" style="34" customWidth="1"/>
    <col min="26" max="26" width="7.81640625" style="34" customWidth="1"/>
    <col min="27" max="27" width="15.7265625" style="34" customWidth="1"/>
    <col min="28" max="31" width="7.81640625" style="34" customWidth="1"/>
    <col min="32" max="16384" width="9.1796875" style="34"/>
  </cols>
  <sheetData>
    <row r="1" spans="1:26" x14ac:dyDescent="0.35">
      <c r="F1" s="201" t="s">
        <v>70</v>
      </c>
      <c r="G1" s="201"/>
      <c r="H1" s="201"/>
      <c r="I1" s="201"/>
      <c r="J1" s="201"/>
      <c r="K1" s="201"/>
      <c r="L1" s="51" t="s">
        <v>46</v>
      </c>
      <c r="M1" s="66" t="s">
        <v>135</v>
      </c>
      <c r="N1" s="32" t="s">
        <v>136</v>
      </c>
      <c r="T1" s="32" t="s">
        <v>74</v>
      </c>
    </row>
    <row r="2" spans="1:26" x14ac:dyDescent="0.35">
      <c r="A2" s="155" t="s">
        <v>21</v>
      </c>
      <c r="B2" s="31" t="s">
        <v>22</v>
      </c>
      <c r="C2" s="65" t="s">
        <v>71</v>
      </c>
      <c r="D2" s="31" t="s">
        <v>24</v>
      </c>
      <c r="E2" s="65">
        <v>1</v>
      </c>
      <c r="F2" s="35" t="s">
        <v>61</v>
      </c>
      <c r="G2" s="32" t="s">
        <v>57</v>
      </c>
      <c r="M2" s="66" t="s">
        <v>44</v>
      </c>
      <c r="N2" s="32" t="s">
        <v>49</v>
      </c>
      <c r="Q2" s="66" t="s">
        <v>54</v>
      </c>
      <c r="R2" s="32" t="s">
        <v>84</v>
      </c>
      <c r="T2" s="66" t="s">
        <v>75</v>
      </c>
      <c r="U2" s="34" t="s">
        <v>80</v>
      </c>
    </row>
    <row r="3" spans="1:26" x14ac:dyDescent="0.35">
      <c r="B3" s="31" t="s">
        <v>14</v>
      </c>
      <c r="C3" s="65">
        <v>13</v>
      </c>
      <c r="D3" s="31" t="s">
        <v>25</v>
      </c>
      <c r="E3" s="65">
        <v>1</v>
      </c>
      <c r="F3" s="51" t="s">
        <v>45</v>
      </c>
      <c r="G3" s="32" t="s">
        <v>58</v>
      </c>
      <c r="I3" s="155" t="s">
        <v>151</v>
      </c>
      <c r="J3" s="32" t="s">
        <v>152</v>
      </c>
      <c r="M3" s="66" t="s">
        <v>47</v>
      </c>
      <c r="N3" s="32" t="s">
        <v>48</v>
      </c>
      <c r="Q3" s="66" t="s">
        <v>55</v>
      </c>
      <c r="R3" s="32" t="s">
        <v>56</v>
      </c>
      <c r="T3" s="66" t="s">
        <v>76</v>
      </c>
      <c r="U3" s="34" t="s">
        <v>82</v>
      </c>
    </row>
    <row r="4" spans="1:26" x14ac:dyDescent="0.35">
      <c r="B4" s="31" t="s">
        <v>23</v>
      </c>
      <c r="C4" s="65">
        <v>5.0000000000000002E-5</v>
      </c>
      <c r="D4" s="31" t="s">
        <v>26</v>
      </c>
      <c r="E4" s="65">
        <v>1</v>
      </c>
      <c r="F4" s="35" t="s">
        <v>62</v>
      </c>
      <c r="G4" s="32" t="s">
        <v>59</v>
      </c>
      <c r="I4" s="155" t="s">
        <v>71</v>
      </c>
      <c r="J4" s="50" t="s">
        <v>72</v>
      </c>
      <c r="M4" s="66" t="s">
        <v>50</v>
      </c>
      <c r="N4" s="32" t="s">
        <v>52</v>
      </c>
      <c r="Q4" s="66" t="s">
        <v>86</v>
      </c>
      <c r="R4" s="32" t="s">
        <v>85</v>
      </c>
      <c r="T4" s="66" t="s">
        <v>77</v>
      </c>
      <c r="U4" s="34" t="s">
        <v>79</v>
      </c>
    </row>
    <row r="5" spans="1:26" x14ac:dyDescent="0.35">
      <c r="B5" s="36" t="s">
        <v>63</v>
      </c>
      <c r="F5" s="51" t="s">
        <v>45</v>
      </c>
      <c r="G5" s="32" t="s">
        <v>60</v>
      </c>
      <c r="I5" s="34" t="s">
        <v>45</v>
      </c>
      <c r="J5" s="50" t="s">
        <v>73</v>
      </c>
      <c r="M5" s="66" t="s">
        <v>51</v>
      </c>
      <c r="N5" s="32" t="s">
        <v>53</v>
      </c>
      <c r="Q5" s="66" t="s">
        <v>143</v>
      </c>
      <c r="R5" s="32" t="s">
        <v>144</v>
      </c>
      <c r="T5" s="66" t="s">
        <v>78</v>
      </c>
      <c r="U5" s="34" t="s">
        <v>81</v>
      </c>
    </row>
    <row r="6" spans="1:26" ht="15" thickBot="1" x14ac:dyDescent="0.4">
      <c r="A6" s="33" t="s">
        <v>36</v>
      </c>
      <c r="J6" s="50" t="s">
        <v>83</v>
      </c>
      <c r="M6" s="60" t="s">
        <v>141</v>
      </c>
      <c r="N6" s="32" t="s">
        <v>142</v>
      </c>
    </row>
    <row r="7" spans="1:26" ht="15" thickBot="1" x14ac:dyDescent="0.4">
      <c r="B7" s="169" t="s">
        <v>31</v>
      </c>
      <c r="C7" s="200"/>
      <c r="D7" s="200"/>
      <c r="E7" s="200"/>
      <c r="F7" s="205"/>
      <c r="G7" s="206" t="s">
        <v>35</v>
      </c>
      <c r="H7" s="200"/>
      <c r="I7" s="200"/>
      <c r="J7" s="200"/>
      <c r="K7" s="170"/>
      <c r="L7" s="169" t="s">
        <v>41</v>
      </c>
      <c r="M7" s="200"/>
      <c r="N7" s="200"/>
      <c r="O7" s="200"/>
      <c r="P7" s="170"/>
      <c r="Q7" s="169" t="s">
        <v>42</v>
      </c>
      <c r="R7" s="200"/>
      <c r="S7" s="200"/>
      <c r="T7" s="200"/>
      <c r="U7" s="170"/>
      <c r="V7" s="169" t="s">
        <v>43</v>
      </c>
      <c r="W7" s="200"/>
      <c r="X7" s="200"/>
      <c r="Y7" s="200"/>
      <c r="Z7" s="170"/>
    </row>
    <row r="8" spans="1:26" x14ac:dyDescent="0.35">
      <c r="A8" s="42" t="s">
        <v>40</v>
      </c>
      <c r="B8" s="61" t="s">
        <v>27</v>
      </c>
      <c r="C8" s="66" t="s">
        <v>30</v>
      </c>
      <c r="D8" s="66" t="s">
        <v>28</v>
      </c>
      <c r="E8" s="66" t="s">
        <v>29</v>
      </c>
      <c r="F8" s="154" t="s">
        <v>34</v>
      </c>
      <c r="G8" s="47" t="s">
        <v>27</v>
      </c>
      <c r="H8" s="66" t="s">
        <v>30</v>
      </c>
      <c r="I8" s="66" t="s">
        <v>32</v>
      </c>
      <c r="J8" s="66" t="s">
        <v>33</v>
      </c>
      <c r="K8" s="38" t="s">
        <v>34</v>
      </c>
      <c r="L8" s="37" t="s">
        <v>27</v>
      </c>
      <c r="M8" s="66" t="s">
        <v>30</v>
      </c>
      <c r="N8" s="66" t="s">
        <v>32</v>
      </c>
      <c r="O8" s="66" t="s">
        <v>33</v>
      </c>
      <c r="P8" s="38" t="s">
        <v>34</v>
      </c>
      <c r="Q8" s="37" t="s">
        <v>27</v>
      </c>
      <c r="R8" s="66" t="s">
        <v>30</v>
      </c>
      <c r="S8" s="66" t="s">
        <v>32</v>
      </c>
      <c r="T8" s="66" t="s">
        <v>33</v>
      </c>
      <c r="U8" s="38" t="s">
        <v>34</v>
      </c>
      <c r="V8" s="37" t="s">
        <v>27</v>
      </c>
      <c r="W8" s="66" t="s">
        <v>30</v>
      </c>
      <c r="X8" s="66" t="s">
        <v>32</v>
      </c>
      <c r="Y8" s="66" t="s">
        <v>33</v>
      </c>
      <c r="Z8" s="38" t="s">
        <v>34</v>
      </c>
    </row>
    <row r="9" spans="1:26" x14ac:dyDescent="0.35">
      <c r="A9" s="43">
        <v>1</v>
      </c>
      <c r="B9" s="62" t="s">
        <v>31</v>
      </c>
      <c r="C9" s="65">
        <v>13</v>
      </c>
      <c r="D9" s="65">
        <v>0</v>
      </c>
      <c r="E9" s="65">
        <v>13</v>
      </c>
      <c r="F9" s="45" t="s">
        <v>69</v>
      </c>
      <c r="G9" s="39" t="s">
        <v>175</v>
      </c>
      <c r="H9" s="65">
        <v>5</v>
      </c>
      <c r="I9" s="65">
        <v>-90</v>
      </c>
      <c r="J9" s="65">
        <v>-40</v>
      </c>
      <c r="K9" s="45" t="s">
        <v>69</v>
      </c>
      <c r="L9" s="39"/>
      <c r="M9" s="65"/>
      <c r="N9" s="65"/>
      <c r="O9" s="65"/>
      <c r="P9" s="45"/>
      <c r="Q9" s="39"/>
      <c r="R9" s="65"/>
      <c r="S9" s="65"/>
      <c r="T9" s="65"/>
      <c r="U9" s="16"/>
      <c r="V9" s="39"/>
      <c r="W9" s="65"/>
      <c r="X9" s="65"/>
      <c r="Y9" s="65"/>
      <c r="Z9" s="16"/>
    </row>
    <row r="10" spans="1:26" x14ac:dyDescent="0.35">
      <c r="A10" s="43">
        <v>1</v>
      </c>
      <c r="B10" s="62" t="s">
        <v>31</v>
      </c>
      <c r="C10" s="65">
        <v>13</v>
      </c>
      <c r="D10" s="65">
        <v>0</v>
      </c>
      <c r="E10" s="65">
        <v>13</v>
      </c>
      <c r="F10" s="45" t="s">
        <v>178</v>
      </c>
      <c r="G10" s="39" t="s">
        <v>176</v>
      </c>
      <c r="H10" s="65">
        <v>5</v>
      </c>
      <c r="I10" s="65">
        <v>-90</v>
      </c>
      <c r="J10" s="65">
        <v>-40</v>
      </c>
      <c r="K10" s="45" t="s">
        <v>178</v>
      </c>
      <c r="L10" s="39"/>
      <c r="M10" s="65"/>
      <c r="N10" s="65"/>
      <c r="O10" s="65"/>
      <c r="P10" s="45"/>
      <c r="Q10" s="39"/>
      <c r="R10" s="65"/>
      <c r="S10" s="65"/>
      <c r="T10" s="65"/>
      <c r="U10" s="45"/>
      <c r="V10" s="39"/>
      <c r="W10" s="65"/>
      <c r="X10" s="65"/>
      <c r="Y10" s="65"/>
      <c r="Z10" s="45"/>
    </row>
    <row r="11" spans="1:26" x14ac:dyDescent="0.35">
      <c r="A11" s="43">
        <v>1</v>
      </c>
      <c r="B11" s="62" t="s">
        <v>31</v>
      </c>
      <c r="C11" s="65">
        <v>13</v>
      </c>
      <c r="D11" s="65">
        <v>0</v>
      </c>
      <c r="E11" s="65">
        <v>13</v>
      </c>
      <c r="F11" s="45" t="s">
        <v>179</v>
      </c>
      <c r="G11" s="39" t="s">
        <v>177</v>
      </c>
      <c r="H11" s="65">
        <v>5</v>
      </c>
      <c r="I11" s="65">
        <v>-90</v>
      </c>
      <c r="J11" s="65">
        <v>-40</v>
      </c>
      <c r="K11" s="45" t="s">
        <v>179</v>
      </c>
      <c r="L11" s="39"/>
      <c r="M11" s="65"/>
      <c r="N11" s="65"/>
      <c r="O11" s="65"/>
      <c r="P11" s="45"/>
      <c r="Q11" s="39"/>
      <c r="R11" s="65"/>
      <c r="S11" s="65"/>
      <c r="T11" s="65"/>
      <c r="U11" s="45"/>
      <c r="V11" s="39"/>
      <c r="W11" s="65"/>
      <c r="X11" s="65"/>
      <c r="Y11" s="65"/>
      <c r="Z11" s="16"/>
    </row>
    <row r="12" spans="1:26" x14ac:dyDescent="0.35">
      <c r="A12" s="43"/>
      <c r="B12" s="62"/>
      <c r="C12" s="65"/>
      <c r="D12" s="65"/>
      <c r="E12" s="65"/>
      <c r="F12" s="45"/>
      <c r="G12" s="39" t="s">
        <v>180</v>
      </c>
      <c r="H12" s="65"/>
      <c r="I12" s="65"/>
      <c r="J12" s="65"/>
      <c r="K12" s="45"/>
      <c r="L12" s="39"/>
      <c r="M12" s="65"/>
      <c r="N12" s="65"/>
      <c r="O12" s="65"/>
      <c r="P12" s="45"/>
      <c r="Q12" s="39"/>
      <c r="R12" s="65"/>
      <c r="S12" s="65"/>
      <c r="T12" s="65"/>
      <c r="U12" s="45"/>
      <c r="V12" s="39"/>
      <c r="W12" s="65"/>
      <c r="X12" s="65"/>
      <c r="Y12" s="65"/>
      <c r="Z12" s="45"/>
    </row>
    <row r="13" spans="1:26" x14ac:dyDescent="0.35">
      <c r="A13" s="43"/>
      <c r="B13" s="62"/>
      <c r="C13" s="65"/>
      <c r="D13" s="65"/>
      <c r="E13" s="65"/>
      <c r="F13" s="45"/>
      <c r="G13" s="39"/>
      <c r="H13" s="65"/>
      <c r="I13" s="65"/>
      <c r="J13" s="65"/>
      <c r="K13" s="45"/>
      <c r="L13" s="39"/>
      <c r="M13" s="65"/>
      <c r="N13" s="65"/>
      <c r="O13" s="65"/>
      <c r="P13" s="45"/>
      <c r="Q13" s="39"/>
      <c r="R13" s="65"/>
      <c r="S13" s="65"/>
      <c r="T13" s="65"/>
      <c r="U13" s="45"/>
      <c r="V13" s="39"/>
      <c r="W13" s="65"/>
      <c r="X13" s="65"/>
      <c r="Y13" s="65"/>
      <c r="Z13" s="45"/>
    </row>
    <row r="14" spans="1:26" x14ac:dyDescent="0.35">
      <c r="A14" s="43"/>
      <c r="B14" s="62"/>
      <c r="C14" s="65"/>
      <c r="D14" s="65"/>
      <c r="E14" s="65"/>
      <c r="F14" s="45"/>
      <c r="G14" s="39"/>
      <c r="H14" s="65"/>
      <c r="I14" s="65"/>
      <c r="J14" s="65"/>
      <c r="K14" s="45"/>
      <c r="L14" s="39"/>
      <c r="M14" s="65"/>
      <c r="N14" s="65"/>
      <c r="O14" s="65"/>
      <c r="P14" s="45"/>
      <c r="Q14" s="39"/>
      <c r="R14" s="65"/>
      <c r="S14" s="65"/>
      <c r="T14" s="65"/>
      <c r="U14" s="45"/>
      <c r="V14" s="39"/>
      <c r="W14" s="65"/>
      <c r="X14" s="65"/>
      <c r="Y14" s="65"/>
      <c r="Z14" s="45"/>
    </row>
    <row r="15" spans="1:26" x14ac:dyDescent="0.35">
      <c r="A15" s="43"/>
      <c r="B15" s="62"/>
      <c r="C15" s="65"/>
      <c r="D15" s="65"/>
      <c r="E15" s="65"/>
      <c r="F15" s="45"/>
      <c r="G15" s="39"/>
      <c r="H15" s="65"/>
      <c r="I15" s="65"/>
      <c r="J15" s="65"/>
      <c r="K15" s="45"/>
      <c r="L15" s="39"/>
      <c r="M15" s="65"/>
      <c r="N15" s="65"/>
      <c r="O15" s="65"/>
      <c r="P15" s="45"/>
      <c r="Q15" s="39"/>
      <c r="R15" s="65"/>
      <c r="S15" s="65"/>
      <c r="T15" s="65"/>
      <c r="U15" s="16"/>
      <c r="V15" s="39"/>
      <c r="W15" s="65"/>
      <c r="X15" s="65"/>
      <c r="Y15" s="65"/>
      <c r="Z15" s="16"/>
    </row>
    <row r="16" spans="1:26" x14ac:dyDescent="0.35">
      <c r="A16" s="43"/>
      <c r="B16" s="62"/>
      <c r="C16" s="65"/>
      <c r="D16" s="65"/>
      <c r="E16" s="65"/>
      <c r="F16" s="45"/>
      <c r="G16" s="39"/>
      <c r="H16" s="65"/>
      <c r="I16" s="65"/>
      <c r="J16" s="65"/>
      <c r="K16" s="45"/>
      <c r="L16" s="39"/>
      <c r="M16" s="65"/>
      <c r="N16" s="65"/>
      <c r="O16" s="65"/>
      <c r="P16" s="45"/>
      <c r="Q16" s="39"/>
      <c r="R16" s="65"/>
      <c r="S16" s="65"/>
      <c r="T16" s="65"/>
      <c r="U16" s="16"/>
      <c r="V16" s="39"/>
      <c r="W16" s="65"/>
      <c r="X16" s="65"/>
      <c r="Y16" s="65"/>
      <c r="Z16" s="16"/>
    </row>
    <row r="17" spans="1:26" x14ac:dyDescent="0.35">
      <c r="A17" s="43"/>
      <c r="B17" s="62"/>
      <c r="C17" s="65"/>
      <c r="D17" s="65"/>
      <c r="E17" s="65"/>
      <c r="F17" s="45"/>
      <c r="G17" s="39"/>
      <c r="H17" s="65"/>
      <c r="I17" s="65"/>
      <c r="J17" s="65"/>
      <c r="K17" s="45"/>
      <c r="L17" s="39"/>
      <c r="M17" s="65"/>
      <c r="N17" s="65"/>
      <c r="O17" s="65"/>
      <c r="P17" s="45"/>
      <c r="Q17" s="39"/>
      <c r="R17" s="65"/>
      <c r="S17" s="65"/>
      <c r="T17" s="65"/>
      <c r="U17" s="16"/>
      <c r="V17" s="39"/>
      <c r="W17" s="65"/>
      <c r="X17" s="65"/>
      <c r="Y17" s="65"/>
      <c r="Z17" s="16"/>
    </row>
    <row r="18" spans="1:26" x14ac:dyDescent="0.35">
      <c r="A18" s="43"/>
      <c r="B18" s="62"/>
      <c r="C18" s="65"/>
      <c r="D18" s="65"/>
      <c r="E18" s="65"/>
      <c r="F18" s="45"/>
      <c r="G18" s="39"/>
      <c r="H18" s="65"/>
      <c r="I18" s="65"/>
      <c r="J18" s="65"/>
      <c r="K18" s="45"/>
      <c r="L18" s="39"/>
      <c r="M18" s="65"/>
      <c r="N18" s="65"/>
      <c r="O18" s="65"/>
      <c r="P18" s="45"/>
      <c r="Q18" s="39"/>
      <c r="R18" s="65"/>
      <c r="S18" s="65"/>
      <c r="T18" s="65"/>
      <c r="U18" s="16"/>
      <c r="V18" s="39"/>
      <c r="W18" s="65"/>
      <c r="X18" s="65"/>
      <c r="Y18" s="65"/>
      <c r="Z18" s="16"/>
    </row>
    <row r="19" spans="1:26" x14ac:dyDescent="0.35">
      <c r="A19" s="43"/>
      <c r="B19" s="62"/>
      <c r="C19" s="65"/>
      <c r="D19" s="65"/>
      <c r="E19" s="65"/>
      <c r="F19" s="45"/>
      <c r="G19" s="48"/>
      <c r="H19" s="65"/>
      <c r="I19" s="65"/>
      <c r="J19" s="65"/>
      <c r="K19" s="45"/>
      <c r="L19" s="39"/>
      <c r="M19" s="65"/>
      <c r="N19" s="65"/>
      <c r="O19" s="65"/>
      <c r="P19" s="16"/>
      <c r="Q19" s="39"/>
      <c r="R19" s="65"/>
      <c r="S19" s="65"/>
      <c r="T19" s="65"/>
      <c r="U19" s="16"/>
      <c r="V19" s="39"/>
      <c r="W19" s="65"/>
      <c r="X19" s="65"/>
      <c r="Y19" s="65"/>
      <c r="Z19" s="16"/>
    </row>
    <row r="20" spans="1:26" x14ac:dyDescent="0.35">
      <c r="A20" s="43"/>
      <c r="B20" s="62"/>
      <c r="C20" s="65"/>
      <c r="D20" s="65"/>
      <c r="E20" s="65"/>
      <c r="F20" s="45"/>
      <c r="G20" s="48"/>
      <c r="H20" s="65"/>
      <c r="I20" s="65"/>
      <c r="J20" s="65"/>
      <c r="K20" s="16"/>
      <c r="L20" s="39"/>
      <c r="M20" s="65"/>
      <c r="N20" s="65"/>
      <c r="O20" s="65"/>
      <c r="P20" s="16"/>
      <c r="Q20" s="39"/>
      <c r="R20" s="65"/>
      <c r="S20" s="65"/>
      <c r="T20" s="65"/>
      <c r="U20" s="16"/>
      <c r="V20" s="39"/>
      <c r="W20" s="65"/>
      <c r="X20" s="65"/>
      <c r="Y20" s="65"/>
      <c r="Z20" s="16"/>
    </row>
    <row r="21" spans="1:26" x14ac:dyDescent="0.35">
      <c r="A21" s="43"/>
      <c r="B21" s="62"/>
      <c r="C21" s="65"/>
      <c r="D21" s="65"/>
      <c r="E21" s="65"/>
      <c r="F21" s="45"/>
      <c r="G21" s="48"/>
      <c r="H21" s="65"/>
      <c r="I21" s="65"/>
      <c r="J21" s="65"/>
      <c r="K21" s="16"/>
      <c r="L21" s="39"/>
      <c r="M21" s="65"/>
      <c r="N21" s="65"/>
      <c r="O21" s="65"/>
      <c r="P21" s="16"/>
      <c r="Q21" s="39"/>
      <c r="R21" s="65"/>
      <c r="S21" s="65"/>
      <c r="T21" s="65"/>
      <c r="U21" s="16"/>
      <c r="V21" s="39"/>
      <c r="W21" s="65"/>
      <c r="X21" s="65"/>
      <c r="Y21" s="65"/>
      <c r="Z21" s="16"/>
    </row>
    <row r="22" spans="1:26" x14ac:dyDescent="0.35">
      <c r="A22" s="43"/>
      <c r="B22" s="62"/>
      <c r="C22" s="65"/>
      <c r="D22" s="65"/>
      <c r="E22" s="65"/>
      <c r="F22" s="45"/>
      <c r="G22" s="48"/>
      <c r="H22" s="65"/>
      <c r="I22" s="65"/>
      <c r="J22" s="65"/>
      <c r="K22" s="16"/>
      <c r="L22" s="39"/>
      <c r="M22" s="65"/>
      <c r="N22" s="65"/>
      <c r="O22" s="65"/>
      <c r="P22" s="16"/>
      <c r="Q22" s="39"/>
      <c r="R22" s="65"/>
      <c r="S22" s="65"/>
      <c r="T22" s="65"/>
      <c r="U22" s="16"/>
      <c r="V22" s="39"/>
      <c r="W22" s="65"/>
      <c r="X22" s="65"/>
      <c r="Y22" s="65"/>
      <c r="Z22" s="16"/>
    </row>
    <row r="23" spans="1:26" ht="15" thickBot="1" x14ac:dyDescent="0.4">
      <c r="A23" s="44"/>
      <c r="B23" s="63"/>
      <c r="C23" s="19"/>
      <c r="D23" s="19"/>
      <c r="E23" s="19"/>
      <c r="F23" s="46"/>
      <c r="G23" s="49"/>
      <c r="H23" s="19"/>
      <c r="I23" s="19"/>
      <c r="J23" s="19"/>
      <c r="K23" s="41"/>
      <c r="L23" s="40"/>
      <c r="M23" s="19"/>
      <c r="N23" s="19"/>
      <c r="O23" s="19"/>
      <c r="P23" s="41"/>
      <c r="Q23" s="40"/>
      <c r="R23" s="19"/>
      <c r="S23" s="19"/>
      <c r="T23" s="19"/>
      <c r="U23" s="41"/>
      <c r="V23" s="40"/>
      <c r="W23" s="19"/>
      <c r="X23" s="19"/>
      <c r="Y23" s="19"/>
      <c r="Z23" s="41"/>
    </row>
    <row r="25" spans="1:26" x14ac:dyDescent="0.35">
      <c r="A25" s="201" t="s">
        <v>64</v>
      </c>
      <c r="B25" s="201"/>
      <c r="C25" s="201"/>
      <c r="D25" s="201"/>
      <c r="E25" s="201"/>
      <c r="F25" s="201"/>
      <c r="G25" s="201"/>
      <c r="H25" s="201"/>
      <c r="I25" s="201"/>
      <c r="J25" s="201"/>
      <c r="L25" s="201" t="s">
        <v>65</v>
      </c>
      <c r="M25" s="201"/>
    </row>
    <row r="26" spans="1:26" ht="15" customHeight="1" x14ac:dyDescent="0.35">
      <c r="B26" s="167" t="s">
        <v>37</v>
      </c>
      <c r="C26" s="165"/>
      <c r="D26" s="165"/>
      <c r="E26" s="166"/>
      <c r="G26" s="202" t="s">
        <v>68</v>
      </c>
      <c r="H26" s="202"/>
      <c r="I26" s="202"/>
      <c r="J26" s="202"/>
      <c r="L26" s="39" t="s">
        <v>94</v>
      </c>
      <c r="M26" s="203" t="s">
        <v>66</v>
      </c>
      <c r="N26" s="204"/>
      <c r="O26" s="204"/>
      <c r="P26" s="204"/>
      <c r="Q26" s="204"/>
    </row>
    <row r="27" spans="1:26" x14ac:dyDescent="0.35">
      <c r="B27" s="66" t="s">
        <v>38</v>
      </c>
      <c r="C27" s="66" t="s">
        <v>28</v>
      </c>
      <c r="D27" s="66" t="s">
        <v>29</v>
      </c>
      <c r="E27" s="66" t="s">
        <v>39</v>
      </c>
      <c r="G27" s="66" t="s">
        <v>38</v>
      </c>
      <c r="H27" s="66" t="s">
        <v>28</v>
      </c>
      <c r="I27" s="66" t="s">
        <v>29</v>
      </c>
      <c r="J27" s="66" t="s">
        <v>67</v>
      </c>
      <c r="L27" s="39"/>
      <c r="M27" s="203"/>
      <c r="N27" s="204"/>
      <c r="O27" s="204"/>
      <c r="P27" s="204"/>
      <c r="Q27" s="204"/>
    </row>
    <row r="28" spans="1:26" x14ac:dyDescent="0.35">
      <c r="B28" s="65" t="s">
        <v>50</v>
      </c>
      <c r="C28" s="65">
        <v>0</v>
      </c>
      <c r="D28" s="65">
        <v>5</v>
      </c>
      <c r="E28" s="65">
        <v>-1</v>
      </c>
      <c r="G28" s="65"/>
      <c r="H28" s="65"/>
      <c r="I28" s="65"/>
      <c r="J28" s="65"/>
      <c r="L28" s="39"/>
      <c r="M28" s="14"/>
    </row>
    <row r="29" spans="1:26" x14ac:dyDescent="0.35">
      <c r="B29" s="65" t="s">
        <v>50</v>
      </c>
      <c r="C29" s="65">
        <v>0.25</v>
      </c>
      <c r="D29" s="65">
        <v>0.4</v>
      </c>
      <c r="E29" s="65">
        <v>2</v>
      </c>
      <c r="G29" s="65"/>
      <c r="H29" s="65"/>
      <c r="I29" s="65"/>
      <c r="J29" s="65"/>
      <c r="L29" s="39"/>
      <c r="M29" s="14"/>
    </row>
    <row r="30" spans="1:26" x14ac:dyDescent="0.35">
      <c r="B30" s="65" t="s">
        <v>50</v>
      </c>
      <c r="C30" s="65">
        <v>0.75</v>
      </c>
      <c r="D30" s="65">
        <v>0.9</v>
      </c>
      <c r="E30" s="65">
        <v>2</v>
      </c>
      <c r="G30" s="65"/>
      <c r="H30" s="65"/>
      <c r="I30" s="65"/>
      <c r="J30" s="65"/>
      <c r="L30" s="39"/>
      <c r="M30" s="14"/>
    </row>
    <row r="31" spans="1:26" x14ac:dyDescent="0.35">
      <c r="B31" s="65" t="s">
        <v>50</v>
      </c>
      <c r="C31" s="65">
        <v>1.25</v>
      </c>
      <c r="D31" s="65">
        <v>1.4</v>
      </c>
      <c r="E31" s="65">
        <v>2</v>
      </c>
      <c r="G31" s="65"/>
      <c r="H31" s="65"/>
      <c r="I31" s="65"/>
      <c r="J31" s="65"/>
      <c r="L31" s="39"/>
      <c r="M31" s="14"/>
    </row>
    <row r="32" spans="1:26" x14ac:dyDescent="0.35">
      <c r="B32" s="65" t="s">
        <v>50</v>
      </c>
      <c r="C32" s="65">
        <v>1.75</v>
      </c>
      <c r="D32" s="65">
        <v>1.9</v>
      </c>
      <c r="E32" s="65">
        <v>2</v>
      </c>
      <c r="G32" s="65"/>
      <c r="H32" s="65"/>
      <c r="I32" s="65"/>
      <c r="J32" s="65"/>
      <c r="L32" s="39"/>
      <c r="M32" s="14"/>
    </row>
    <row r="33" spans="2:13" x14ac:dyDescent="0.35">
      <c r="B33" s="65" t="s">
        <v>50</v>
      </c>
      <c r="C33" s="65">
        <v>2.25</v>
      </c>
      <c r="D33" s="65">
        <v>2.4</v>
      </c>
      <c r="E33" s="65">
        <v>2</v>
      </c>
      <c r="G33" s="65"/>
      <c r="H33" s="65"/>
      <c r="I33" s="65"/>
      <c r="J33" s="65"/>
      <c r="L33" s="39"/>
      <c r="M33" s="14"/>
    </row>
    <row r="34" spans="2:13" x14ac:dyDescent="0.35">
      <c r="B34" s="65" t="s">
        <v>50</v>
      </c>
      <c r="C34" s="65">
        <v>2.75</v>
      </c>
      <c r="D34" s="65">
        <v>2.9</v>
      </c>
      <c r="E34" s="65">
        <v>2</v>
      </c>
      <c r="G34" s="65"/>
      <c r="H34" s="65"/>
      <c r="I34" s="65"/>
      <c r="J34" s="65"/>
      <c r="L34" s="39"/>
      <c r="M34" s="14"/>
    </row>
    <row r="35" spans="2:13" x14ac:dyDescent="0.35">
      <c r="B35" s="65" t="s">
        <v>50</v>
      </c>
      <c r="C35" s="65">
        <v>3.25</v>
      </c>
      <c r="D35" s="65">
        <v>3.4</v>
      </c>
      <c r="E35" s="65">
        <v>2</v>
      </c>
      <c r="G35" s="65"/>
      <c r="H35" s="65"/>
      <c r="I35" s="65"/>
      <c r="J35" s="65"/>
      <c r="L35" s="39"/>
      <c r="M35" s="14"/>
    </row>
    <row r="36" spans="2:13" x14ac:dyDescent="0.35">
      <c r="B36" s="65" t="s">
        <v>50</v>
      </c>
      <c r="C36" s="65">
        <v>3.75</v>
      </c>
      <c r="D36" s="65">
        <v>3.9</v>
      </c>
      <c r="E36" s="65">
        <v>2</v>
      </c>
      <c r="G36" s="65"/>
      <c r="H36" s="65"/>
      <c r="I36" s="65"/>
      <c r="J36" s="65"/>
      <c r="L36" s="39"/>
      <c r="M36" s="14"/>
    </row>
    <row r="37" spans="2:13" x14ac:dyDescent="0.35">
      <c r="B37" s="65" t="s">
        <v>50</v>
      </c>
      <c r="C37" s="65">
        <v>4.25</v>
      </c>
      <c r="D37" s="65">
        <v>4.3499999999999996</v>
      </c>
      <c r="E37" s="65">
        <v>2</v>
      </c>
      <c r="G37" s="65"/>
      <c r="H37" s="65"/>
      <c r="I37" s="65"/>
      <c r="J37" s="65"/>
      <c r="L37" s="20"/>
      <c r="M37" s="14"/>
    </row>
    <row r="38" spans="2:13" x14ac:dyDescent="0.35">
      <c r="B38" s="65" t="s">
        <v>50</v>
      </c>
      <c r="C38" s="65">
        <v>4.75</v>
      </c>
      <c r="D38" s="65">
        <v>4.8499999999999996</v>
      </c>
      <c r="E38" s="65">
        <v>2</v>
      </c>
      <c r="G38" s="65"/>
      <c r="H38" s="65"/>
      <c r="I38" s="65"/>
      <c r="J38" s="65"/>
      <c r="L38" s="20"/>
      <c r="M38" s="14"/>
    </row>
    <row r="39" spans="2:13" x14ac:dyDescent="0.35">
      <c r="B39" s="65" t="s">
        <v>50</v>
      </c>
      <c r="C39" s="65">
        <v>5.25</v>
      </c>
      <c r="D39" s="65">
        <v>5.35</v>
      </c>
      <c r="E39" s="65">
        <v>2</v>
      </c>
      <c r="G39" s="65"/>
      <c r="H39" s="65"/>
      <c r="I39" s="65"/>
      <c r="J39" s="65"/>
      <c r="L39" s="20"/>
      <c r="M39" s="14"/>
    </row>
    <row r="40" spans="2:13" x14ac:dyDescent="0.35">
      <c r="B40" s="65" t="s">
        <v>50</v>
      </c>
      <c r="C40" s="65">
        <v>5.75</v>
      </c>
      <c r="D40" s="65">
        <v>5.85</v>
      </c>
      <c r="E40" s="65">
        <v>2</v>
      </c>
      <c r="G40" s="65"/>
      <c r="H40" s="65"/>
      <c r="I40" s="65"/>
      <c r="J40" s="65"/>
      <c r="L40" s="20"/>
      <c r="M40" s="14"/>
    </row>
    <row r="41" spans="2:13" x14ac:dyDescent="0.35">
      <c r="B41" s="65" t="s">
        <v>174</v>
      </c>
      <c r="C41" s="65">
        <v>0</v>
      </c>
      <c r="D41" s="65">
        <v>0.5</v>
      </c>
      <c r="E41" s="65">
        <v>-3</v>
      </c>
      <c r="G41" s="65"/>
      <c r="H41" s="65"/>
      <c r="I41" s="65"/>
      <c r="J41" s="65"/>
      <c r="L41" s="20"/>
      <c r="M41" s="14"/>
    </row>
    <row r="42" spans="2:13" x14ac:dyDescent="0.35">
      <c r="B42" s="65" t="s">
        <v>174</v>
      </c>
      <c r="C42" s="65">
        <v>0.5</v>
      </c>
      <c r="D42" s="65">
        <v>1</v>
      </c>
      <c r="E42" s="65">
        <v>-2</v>
      </c>
      <c r="G42" s="65"/>
      <c r="H42" s="65"/>
      <c r="I42" s="65"/>
      <c r="J42" s="65"/>
      <c r="L42" s="20"/>
      <c r="M42" s="14"/>
    </row>
    <row r="43" spans="2:13" x14ac:dyDescent="0.35">
      <c r="B43" s="65" t="s">
        <v>174</v>
      </c>
      <c r="C43" s="65">
        <v>1</v>
      </c>
      <c r="D43" s="65">
        <v>1.5</v>
      </c>
      <c r="E43" s="65">
        <v>-1</v>
      </c>
      <c r="G43" s="65"/>
      <c r="H43" s="65"/>
      <c r="I43" s="65"/>
      <c r="J43" s="65"/>
      <c r="L43" s="20"/>
      <c r="M43" s="14"/>
    </row>
    <row r="44" spans="2:13" x14ac:dyDescent="0.35">
      <c r="B44" s="65" t="s">
        <v>174</v>
      </c>
      <c r="C44" s="65">
        <v>1.5</v>
      </c>
      <c r="D44" s="65">
        <v>2</v>
      </c>
      <c r="E44" s="65">
        <v>0</v>
      </c>
      <c r="G44" s="65"/>
      <c r="H44" s="65"/>
      <c r="I44" s="65"/>
      <c r="J44" s="65"/>
      <c r="L44" s="20"/>
      <c r="M44" s="14"/>
    </row>
    <row r="45" spans="2:13" x14ac:dyDescent="0.35">
      <c r="B45" s="65" t="s">
        <v>174</v>
      </c>
      <c r="C45" s="65">
        <v>2</v>
      </c>
      <c r="D45" s="65">
        <v>2.5</v>
      </c>
      <c r="E45" s="65">
        <v>1</v>
      </c>
      <c r="G45" s="65"/>
      <c r="H45" s="65"/>
      <c r="I45" s="65"/>
      <c r="J45" s="65"/>
    </row>
    <row r="46" spans="2:13" x14ac:dyDescent="0.35">
      <c r="B46" s="65" t="s">
        <v>174</v>
      </c>
      <c r="C46" s="65">
        <v>2.5</v>
      </c>
      <c r="D46" s="65">
        <v>3</v>
      </c>
      <c r="E46" s="65">
        <v>2</v>
      </c>
      <c r="G46" s="65"/>
      <c r="H46" s="65"/>
      <c r="I46" s="65"/>
      <c r="J46" s="65"/>
    </row>
    <row r="47" spans="2:13" x14ac:dyDescent="0.35">
      <c r="B47" s="65" t="s">
        <v>174</v>
      </c>
      <c r="C47" s="65">
        <v>3</v>
      </c>
      <c r="D47" s="65">
        <v>3.5</v>
      </c>
      <c r="E47" s="65">
        <v>3</v>
      </c>
      <c r="G47" s="65"/>
      <c r="H47" s="65"/>
      <c r="I47" s="65"/>
      <c r="J47" s="65"/>
    </row>
    <row r="48" spans="2:13" x14ac:dyDescent="0.35">
      <c r="B48" s="65" t="s">
        <v>174</v>
      </c>
      <c r="C48" s="65">
        <v>3.5</v>
      </c>
      <c r="D48" s="65">
        <v>4</v>
      </c>
      <c r="E48" s="65">
        <v>4</v>
      </c>
      <c r="G48" s="65"/>
      <c r="H48" s="65"/>
      <c r="I48" s="65"/>
      <c r="J48" s="65"/>
    </row>
    <row r="49" spans="2:10" x14ac:dyDescent="0.35">
      <c r="B49" s="65" t="s">
        <v>174</v>
      </c>
      <c r="C49" s="65">
        <v>4</v>
      </c>
      <c r="D49" s="65">
        <v>4.5</v>
      </c>
      <c r="E49" s="65">
        <v>5</v>
      </c>
      <c r="G49" s="65"/>
      <c r="H49" s="65"/>
      <c r="I49" s="65"/>
      <c r="J49" s="65"/>
    </row>
    <row r="50" spans="2:10" x14ac:dyDescent="0.35">
      <c r="B50" s="65" t="s">
        <v>174</v>
      </c>
      <c r="C50" s="65">
        <v>4.5</v>
      </c>
      <c r="D50" s="65">
        <v>5</v>
      </c>
      <c r="E50" s="65">
        <v>6</v>
      </c>
      <c r="G50" s="65"/>
      <c r="H50" s="65"/>
      <c r="I50" s="65"/>
      <c r="J50" s="65"/>
    </row>
    <row r="51" spans="2:10" x14ac:dyDescent="0.35">
      <c r="B51" s="65" t="s">
        <v>174</v>
      </c>
      <c r="C51" s="65">
        <v>5</v>
      </c>
      <c r="D51" s="65">
        <v>5.5</v>
      </c>
      <c r="E51" s="65">
        <v>7</v>
      </c>
      <c r="G51" s="65"/>
      <c r="H51" s="65"/>
      <c r="I51" s="65"/>
      <c r="J51" s="65"/>
    </row>
    <row r="52" spans="2:10" x14ac:dyDescent="0.35">
      <c r="B52" s="65" t="s">
        <v>174</v>
      </c>
      <c r="C52" s="65">
        <v>5.5</v>
      </c>
      <c r="D52" s="65">
        <v>6</v>
      </c>
      <c r="E52" s="65">
        <v>8</v>
      </c>
      <c r="G52" s="65"/>
      <c r="H52" s="65"/>
      <c r="I52" s="65"/>
      <c r="J52" s="65"/>
    </row>
    <row r="53" spans="2:10" x14ac:dyDescent="0.35">
      <c r="B53" s="65"/>
      <c r="C53" s="65"/>
      <c r="D53" s="65"/>
      <c r="E53" s="65"/>
      <c r="G53" s="65"/>
      <c r="H53" s="65"/>
      <c r="I53" s="65"/>
      <c r="J53" s="65"/>
    </row>
    <row r="54" spans="2:10" x14ac:dyDescent="0.35">
      <c r="B54" s="65"/>
      <c r="C54" s="65"/>
      <c r="D54" s="65"/>
      <c r="E54" s="65"/>
      <c r="G54" s="65"/>
      <c r="H54" s="65"/>
      <c r="I54" s="65"/>
      <c r="J54" s="65"/>
    </row>
    <row r="55" spans="2:10" x14ac:dyDescent="0.35">
      <c r="B55" s="65"/>
      <c r="C55" s="65"/>
      <c r="D55" s="65"/>
      <c r="E55" s="65"/>
      <c r="G55" s="65"/>
      <c r="H55" s="65"/>
      <c r="I55" s="65"/>
      <c r="J55" s="65"/>
    </row>
    <row r="56" spans="2:10" x14ac:dyDescent="0.35">
      <c r="B56" s="65"/>
      <c r="C56" s="65"/>
      <c r="D56" s="65"/>
      <c r="E56" s="65"/>
      <c r="G56" s="65"/>
      <c r="H56" s="65"/>
      <c r="I56" s="65"/>
      <c r="J56" s="65"/>
    </row>
    <row r="57" spans="2:10" x14ac:dyDescent="0.35">
      <c r="B57" s="65"/>
      <c r="C57" s="65"/>
      <c r="D57" s="65"/>
      <c r="E57" s="65"/>
      <c r="G57" s="65"/>
      <c r="H57" s="65"/>
      <c r="I57" s="65"/>
      <c r="J57" s="65"/>
    </row>
    <row r="58" spans="2:10" x14ac:dyDescent="0.35">
      <c r="B58" s="65"/>
      <c r="C58" s="65"/>
      <c r="D58" s="65"/>
      <c r="E58" s="65"/>
      <c r="G58" s="65"/>
      <c r="H58" s="65"/>
      <c r="I58" s="65"/>
      <c r="J58" s="65"/>
    </row>
    <row r="59" spans="2:10" x14ac:dyDescent="0.35">
      <c r="B59" s="65"/>
      <c r="C59" s="65"/>
      <c r="D59" s="65"/>
      <c r="E59" s="65"/>
      <c r="G59" s="65"/>
      <c r="H59" s="65"/>
      <c r="I59" s="65"/>
      <c r="J59" s="65"/>
    </row>
    <row r="60" spans="2:10" x14ac:dyDescent="0.35">
      <c r="B60" s="65"/>
      <c r="C60" s="65"/>
      <c r="D60" s="65"/>
      <c r="E60" s="65"/>
      <c r="G60" s="65"/>
      <c r="H60" s="65"/>
      <c r="I60" s="65"/>
      <c r="J60" s="65"/>
    </row>
    <row r="61" spans="2:10" x14ac:dyDescent="0.35">
      <c r="B61" s="65"/>
      <c r="C61" s="65"/>
      <c r="D61" s="65"/>
      <c r="E61" s="65"/>
      <c r="G61" s="65"/>
      <c r="H61" s="65"/>
      <c r="I61" s="65"/>
      <c r="J61" s="65"/>
    </row>
    <row r="62" spans="2:10" x14ac:dyDescent="0.35">
      <c r="B62" s="65"/>
      <c r="C62" s="65"/>
      <c r="D62" s="65"/>
      <c r="E62" s="65"/>
      <c r="G62" s="65"/>
      <c r="H62" s="65"/>
      <c r="I62" s="65"/>
      <c r="J62" s="65"/>
    </row>
    <row r="63" spans="2:10" x14ac:dyDescent="0.35">
      <c r="B63" s="65"/>
      <c r="C63" s="65"/>
      <c r="D63" s="65"/>
      <c r="E63" s="65"/>
      <c r="G63" s="65"/>
      <c r="H63" s="65"/>
      <c r="I63" s="65"/>
      <c r="J63" s="65"/>
    </row>
    <row r="64" spans="2:10" x14ac:dyDescent="0.35">
      <c r="B64" s="65"/>
      <c r="C64" s="65"/>
      <c r="D64" s="65"/>
      <c r="E64" s="65"/>
      <c r="G64" s="65"/>
      <c r="H64" s="65"/>
      <c r="I64" s="65"/>
      <c r="J64" s="65"/>
    </row>
    <row r="65" spans="2:10" x14ac:dyDescent="0.35">
      <c r="B65" s="65"/>
      <c r="C65" s="65"/>
      <c r="D65" s="65"/>
      <c r="E65" s="65"/>
      <c r="G65" s="65"/>
      <c r="H65" s="65"/>
      <c r="I65" s="65"/>
      <c r="J65" s="65"/>
    </row>
    <row r="66" spans="2:10" x14ac:dyDescent="0.35">
      <c r="B66" s="65"/>
      <c r="C66" s="65"/>
      <c r="D66" s="65"/>
      <c r="E66" s="65"/>
      <c r="G66" s="65"/>
      <c r="H66" s="65"/>
      <c r="I66" s="65"/>
      <c r="J66" s="65"/>
    </row>
    <row r="67" spans="2:10" x14ac:dyDescent="0.35">
      <c r="B67" s="65"/>
      <c r="C67" s="65"/>
      <c r="D67" s="65"/>
      <c r="E67" s="65"/>
      <c r="G67" s="65"/>
      <c r="H67" s="65"/>
      <c r="I67" s="65"/>
      <c r="J67" s="65"/>
    </row>
    <row r="68" spans="2:10" x14ac:dyDescent="0.35">
      <c r="B68" s="65"/>
      <c r="C68" s="65"/>
      <c r="D68" s="65"/>
      <c r="E68" s="65"/>
      <c r="G68" s="65"/>
      <c r="H68" s="65"/>
      <c r="I68" s="65"/>
      <c r="J68" s="65"/>
    </row>
    <row r="69" spans="2:10" x14ac:dyDescent="0.35">
      <c r="B69" s="65"/>
      <c r="C69" s="65"/>
      <c r="D69" s="65"/>
      <c r="E69" s="65"/>
      <c r="G69" s="65"/>
      <c r="H69" s="65"/>
      <c r="I69" s="65"/>
      <c r="J69" s="65"/>
    </row>
    <row r="70" spans="2:10" x14ac:dyDescent="0.35">
      <c r="B70" s="65"/>
      <c r="C70" s="65"/>
      <c r="D70" s="65"/>
      <c r="E70" s="65"/>
      <c r="G70" s="65"/>
      <c r="H70" s="65"/>
      <c r="I70" s="65"/>
      <c r="J70" s="65"/>
    </row>
    <row r="71" spans="2:10" x14ac:dyDescent="0.35">
      <c r="B71" s="65"/>
      <c r="C71" s="65"/>
      <c r="D71" s="65"/>
      <c r="E71" s="65"/>
      <c r="G71" s="65"/>
      <c r="H71" s="65"/>
      <c r="I71" s="65"/>
      <c r="J71" s="65"/>
    </row>
    <row r="72" spans="2:10" x14ac:dyDescent="0.35">
      <c r="B72" s="65"/>
      <c r="C72" s="65"/>
      <c r="D72" s="65"/>
      <c r="E72" s="65"/>
      <c r="G72" s="65"/>
      <c r="H72" s="65"/>
      <c r="I72" s="65"/>
      <c r="J72" s="65"/>
    </row>
    <row r="73" spans="2:10" x14ac:dyDescent="0.35">
      <c r="B73" s="65"/>
      <c r="C73" s="65"/>
      <c r="D73" s="65"/>
      <c r="E73" s="65"/>
      <c r="G73" s="65"/>
      <c r="H73" s="65"/>
      <c r="I73" s="65"/>
      <c r="J73" s="65"/>
    </row>
    <row r="74" spans="2:10" x14ac:dyDescent="0.35">
      <c r="B74" s="65"/>
      <c r="C74" s="65"/>
      <c r="D74" s="65"/>
      <c r="E74" s="65"/>
      <c r="G74" s="65"/>
      <c r="H74" s="65"/>
      <c r="I74" s="65"/>
      <c r="J74" s="65"/>
    </row>
    <row r="75" spans="2:10" x14ac:dyDescent="0.35">
      <c r="B75" s="65"/>
      <c r="C75" s="65"/>
      <c r="D75" s="65"/>
      <c r="E75" s="65"/>
      <c r="G75" s="65"/>
      <c r="H75" s="65"/>
      <c r="I75" s="65"/>
      <c r="J75" s="65"/>
    </row>
    <row r="76" spans="2:10" x14ac:dyDescent="0.35">
      <c r="B76" s="65"/>
      <c r="C76" s="65"/>
      <c r="D76" s="65"/>
      <c r="E76" s="65"/>
      <c r="G76" s="65"/>
      <c r="H76" s="65"/>
      <c r="I76" s="65"/>
      <c r="J76" s="65"/>
    </row>
    <row r="77" spans="2:10" x14ac:dyDescent="0.35">
      <c r="B77" s="65"/>
      <c r="C77" s="65"/>
      <c r="D77" s="65"/>
      <c r="E77" s="65"/>
      <c r="G77" s="65"/>
      <c r="H77" s="65"/>
      <c r="I77" s="65"/>
      <c r="J77" s="65"/>
    </row>
    <row r="78" spans="2:10" x14ac:dyDescent="0.35">
      <c r="B78" s="65"/>
      <c r="C78" s="65"/>
      <c r="D78" s="65"/>
      <c r="E78" s="65"/>
      <c r="G78" s="65"/>
      <c r="H78" s="65"/>
      <c r="I78" s="65"/>
      <c r="J78" s="65"/>
    </row>
    <row r="79" spans="2:10" x14ac:dyDescent="0.35">
      <c r="B79" s="65"/>
      <c r="C79" s="65"/>
      <c r="D79" s="65"/>
      <c r="E79" s="65"/>
      <c r="G79" s="65"/>
      <c r="H79" s="65"/>
      <c r="I79" s="65"/>
      <c r="J79" s="65"/>
    </row>
    <row r="80" spans="2:10" x14ac:dyDescent="0.35">
      <c r="B80" s="65"/>
      <c r="C80" s="65"/>
      <c r="D80" s="65"/>
      <c r="E80" s="65"/>
      <c r="G80" s="65"/>
      <c r="H80" s="65"/>
      <c r="I80" s="65"/>
      <c r="J80" s="65"/>
    </row>
    <row r="81" spans="2:10" x14ac:dyDescent="0.35">
      <c r="B81" s="65"/>
      <c r="C81" s="65"/>
      <c r="D81" s="65"/>
      <c r="E81" s="65"/>
      <c r="G81" s="65"/>
      <c r="H81" s="65"/>
      <c r="I81" s="65"/>
      <c r="J81" s="65"/>
    </row>
    <row r="82" spans="2:10" x14ac:dyDescent="0.35">
      <c r="B82" s="65"/>
      <c r="C82" s="65"/>
      <c r="D82" s="65"/>
      <c r="E82" s="65"/>
      <c r="G82" s="65"/>
      <c r="H82" s="65"/>
      <c r="I82" s="65"/>
      <c r="J82" s="65"/>
    </row>
    <row r="83" spans="2:10" x14ac:dyDescent="0.35">
      <c r="B83" s="65"/>
      <c r="C83" s="65"/>
      <c r="D83" s="65"/>
      <c r="E83" s="65"/>
      <c r="G83" s="65"/>
      <c r="H83" s="65"/>
      <c r="I83" s="65"/>
      <c r="J83" s="65"/>
    </row>
    <row r="84" spans="2:10" x14ac:dyDescent="0.35">
      <c r="B84" s="65"/>
      <c r="C84" s="65"/>
      <c r="D84" s="65"/>
      <c r="E84" s="65"/>
      <c r="G84" s="65"/>
      <c r="H84" s="65"/>
      <c r="I84" s="65"/>
      <c r="J84" s="65"/>
    </row>
    <row r="85" spans="2:10" x14ac:dyDescent="0.35">
      <c r="B85" s="65"/>
      <c r="C85" s="65"/>
      <c r="D85" s="65"/>
      <c r="E85" s="65"/>
      <c r="G85" s="65"/>
      <c r="H85" s="65"/>
      <c r="I85" s="65"/>
      <c r="J85" s="65"/>
    </row>
    <row r="86" spans="2:10" x14ac:dyDescent="0.35">
      <c r="B86" s="65"/>
      <c r="C86" s="65"/>
      <c r="D86" s="65"/>
      <c r="E86" s="65"/>
      <c r="G86" s="65"/>
      <c r="H86" s="65"/>
      <c r="I86" s="65"/>
      <c r="J86" s="65"/>
    </row>
    <row r="87" spans="2:10" x14ac:dyDescent="0.35">
      <c r="B87" s="65"/>
      <c r="C87" s="65"/>
      <c r="D87" s="65"/>
      <c r="E87" s="65"/>
      <c r="G87" s="65"/>
      <c r="H87" s="65"/>
      <c r="I87" s="65"/>
      <c r="J87" s="65"/>
    </row>
  </sheetData>
  <mergeCells count="11">
    <mergeCell ref="V7:Z7"/>
    <mergeCell ref="F1:K1"/>
    <mergeCell ref="B7:F7"/>
    <mergeCell ref="G7:K7"/>
    <mergeCell ref="L7:P7"/>
    <mergeCell ref="Q7:U7"/>
    <mergeCell ref="A25:J25"/>
    <mergeCell ref="L25:M25"/>
    <mergeCell ref="B26:E26"/>
    <mergeCell ref="G26:J26"/>
    <mergeCell ref="M26:Q27"/>
  </mergeCells>
  <conditionalFormatting sqref="C3">
    <cfRule type="cellIs" dxfId="76" priority="93" operator="notEqual">
      <formula>MAX($E$9:$E$23)</formula>
    </cfRule>
  </conditionalFormatting>
  <conditionalFormatting sqref="H14">
    <cfRule type="cellIs" dxfId="75" priority="56" operator="equal">
      <formula>0</formula>
    </cfRule>
    <cfRule type="containsBlanks" dxfId="74" priority="55">
      <formula>LEN(TRIM(H14))=0</formula>
    </cfRule>
  </conditionalFormatting>
  <conditionalFormatting sqref="H14:H15">
    <cfRule type="cellIs" dxfId="73" priority="48" operator="equal">
      <formula>0</formula>
    </cfRule>
    <cfRule type="containsBlanks" dxfId="72" priority="47">
      <formula>LEN(TRIM(H14))=0</formula>
    </cfRule>
  </conditionalFormatting>
  <conditionalFormatting sqref="H15:H16">
    <cfRule type="cellIs" dxfId="71" priority="40" operator="equal">
      <formula>0</formula>
    </cfRule>
    <cfRule type="containsBlanks" dxfId="70" priority="39">
      <formula>LEN(TRIM(H15))=0</formula>
    </cfRule>
  </conditionalFormatting>
  <conditionalFormatting sqref="H16:H17">
    <cfRule type="cellIs" dxfId="69" priority="32" operator="equal">
      <formula>0</formula>
    </cfRule>
    <cfRule type="containsBlanks" dxfId="68" priority="31">
      <formula>LEN(TRIM(H16))=0</formula>
    </cfRule>
  </conditionalFormatting>
  <conditionalFormatting sqref="H17:H18">
    <cfRule type="cellIs" dxfId="67" priority="24" operator="equal">
      <formula>0</formula>
    </cfRule>
    <cfRule type="containsBlanks" dxfId="66" priority="23">
      <formula>LEN(TRIM(H17))=0</formula>
    </cfRule>
  </conditionalFormatting>
  <conditionalFormatting sqref="H18">
    <cfRule type="containsBlanks" dxfId="65" priority="21">
      <formula>LEN(TRIM(H18))=0</formula>
    </cfRule>
    <cfRule type="cellIs" dxfId="64" priority="22" operator="equal">
      <formula>0</formula>
    </cfRule>
  </conditionalFormatting>
  <conditionalFormatting sqref="M9">
    <cfRule type="cellIs" dxfId="63" priority="90" operator="equal">
      <formula>0</formula>
    </cfRule>
    <cfRule type="containsBlanks" dxfId="62" priority="91">
      <formula>LEN(TRIM(M9))=0</formula>
    </cfRule>
    <cfRule type="cellIs" dxfId="61" priority="92" operator="equal">
      <formula>0</formula>
    </cfRule>
    <cfRule type="containsBlanks" dxfId="60" priority="89">
      <formula>LEN(TRIM(M9))=0</formula>
    </cfRule>
  </conditionalFormatting>
  <conditionalFormatting sqref="M11">
    <cfRule type="containsBlanks" dxfId="59" priority="79">
      <formula>LEN(TRIM(M11))=0</formula>
    </cfRule>
    <cfRule type="cellIs" dxfId="58" priority="80" operator="equal">
      <formula>0</formula>
    </cfRule>
  </conditionalFormatting>
  <conditionalFormatting sqref="M11:M12">
    <cfRule type="cellIs" dxfId="57" priority="16" operator="equal">
      <formula>0</formula>
    </cfRule>
    <cfRule type="containsBlanks" dxfId="56" priority="15">
      <formula>LEN(TRIM(M11))=0</formula>
    </cfRule>
  </conditionalFormatting>
  <conditionalFormatting sqref="M12">
    <cfRule type="cellIs" dxfId="55" priority="6" operator="equal">
      <formula>0</formula>
    </cfRule>
    <cfRule type="containsBlanks" dxfId="54" priority="5">
      <formula>LEN(TRIM(M12))=0</formula>
    </cfRule>
    <cfRule type="containsBlanks" dxfId="53" priority="7">
      <formula>LEN(TRIM(M12))=0</formula>
    </cfRule>
    <cfRule type="cellIs" dxfId="52" priority="8" operator="equal">
      <formula>0</formula>
    </cfRule>
    <cfRule type="cellIs" dxfId="51" priority="12" operator="equal">
      <formula>0</formula>
    </cfRule>
    <cfRule type="containsBlanks" dxfId="50" priority="11">
      <formula>LEN(TRIM(M12))=0</formula>
    </cfRule>
  </conditionalFormatting>
  <conditionalFormatting sqref="M13">
    <cfRule type="cellIs" dxfId="49" priority="60" operator="equal">
      <formula>0</formula>
    </cfRule>
    <cfRule type="containsBlanks" dxfId="48" priority="59">
      <formula>LEN(TRIM(M13))=0</formula>
    </cfRule>
  </conditionalFormatting>
  <conditionalFormatting sqref="M13:M14">
    <cfRule type="containsBlanks" dxfId="47" priority="51">
      <formula>LEN(TRIM(M13))=0</formula>
    </cfRule>
    <cfRule type="cellIs" dxfId="46" priority="52" operator="equal">
      <formula>0</formula>
    </cfRule>
  </conditionalFormatting>
  <conditionalFormatting sqref="M14:M15">
    <cfRule type="containsBlanks" dxfId="45" priority="43">
      <formula>LEN(TRIM(M14))=0</formula>
    </cfRule>
    <cfRule type="cellIs" dxfId="44" priority="44" operator="equal">
      <formula>0</formula>
    </cfRule>
  </conditionalFormatting>
  <conditionalFormatting sqref="M15:M16">
    <cfRule type="containsBlanks" dxfId="43" priority="35">
      <formula>LEN(TRIM(M15))=0</formula>
    </cfRule>
    <cfRule type="cellIs" dxfId="42" priority="36" operator="equal">
      <formula>0</formula>
    </cfRule>
  </conditionalFormatting>
  <conditionalFormatting sqref="M16:M17">
    <cfRule type="containsBlanks" dxfId="41" priority="27">
      <formula>LEN(TRIM(M16))=0</formula>
    </cfRule>
    <cfRule type="cellIs" dxfId="40" priority="28" operator="equal">
      <formula>0</formula>
    </cfRule>
  </conditionalFormatting>
  <conditionalFormatting sqref="M17:M18">
    <cfRule type="containsBlanks" dxfId="39" priority="19">
      <formula>LEN(TRIM(M17))=0</formula>
    </cfRule>
    <cfRule type="cellIs" dxfId="38" priority="20" operator="equal">
      <formula>0</formula>
    </cfRule>
  </conditionalFormatting>
  <conditionalFormatting sqref="M18">
    <cfRule type="containsBlanks" dxfId="37" priority="17">
      <formula>LEN(TRIM(M18))=0</formula>
    </cfRule>
    <cfRule type="cellIs" dxfId="36" priority="18" operator="equal">
      <formula>0</formula>
    </cfRule>
  </conditionalFormatting>
  <conditionalFormatting sqref="R10">
    <cfRule type="cellIs" dxfId="35" priority="88" operator="equal">
      <formula>0</formula>
    </cfRule>
    <cfRule type="containsBlanks" dxfId="34" priority="87">
      <formula>LEN(TRIM(R10))=0</formula>
    </cfRule>
  </conditionalFormatting>
  <conditionalFormatting sqref="R10:R11">
    <cfRule type="containsBlanks" dxfId="33" priority="75">
      <formula>LEN(TRIM(R10))=0</formula>
    </cfRule>
    <cfRule type="cellIs" dxfId="32" priority="76" operator="equal">
      <formula>0</formula>
    </cfRule>
  </conditionalFormatting>
  <conditionalFormatting sqref="R11:R12">
    <cfRule type="containsBlanks" dxfId="31" priority="13">
      <formula>LEN(TRIM(R11))=0</formula>
    </cfRule>
    <cfRule type="cellIs" dxfId="30" priority="14" operator="equal">
      <formula>0</formula>
    </cfRule>
  </conditionalFormatting>
  <conditionalFormatting sqref="R12">
    <cfRule type="cellIs" dxfId="29" priority="4" operator="equal">
      <formula>0</formula>
    </cfRule>
    <cfRule type="cellIs" dxfId="28" priority="10" operator="equal">
      <formula>0</formula>
    </cfRule>
    <cfRule type="containsBlanks" dxfId="27" priority="9">
      <formula>LEN(TRIM(R12))=0</formula>
    </cfRule>
    <cfRule type="containsBlanks" dxfId="26" priority="1">
      <formula>LEN(TRIM(R12))=0</formula>
    </cfRule>
    <cfRule type="cellIs" dxfId="25" priority="2" operator="equal">
      <formula>0</formula>
    </cfRule>
    <cfRule type="containsBlanks" dxfId="24" priority="3">
      <formula>LEN(TRIM(R12))=0</formula>
    </cfRule>
  </conditionalFormatting>
  <conditionalFormatting sqref="R13">
    <cfRule type="containsBlanks" dxfId="23" priority="71">
      <formula>LEN(TRIM(R13))=0</formula>
    </cfRule>
    <cfRule type="cellIs" dxfId="22" priority="72" operator="equal">
      <formula>0</formula>
    </cfRule>
  </conditionalFormatting>
  <conditionalFormatting sqref="R13:R14">
    <cfRule type="containsBlanks" dxfId="21" priority="63">
      <formula>LEN(TRIM(R13))=0</formula>
    </cfRule>
    <cfRule type="cellIs" dxfId="20" priority="64" operator="equal">
      <formula>0</formula>
    </cfRule>
  </conditionalFormatting>
  <conditionalFormatting sqref="R14">
    <cfRule type="containsBlanks" dxfId="19" priority="61">
      <formula>LEN(TRIM(R14))=0</formula>
    </cfRule>
    <cfRule type="cellIs" dxfId="18" priority="62" operator="equal">
      <formula>0</formula>
    </cfRule>
  </conditionalFormatting>
  <conditionalFormatting sqref="W10">
    <cfRule type="containsBlanks" dxfId="17" priority="81">
      <formula>LEN(TRIM(W10))=0</formula>
    </cfRule>
    <cfRule type="cellIs" dxfId="16" priority="82" operator="equal">
      <formula>0</formula>
    </cfRule>
    <cfRule type="cellIs" dxfId="15" priority="84" operator="equal">
      <formula>0</formula>
    </cfRule>
    <cfRule type="containsBlanks" dxfId="14" priority="83">
      <formula>LEN(TRIM(W10))=0</formula>
    </cfRule>
  </conditionalFormatting>
  <conditionalFormatting sqref="W13:W14">
    <cfRule type="containsBlanks" dxfId="13" priority="67">
      <formula>LEN(TRIM(W13))=0</formula>
    </cfRule>
    <cfRule type="cellIs" dxfId="12" priority="68" operator="equal">
      <formula>0</formula>
    </cfRule>
  </conditionalFormatting>
  <dataValidations disablePrompts="1" count="1">
    <dataValidation type="list" allowBlank="1" showInputMessage="1" showErrorMessage="1" sqref="Z9:Z23 U9:U23 P9:P23 K9:K23 F9:F23" xr:uid="{42A08A2B-5132-4D92-9699-5B244D1D98C1}">
      <formula1>"green,red,yellow,blue,orange,cyan,black,white,magenta"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76"/>
  <sheetViews>
    <sheetView tabSelected="1" zoomScale="93" zoomScaleNormal="70" workbookViewId="0">
      <selection activeCell="E4" sqref="E4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210"/>
      <c r="B1" s="210"/>
      <c r="C1" s="210" t="s">
        <v>4</v>
      </c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</row>
    <row r="2" spans="1:30" ht="15" thickBot="1" x14ac:dyDescent="0.4">
      <c r="A2" s="210"/>
      <c r="B2" s="210"/>
      <c r="C2" s="128" t="str">
        <f>Neu!$B4</f>
        <v>A</v>
      </c>
      <c r="D2" s="99" t="str">
        <f>Neu!$B5</f>
        <v>B</v>
      </c>
      <c r="E2" s="99" t="str">
        <f>Neu!$B6</f>
        <v>C</v>
      </c>
      <c r="F2" s="99">
        <f>Neu!$B7</f>
        <v>0</v>
      </c>
      <c r="G2" s="99">
        <f>Neu!$B8</f>
        <v>0</v>
      </c>
      <c r="H2" s="99">
        <f>Neu!$B9</f>
        <v>0</v>
      </c>
      <c r="I2" s="99">
        <f>Neu!$B10</f>
        <v>0</v>
      </c>
      <c r="J2" s="99">
        <f>Neu!$B11</f>
        <v>0</v>
      </c>
      <c r="K2" s="99">
        <f>Neu!$B12</f>
        <v>0</v>
      </c>
      <c r="L2" s="99">
        <f>Neu!$B13</f>
        <v>0</v>
      </c>
      <c r="M2" s="99">
        <f>Neu!$B14</f>
        <v>0</v>
      </c>
      <c r="N2" s="99">
        <f>Neu!$B15</f>
        <v>0</v>
      </c>
      <c r="O2" s="99">
        <f>Neu!$B16</f>
        <v>0</v>
      </c>
      <c r="P2" s="99">
        <f>Neu!$B17</f>
        <v>0</v>
      </c>
      <c r="Q2" s="99">
        <f>Neu!$B18</f>
        <v>0</v>
      </c>
      <c r="R2" s="99">
        <f>Neu!$B19</f>
        <v>0</v>
      </c>
      <c r="S2" s="99">
        <f>Neu!$B20</f>
        <v>0</v>
      </c>
      <c r="T2" s="99">
        <f>Neu!$B21</f>
        <v>0</v>
      </c>
      <c r="U2" s="99">
        <f>Neu!$B22</f>
        <v>0</v>
      </c>
      <c r="V2" s="99">
        <f>Neu!$B23</f>
        <v>0</v>
      </c>
      <c r="W2" s="100">
        <f>Neu!$B24</f>
        <v>0</v>
      </c>
    </row>
    <row r="3" spans="1:30" ht="14.25" customHeight="1" x14ac:dyDescent="0.35">
      <c r="A3" s="211" t="s">
        <v>5</v>
      </c>
      <c r="B3" s="207" t="str">
        <f>Neu!B4</f>
        <v>A</v>
      </c>
      <c r="C3" s="113"/>
      <c r="D3" s="114">
        <v>0.5</v>
      </c>
      <c r="E3" s="114">
        <v>0.01</v>
      </c>
      <c r="F3" s="114"/>
      <c r="G3" s="114"/>
      <c r="H3" s="115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5"/>
      <c r="T3" s="114"/>
      <c r="U3" s="114"/>
      <c r="V3" s="114"/>
      <c r="W3" s="116"/>
      <c r="X3" s="137" t="s">
        <v>164</v>
      </c>
      <c r="Y3" s="1" t="s">
        <v>167</v>
      </c>
      <c r="Z3" s="67"/>
      <c r="AA3" s="67"/>
      <c r="AB3" s="67"/>
      <c r="AC3" s="67"/>
      <c r="AD3" s="67"/>
    </row>
    <row r="4" spans="1:30" ht="14.25" customHeight="1" x14ac:dyDescent="0.35">
      <c r="A4" s="211"/>
      <c r="B4" s="208"/>
      <c r="C4" s="117"/>
      <c r="D4" s="111"/>
      <c r="E4" s="111"/>
      <c r="F4" s="111"/>
      <c r="G4" s="111"/>
      <c r="H4" s="102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02"/>
      <c r="T4" s="111"/>
      <c r="U4" s="111"/>
      <c r="V4" s="111"/>
      <c r="W4" s="118"/>
      <c r="X4" s="137" t="s">
        <v>165</v>
      </c>
      <c r="Y4" s="139">
        <f>MAX($C$3:$W$44)-(ROW(Y4)-4)*0.5</f>
        <v>0.5</v>
      </c>
      <c r="Z4" s="67"/>
      <c r="AA4" s="67"/>
      <c r="AB4" s="67"/>
      <c r="AC4" s="67"/>
      <c r="AD4" s="67"/>
    </row>
    <row r="5" spans="1:30" ht="14.25" customHeight="1" x14ac:dyDescent="0.35">
      <c r="A5" s="211"/>
      <c r="B5" s="209" t="str">
        <f>Neu!B5</f>
        <v>B</v>
      </c>
      <c r="C5" s="119">
        <v>0.5</v>
      </c>
      <c r="D5" s="108"/>
      <c r="E5" s="110"/>
      <c r="F5" s="110"/>
      <c r="G5" s="110"/>
      <c r="H5" s="103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03"/>
      <c r="T5" s="110"/>
      <c r="U5" s="110"/>
      <c r="V5" s="110"/>
      <c r="W5" s="120"/>
      <c r="X5" s="67"/>
      <c r="Y5" s="139">
        <f t="shared" ref="Y5:Y26" si="0">MAX($C$3:$W$44)-(ROW(Y5)-4)*0.5</f>
        <v>0</v>
      </c>
      <c r="Z5" s="67"/>
      <c r="AA5" s="67"/>
      <c r="AB5" s="67"/>
      <c r="AC5" s="67"/>
      <c r="AD5" s="67"/>
    </row>
    <row r="6" spans="1:30" ht="14.25" customHeight="1" x14ac:dyDescent="0.35">
      <c r="A6" s="211"/>
      <c r="B6" s="208"/>
      <c r="C6" s="121"/>
      <c r="D6" s="112"/>
      <c r="E6" s="96"/>
      <c r="F6" s="96"/>
      <c r="G6" s="96"/>
      <c r="H6" s="97"/>
      <c r="I6" s="96"/>
      <c r="J6" s="96"/>
      <c r="K6" s="96"/>
      <c r="L6" s="96"/>
      <c r="M6" s="96"/>
      <c r="N6" s="96"/>
      <c r="O6" s="96"/>
      <c r="P6" s="96"/>
      <c r="Q6" s="96"/>
      <c r="R6" s="96"/>
      <c r="S6" s="97"/>
      <c r="T6" s="96"/>
      <c r="U6" s="96"/>
      <c r="V6" s="96"/>
      <c r="W6" s="98"/>
      <c r="X6" s="67"/>
      <c r="Y6" s="139">
        <f t="shared" si="0"/>
        <v>-0.5</v>
      </c>
      <c r="Z6" s="67"/>
      <c r="AA6" s="67"/>
      <c r="AB6" s="67"/>
      <c r="AC6" s="67"/>
      <c r="AD6" s="67"/>
    </row>
    <row r="7" spans="1:30" ht="14.25" customHeight="1" x14ac:dyDescent="0.35">
      <c r="A7" s="211"/>
      <c r="B7" s="209" t="str">
        <f>Neu!B6</f>
        <v>C</v>
      </c>
      <c r="C7" s="119">
        <v>0.05</v>
      </c>
      <c r="D7" s="110"/>
      <c r="E7" s="108"/>
      <c r="F7" s="110"/>
      <c r="G7" s="110"/>
      <c r="H7" s="103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03"/>
      <c r="T7" s="110"/>
      <c r="U7" s="110"/>
      <c r="V7" s="110"/>
      <c r="W7" s="120"/>
      <c r="X7" s="67"/>
      <c r="Y7" s="139">
        <f t="shared" si="0"/>
        <v>-1</v>
      </c>
      <c r="Z7" s="67"/>
      <c r="AA7" s="67"/>
      <c r="AB7" s="67"/>
      <c r="AC7" s="67"/>
      <c r="AD7" s="67"/>
    </row>
    <row r="8" spans="1:30" ht="14.25" customHeight="1" x14ac:dyDescent="0.35">
      <c r="A8" s="211"/>
      <c r="B8" s="208"/>
      <c r="C8" s="121"/>
      <c r="D8" s="96"/>
      <c r="E8" s="112"/>
      <c r="F8" s="96"/>
      <c r="G8" s="96"/>
      <c r="H8" s="97"/>
      <c r="I8" s="96"/>
      <c r="J8" s="96"/>
      <c r="K8" s="96"/>
      <c r="L8" s="96"/>
      <c r="M8" s="96"/>
      <c r="N8" s="96"/>
      <c r="O8" s="96"/>
      <c r="P8" s="96"/>
      <c r="Q8" s="96"/>
      <c r="R8" s="96"/>
      <c r="S8" s="97"/>
      <c r="T8" s="96"/>
      <c r="U8" s="96"/>
      <c r="V8" s="96"/>
      <c r="W8" s="98"/>
      <c r="X8" s="67"/>
      <c r="Y8" s="139">
        <f t="shared" si="0"/>
        <v>-1.5</v>
      </c>
      <c r="Z8" s="67"/>
      <c r="AA8" s="67"/>
      <c r="AB8" s="67"/>
      <c r="AC8" s="67"/>
      <c r="AD8" s="67"/>
    </row>
    <row r="9" spans="1:30" ht="14.25" customHeight="1" x14ac:dyDescent="0.35">
      <c r="A9" s="211"/>
      <c r="B9" s="209">
        <f>Neu!B7</f>
        <v>0</v>
      </c>
      <c r="C9" s="119"/>
      <c r="D9" s="110"/>
      <c r="E9" s="110"/>
      <c r="F9" s="108"/>
      <c r="G9" s="110"/>
      <c r="H9" s="103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03"/>
      <c r="T9" s="110"/>
      <c r="U9" s="110"/>
      <c r="V9" s="110"/>
      <c r="W9" s="120"/>
      <c r="X9" s="67"/>
      <c r="Y9" s="139">
        <f t="shared" si="0"/>
        <v>-2</v>
      </c>
      <c r="Z9" s="67"/>
      <c r="AA9" s="67"/>
      <c r="AB9" s="67"/>
      <c r="AC9" s="67"/>
      <c r="AD9" s="67"/>
    </row>
    <row r="10" spans="1:30" ht="14.25" customHeight="1" x14ac:dyDescent="0.35">
      <c r="A10" s="211"/>
      <c r="B10" s="208"/>
      <c r="C10" s="121"/>
      <c r="D10" s="96"/>
      <c r="E10" s="96"/>
      <c r="F10" s="112"/>
      <c r="G10" s="96"/>
      <c r="H10" s="97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7"/>
      <c r="T10" s="96"/>
      <c r="U10" s="96"/>
      <c r="V10" s="96"/>
      <c r="W10" s="98"/>
      <c r="X10" s="67"/>
      <c r="Y10" s="139">
        <f t="shared" si="0"/>
        <v>-2.5</v>
      </c>
      <c r="Z10" s="67"/>
      <c r="AA10" s="67"/>
      <c r="AB10" s="67"/>
      <c r="AC10" s="67"/>
      <c r="AD10" s="67"/>
    </row>
    <row r="11" spans="1:30" ht="14.25" customHeight="1" x14ac:dyDescent="0.35">
      <c r="A11" s="211"/>
      <c r="B11" s="209">
        <f>Neu!B8</f>
        <v>0</v>
      </c>
      <c r="C11" s="119"/>
      <c r="D11" s="110"/>
      <c r="E11" s="110"/>
      <c r="F11" s="110"/>
      <c r="G11" s="108"/>
      <c r="H11" s="103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03"/>
      <c r="T11" s="110"/>
      <c r="U11" s="110"/>
      <c r="V11" s="110"/>
      <c r="W11" s="120"/>
      <c r="X11" s="67"/>
      <c r="Y11" s="139">
        <f t="shared" si="0"/>
        <v>-3</v>
      </c>
      <c r="Z11" s="67"/>
      <c r="AA11" s="67"/>
      <c r="AB11" s="67"/>
      <c r="AC11" s="67"/>
      <c r="AD11" s="67"/>
    </row>
    <row r="12" spans="1:30" ht="14.25" customHeight="1" x14ac:dyDescent="0.35">
      <c r="A12" s="211"/>
      <c r="B12" s="208"/>
      <c r="C12" s="121"/>
      <c r="D12" s="96"/>
      <c r="E12" s="96"/>
      <c r="F12" s="96"/>
      <c r="G12" s="112"/>
      <c r="H12" s="97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7"/>
      <c r="T12" s="96"/>
      <c r="U12" s="96"/>
      <c r="V12" s="96"/>
      <c r="W12" s="98"/>
      <c r="X12" s="67"/>
      <c r="Y12" s="139">
        <f t="shared" si="0"/>
        <v>-3.5</v>
      </c>
      <c r="Z12" s="67"/>
      <c r="AA12" s="67"/>
      <c r="AB12" s="67"/>
      <c r="AC12" s="67"/>
      <c r="AD12" s="67"/>
    </row>
    <row r="13" spans="1:30" ht="14.25" customHeight="1" x14ac:dyDescent="0.35">
      <c r="A13" s="211"/>
      <c r="B13" s="209">
        <f>Neu!B9</f>
        <v>0</v>
      </c>
      <c r="C13" s="119"/>
      <c r="D13" s="110"/>
      <c r="E13" s="110"/>
      <c r="F13" s="110"/>
      <c r="G13" s="110"/>
      <c r="H13" s="101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03"/>
      <c r="T13" s="110"/>
      <c r="U13" s="110"/>
      <c r="V13" s="110"/>
      <c r="W13" s="120"/>
      <c r="X13" s="67"/>
      <c r="Y13" s="139">
        <f t="shared" si="0"/>
        <v>-4</v>
      </c>
      <c r="Z13" s="67"/>
      <c r="AA13" s="67"/>
      <c r="AB13" s="67"/>
      <c r="AC13" s="67"/>
      <c r="AD13" s="67"/>
    </row>
    <row r="14" spans="1:30" ht="14.25" customHeight="1" x14ac:dyDescent="0.35">
      <c r="A14" s="211"/>
      <c r="B14" s="208"/>
      <c r="C14" s="122"/>
      <c r="D14" s="111"/>
      <c r="E14" s="111"/>
      <c r="F14" s="111"/>
      <c r="G14" s="111"/>
      <c r="H14" s="104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02"/>
      <c r="T14" s="111"/>
      <c r="U14" s="111"/>
      <c r="V14" s="111"/>
      <c r="W14" s="118"/>
      <c r="X14" s="67"/>
      <c r="Y14" s="139">
        <f t="shared" si="0"/>
        <v>-4.5</v>
      </c>
      <c r="Z14" s="67"/>
      <c r="AA14" s="67"/>
      <c r="AB14" s="67"/>
      <c r="AC14" s="67"/>
      <c r="AD14" s="67"/>
    </row>
    <row r="15" spans="1:30" ht="14.25" customHeight="1" x14ac:dyDescent="0.35">
      <c r="A15" s="211"/>
      <c r="B15" s="209">
        <f>Neu!B10</f>
        <v>0</v>
      </c>
      <c r="C15" s="119"/>
      <c r="D15" s="110"/>
      <c r="E15" s="110"/>
      <c r="F15" s="110"/>
      <c r="G15" s="110"/>
      <c r="H15" s="103"/>
      <c r="I15" s="108"/>
      <c r="J15" s="110"/>
      <c r="K15" s="110"/>
      <c r="L15" s="110"/>
      <c r="M15" s="110"/>
      <c r="N15" s="110"/>
      <c r="O15" s="110"/>
      <c r="P15" s="110"/>
      <c r="Q15" s="110"/>
      <c r="R15" s="110"/>
      <c r="S15" s="103"/>
      <c r="T15" s="110"/>
      <c r="U15" s="110"/>
      <c r="V15" s="110"/>
      <c r="W15" s="120"/>
      <c r="X15" s="67"/>
      <c r="Y15" s="139">
        <f t="shared" si="0"/>
        <v>-5</v>
      </c>
      <c r="Z15" s="67"/>
      <c r="AA15" s="67"/>
      <c r="AB15" s="67"/>
      <c r="AC15" s="67"/>
      <c r="AD15" s="67"/>
    </row>
    <row r="16" spans="1:30" ht="14.25" customHeight="1" x14ac:dyDescent="0.35">
      <c r="A16" s="211"/>
      <c r="B16" s="208"/>
      <c r="C16" s="121"/>
      <c r="D16" s="96"/>
      <c r="E16" s="96"/>
      <c r="F16" s="96"/>
      <c r="G16" s="96"/>
      <c r="H16" s="97"/>
      <c r="I16" s="112"/>
      <c r="J16" s="96"/>
      <c r="K16" s="96"/>
      <c r="L16" s="96"/>
      <c r="M16" s="96"/>
      <c r="N16" s="96"/>
      <c r="O16" s="96"/>
      <c r="P16" s="96"/>
      <c r="Q16" s="96"/>
      <c r="R16" s="96"/>
      <c r="S16" s="97"/>
      <c r="T16" s="96"/>
      <c r="U16" s="96"/>
      <c r="V16" s="96"/>
      <c r="W16" s="98"/>
      <c r="X16" s="67"/>
      <c r="Y16" s="139">
        <f t="shared" si="0"/>
        <v>-5.5</v>
      </c>
      <c r="Z16" s="67"/>
      <c r="AA16" s="67"/>
      <c r="AB16" s="67"/>
      <c r="AC16" s="67"/>
      <c r="AD16" s="67"/>
    </row>
    <row r="17" spans="1:30" ht="14.25" customHeight="1" x14ac:dyDescent="0.35">
      <c r="A17" s="211"/>
      <c r="B17" s="209">
        <f>Neu!B11</f>
        <v>0</v>
      </c>
      <c r="C17" s="119"/>
      <c r="D17" s="110"/>
      <c r="E17" s="110"/>
      <c r="F17" s="110"/>
      <c r="G17" s="110"/>
      <c r="H17" s="103"/>
      <c r="I17" s="110"/>
      <c r="J17" s="108"/>
      <c r="K17" s="110"/>
      <c r="L17" s="110"/>
      <c r="M17" s="110"/>
      <c r="N17" s="110"/>
      <c r="O17" s="110"/>
      <c r="P17" s="110"/>
      <c r="Q17" s="110"/>
      <c r="R17" s="110"/>
      <c r="S17" s="103"/>
      <c r="T17" s="110"/>
      <c r="U17" s="110"/>
      <c r="V17" s="110"/>
      <c r="W17" s="120"/>
      <c r="X17" s="67"/>
      <c r="Y17" s="139">
        <f t="shared" si="0"/>
        <v>-6</v>
      </c>
      <c r="Z17" s="67"/>
      <c r="AA17" s="67"/>
      <c r="AB17" s="67"/>
      <c r="AC17" s="67"/>
      <c r="AD17" s="67"/>
    </row>
    <row r="18" spans="1:30" ht="14.25" customHeight="1" x14ac:dyDescent="0.35">
      <c r="A18" s="211"/>
      <c r="B18" s="208"/>
      <c r="C18" s="121"/>
      <c r="D18" s="96"/>
      <c r="E18" s="96"/>
      <c r="F18" s="96"/>
      <c r="G18" s="96"/>
      <c r="H18" s="97"/>
      <c r="I18" s="96"/>
      <c r="J18" s="112"/>
      <c r="K18" s="96"/>
      <c r="L18" s="96"/>
      <c r="M18" s="96"/>
      <c r="N18" s="96"/>
      <c r="O18" s="96"/>
      <c r="P18" s="96"/>
      <c r="Q18" s="96"/>
      <c r="R18" s="96"/>
      <c r="S18" s="97"/>
      <c r="T18" s="96"/>
      <c r="U18" s="96"/>
      <c r="V18" s="96"/>
      <c r="W18" s="98"/>
      <c r="X18" s="67"/>
      <c r="Y18" s="139">
        <f t="shared" si="0"/>
        <v>-6.5</v>
      </c>
      <c r="Z18" s="67"/>
      <c r="AA18" s="67"/>
      <c r="AB18" s="67"/>
      <c r="AC18" s="67"/>
      <c r="AD18" s="67"/>
    </row>
    <row r="19" spans="1:30" ht="14.25" customHeight="1" x14ac:dyDescent="0.35">
      <c r="A19" s="211"/>
      <c r="B19" s="209">
        <f>Neu!B12</f>
        <v>0</v>
      </c>
      <c r="C19" s="119"/>
      <c r="D19" s="110"/>
      <c r="E19" s="110"/>
      <c r="F19" s="110"/>
      <c r="G19" s="110"/>
      <c r="H19" s="103"/>
      <c r="I19" s="110"/>
      <c r="J19" s="110"/>
      <c r="K19" s="108"/>
      <c r="L19" s="110"/>
      <c r="M19" s="110"/>
      <c r="N19" s="110"/>
      <c r="O19" s="110"/>
      <c r="P19" s="110"/>
      <c r="Q19" s="110"/>
      <c r="R19" s="110"/>
      <c r="S19" s="103"/>
      <c r="T19" s="110"/>
      <c r="U19" s="110"/>
      <c r="V19" s="110"/>
      <c r="W19" s="120"/>
      <c r="X19" s="67"/>
      <c r="Y19" s="139">
        <f t="shared" si="0"/>
        <v>-7</v>
      </c>
      <c r="Z19" s="67"/>
      <c r="AA19" s="67"/>
      <c r="AB19" s="67"/>
      <c r="AC19" s="67"/>
      <c r="AD19" s="67"/>
    </row>
    <row r="20" spans="1:30" ht="14.25" customHeight="1" x14ac:dyDescent="0.35">
      <c r="A20" s="211"/>
      <c r="B20" s="208"/>
      <c r="C20" s="121"/>
      <c r="D20" s="96"/>
      <c r="E20" s="96"/>
      <c r="F20" s="96"/>
      <c r="G20" s="96"/>
      <c r="H20" s="97"/>
      <c r="I20" s="96"/>
      <c r="J20" s="96"/>
      <c r="K20" s="112"/>
      <c r="L20" s="96"/>
      <c r="M20" s="96"/>
      <c r="N20" s="96"/>
      <c r="O20" s="96"/>
      <c r="P20" s="96"/>
      <c r="Q20" s="96"/>
      <c r="R20" s="96"/>
      <c r="S20" s="97"/>
      <c r="T20" s="96"/>
      <c r="U20" s="96"/>
      <c r="V20" s="96"/>
      <c r="W20" s="98"/>
      <c r="X20" s="67"/>
      <c r="Y20" s="139">
        <f t="shared" si="0"/>
        <v>-7.5</v>
      </c>
      <c r="Z20" s="67"/>
      <c r="AA20" s="67"/>
      <c r="AB20" s="67"/>
      <c r="AC20" s="67"/>
      <c r="AD20" s="67"/>
    </row>
    <row r="21" spans="1:30" ht="14.25" customHeight="1" x14ac:dyDescent="0.35">
      <c r="A21" s="211"/>
      <c r="B21" s="209">
        <f>Neu!B13</f>
        <v>0</v>
      </c>
      <c r="C21" s="119"/>
      <c r="D21" s="110"/>
      <c r="E21" s="110"/>
      <c r="F21" s="110"/>
      <c r="G21" s="110"/>
      <c r="H21" s="103"/>
      <c r="I21" s="110"/>
      <c r="J21" s="110"/>
      <c r="K21" s="110"/>
      <c r="L21" s="108"/>
      <c r="M21" s="110"/>
      <c r="N21" s="110"/>
      <c r="O21" s="110"/>
      <c r="P21" s="110"/>
      <c r="Q21" s="110"/>
      <c r="R21" s="110"/>
      <c r="S21" s="103"/>
      <c r="T21" s="110"/>
      <c r="U21" s="110"/>
      <c r="V21" s="110"/>
      <c r="W21" s="120"/>
      <c r="X21" s="67"/>
      <c r="Y21" s="139">
        <f t="shared" si="0"/>
        <v>-8</v>
      </c>
      <c r="Z21" s="67"/>
      <c r="AA21" s="67"/>
      <c r="AB21" s="67"/>
      <c r="AC21" s="67"/>
      <c r="AD21" s="67"/>
    </row>
    <row r="22" spans="1:30" ht="14.25" customHeight="1" x14ac:dyDescent="0.35">
      <c r="A22" s="211"/>
      <c r="B22" s="208"/>
      <c r="C22" s="121"/>
      <c r="D22" s="96"/>
      <c r="E22" s="96"/>
      <c r="F22" s="96"/>
      <c r="G22" s="96"/>
      <c r="H22" s="97"/>
      <c r="I22" s="96"/>
      <c r="J22" s="96"/>
      <c r="K22" s="96"/>
      <c r="L22" s="112"/>
      <c r="M22" s="96"/>
      <c r="N22" s="96"/>
      <c r="O22" s="96"/>
      <c r="P22" s="96"/>
      <c r="Q22" s="96"/>
      <c r="R22" s="96"/>
      <c r="S22" s="97"/>
      <c r="T22" s="96"/>
      <c r="U22" s="96"/>
      <c r="V22" s="96"/>
      <c r="W22" s="98"/>
      <c r="X22" s="67"/>
      <c r="Y22" s="139">
        <f t="shared" si="0"/>
        <v>-8.5</v>
      </c>
      <c r="Z22" s="67"/>
      <c r="AA22" s="67"/>
      <c r="AB22" s="67"/>
      <c r="AC22" s="67"/>
      <c r="AD22" s="67"/>
    </row>
    <row r="23" spans="1:30" ht="14.25" customHeight="1" x14ac:dyDescent="0.35">
      <c r="A23" s="211"/>
      <c r="B23" s="209">
        <f>Neu!B14</f>
        <v>0</v>
      </c>
      <c r="C23" s="119"/>
      <c r="D23" s="110"/>
      <c r="E23" s="110"/>
      <c r="F23" s="110"/>
      <c r="G23" s="110"/>
      <c r="H23" s="103"/>
      <c r="I23" s="110"/>
      <c r="J23" s="110"/>
      <c r="K23" s="110"/>
      <c r="L23" s="110"/>
      <c r="M23" s="108"/>
      <c r="N23" s="110"/>
      <c r="O23" s="110"/>
      <c r="P23" s="110"/>
      <c r="Q23" s="110"/>
      <c r="R23" s="110"/>
      <c r="S23" s="103"/>
      <c r="T23" s="110"/>
      <c r="U23" s="110"/>
      <c r="V23" s="110"/>
      <c r="W23" s="120"/>
      <c r="X23" s="67"/>
      <c r="Y23" s="139">
        <f t="shared" si="0"/>
        <v>-9</v>
      </c>
      <c r="Z23" s="67"/>
      <c r="AA23" s="67"/>
      <c r="AB23" s="67"/>
      <c r="AC23" s="67"/>
      <c r="AD23" s="67"/>
    </row>
    <row r="24" spans="1:30" ht="14.25" customHeight="1" x14ac:dyDescent="0.35">
      <c r="A24" s="211"/>
      <c r="B24" s="208"/>
      <c r="C24" s="122"/>
      <c r="D24" s="111"/>
      <c r="E24" s="111"/>
      <c r="F24" s="111"/>
      <c r="G24" s="111"/>
      <c r="H24" s="102"/>
      <c r="I24" s="111"/>
      <c r="J24" s="111"/>
      <c r="K24" s="111"/>
      <c r="L24" s="111"/>
      <c r="M24" s="109"/>
      <c r="N24" s="111"/>
      <c r="O24" s="111"/>
      <c r="P24" s="111"/>
      <c r="Q24" s="111"/>
      <c r="R24" s="111"/>
      <c r="S24" s="102"/>
      <c r="T24" s="111"/>
      <c r="U24" s="111"/>
      <c r="V24" s="111"/>
      <c r="W24" s="118"/>
      <c r="X24" s="67"/>
      <c r="Y24" s="139">
        <f t="shared" si="0"/>
        <v>-9.5</v>
      </c>
      <c r="Z24" s="67"/>
      <c r="AA24" s="67"/>
      <c r="AB24" s="67"/>
      <c r="AC24" s="67"/>
      <c r="AD24" s="67"/>
    </row>
    <row r="25" spans="1:30" ht="14.25" customHeight="1" x14ac:dyDescent="0.35">
      <c r="A25" s="211"/>
      <c r="B25" s="209">
        <f>Neu!B15</f>
        <v>0</v>
      </c>
      <c r="C25" s="119"/>
      <c r="D25" s="110"/>
      <c r="E25" s="110"/>
      <c r="F25" s="110"/>
      <c r="G25" s="110"/>
      <c r="H25" s="103"/>
      <c r="I25" s="110"/>
      <c r="J25" s="110"/>
      <c r="K25" s="110"/>
      <c r="L25" s="110"/>
      <c r="M25" s="110"/>
      <c r="N25" s="108"/>
      <c r="O25" s="110"/>
      <c r="P25" s="110"/>
      <c r="Q25" s="110"/>
      <c r="R25" s="110"/>
      <c r="S25" s="103"/>
      <c r="T25" s="110"/>
      <c r="U25" s="110"/>
      <c r="V25" s="110"/>
      <c r="W25" s="120"/>
      <c r="X25" s="67"/>
      <c r="Y25" s="139">
        <f t="shared" si="0"/>
        <v>-10</v>
      </c>
      <c r="Z25" s="67"/>
      <c r="AA25" s="67"/>
      <c r="AB25" s="67"/>
      <c r="AC25" s="67"/>
      <c r="AD25" s="67"/>
    </row>
    <row r="26" spans="1:30" ht="14.25" customHeight="1" x14ac:dyDescent="0.35">
      <c r="A26" s="211"/>
      <c r="B26" s="208"/>
      <c r="C26" s="121"/>
      <c r="D26" s="96"/>
      <c r="E26" s="96"/>
      <c r="F26" s="96"/>
      <c r="G26" s="96"/>
      <c r="H26" s="97"/>
      <c r="I26" s="96"/>
      <c r="J26" s="96"/>
      <c r="K26" s="96"/>
      <c r="L26" s="96"/>
      <c r="M26" s="96"/>
      <c r="N26" s="112"/>
      <c r="O26" s="96"/>
      <c r="P26" s="96"/>
      <c r="Q26" s="96"/>
      <c r="R26" s="96"/>
      <c r="S26" s="97"/>
      <c r="T26" s="96"/>
      <c r="U26" s="96"/>
      <c r="V26" s="96"/>
      <c r="W26" s="98"/>
      <c r="X26" s="67"/>
      <c r="Y26" s="139">
        <f t="shared" si="0"/>
        <v>-10.5</v>
      </c>
      <c r="Z26" s="67"/>
      <c r="AA26" s="67"/>
      <c r="AB26" s="67"/>
      <c r="AC26" s="67"/>
      <c r="AD26" s="67"/>
    </row>
    <row r="27" spans="1:30" ht="14.25" customHeight="1" x14ac:dyDescent="0.35">
      <c r="A27" s="211"/>
      <c r="B27" s="209">
        <f>Neu!B16</f>
        <v>0</v>
      </c>
      <c r="C27" s="119"/>
      <c r="D27" s="110"/>
      <c r="E27" s="110"/>
      <c r="F27" s="110"/>
      <c r="G27" s="110"/>
      <c r="H27" s="103"/>
      <c r="I27" s="110"/>
      <c r="J27" s="110"/>
      <c r="K27" s="110"/>
      <c r="L27" s="110"/>
      <c r="M27" s="110"/>
      <c r="N27" s="110"/>
      <c r="O27" s="108"/>
      <c r="P27" s="110"/>
      <c r="Q27" s="110"/>
      <c r="R27" s="110"/>
      <c r="S27" s="103"/>
      <c r="T27" s="110"/>
      <c r="U27" s="110"/>
      <c r="V27" s="110"/>
      <c r="W27" s="120"/>
      <c r="X27" s="67"/>
      <c r="Y27" s="67"/>
      <c r="Z27" s="67"/>
      <c r="AA27" s="67"/>
      <c r="AB27" s="67"/>
      <c r="AC27" s="67"/>
      <c r="AD27" s="67"/>
    </row>
    <row r="28" spans="1:30" ht="14.25" customHeight="1" x14ac:dyDescent="0.35">
      <c r="A28" s="211"/>
      <c r="B28" s="208"/>
      <c r="C28" s="121"/>
      <c r="D28" s="96"/>
      <c r="E28" s="96"/>
      <c r="F28" s="96"/>
      <c r="G28" s="96"/>
      <c r="H28" s="97"/>
      <c r="I28" s="96"/>
      <c r="J28" s="96"/>
      <c r="K28" s="96"/>
      <c r="L28" s="96"/>
      <c r="M28" s="96"/>
      <c r="N28" s="96"/>
      <c r="O28" s="112"/>
      <c r="P28" s="96"/>
      <c r="Q28" s="96"/>
      <c r="R28" s="96"/>
      <c r="S28" s="97"/>
      <c r="T28" s="96"/>
      <c r="U28" s="96"/>
      <c r="V28" s="96"/>
      <c r="W28" s="98"/>
      <c r="X28" s="67"/>
      <c r="Y28" s="67"/>
      <c r="Z28" s="67"/>
      <c r="AA28" s="67"/>
      <c r="AB28" s="67"/>
      <c r="AC28" s="67"/>
      <c r="AD28" s="67"/>
    </row>
    <row r="29" spans="1:30" ht="14.25" customHeight="1" x14ac:dyDescent="0.35">
      <c r="A29" s="211"/>
      <c r="B29" s="209">
        <f>Neu!B17</f>
        <v>0</v>
      </c>
      <c r="C29" s="119"/>
      <c r="D29" s="110"/>
      <c r="E29" s="110"/>
      <c r="F29" s="110"/>
      <c r="G29" s="110"/>
      <c r="H29" s="103"/>
      <c r="I29" s="110"/>
      <c r="J29" s="110"/>
      <c r="K29" s="110"/>
      <c r="L29" s="110"/>
      <c r="M29" s="110"/>
      <c r="N29" s="110"/>
      <c r="O29" s="110"/>
      <c r="P29" s="108"/>
      <c r="Q29" s="110"/>
      <c r="R29" s="110"/>
      <c r="S29" s="103"/>
      <c r="T29" s="110"/>
      <c r="U29" s="110"/>
      <c r="V29" s="110"/>
      <c r="W29" s="120"/>
      <c r="X29" s="67"/>
      <c r="Y29" s="67"/>
      <c r="Z29" s="67"/>
      <c r="AA29" s="67"/>
      <c r="AB29" s="67"/>
      <c r="AC29" s="67"/>
      <c r="AD29" s="67"/>
    </row>
    <row r="30" spans="1:30" ht="14.25" customHeight="1" x14ac:dyDescent="0.35">
      <c r="A30" s="211"/>
      <c r="B30" s="208"/>
      <c r="C30" s="122"/>
      <c r="D30" s="111"/>
      <c r="E30" s="111"/>
      <c r="F30" s="111"/>
      <c r="G30" s="111"/>
      <c r="H30" s="102"/>
      <c r="I30" s="111"/>
      <c r="J30" s="111"/>
      <c r="K30" s="111"/>
      <c r="L30" s="111"/>
      <c r="M30" s="111"/>
      <c r="N30" s="111"/>
      <c r="O30" s="111"/>
      <c r="P30" s="109"/>
      <c r="Q30" s="111"/>
      <c r="R30" s="111"/>
      <c r="S30" s="102"/>
      <c r="T30" s="111"/>
      <c r="U30" s="111"/>
      <c r="V30" s="111"/>
      <c r="W30" s="118"/>
      <c r="X30" s="67"/>
      <c r="Y30" s="67"/>
      <c r="Z30" s="67"/>
      <c r="AA30" s="67"/>
      <c r="AB30" s="67"/>
      <c r="AC30" s="67"/>
      <c r="AD30" s="67"/>
    </row>
    <row r="31" spans="1:30" ht="14.25" customHeight="1" x14ac:dyDescent="0.35">
      <c r="A31" s="211"/>
      <c r="B31" s="209">
        <f>Neu!B18</f>
        <v>0</v>
      </c>
      <c r="C31" s="119"/>
      <c r="D31" s="110"/>
      <c r="E31" s="110"/>
      <c r="F31" s="110"/>
      <c r="G31" s="110"/>
      <c r="H31" s="103"/>
      <c r="I31" s="110"/>
      <c r="J31" s="110"/>
      <c r="K31" s="110"/>
      <c r="L31" s="110"/>
      <c r="M31" s="110"/>
      <c r="N31" s="110"/>
      <c r="O31" s="110"/>
      <c r="P31" s="110"/>
      <c r="Q31" s="108"/>
      <c r="R31" s="110"/>
      <c r="S31" s="103"/>
      <c r="T31" s="110"/>
      <c r="U31" s="110"/>
      <c r="V31" s="110"/>
      <c r="W31" s="120"/>
      <c r="X31" s="67"/>
      <c r="Y31" s="67"/>
      <c r="Z31" s="67"/>
      <c r="AA31" s="67"/>
      <c r="AB31" s="67"/>
      <c r="AC31" s="67"/>
      <c r="AD31" s="67"/>
    </row>
    <row r="32" spans="1:30" ht="14.25" customHeight="1" x14ac:dyDescent="0.35">
      <c r="A32" s="211"/>
      <c r="B32" s="208"/>
      <c r="C32" s="121"/>
      <c r="D32" s="96"/>
      <c r="E32" s="96"/>
      <c r="F32" s="96"/>
      <c r="G32" s="96"/>
      <c r="H32" s="97"/>
      <c r="I32" s="96"/>
      <c r="J32" s="96"/>
      <c r="K32" s="96"/>
      <c r="L32" s="96"/>
      <c r="M32" s="96"/>
      <c r="N32" s="96"/>
      <c r="O32" s="96"/>
      <c r="P32" s="96"/>
      <c r="Q32" s="112"/>
      <c r="R32" s="96"/>
      <c r="S32" s="97"/>
      <c r="T32" s="96"/>
      <c r="U32" s="96"/>
      <c r="V32" s="96"/>
      <c r="W32" s="98"/>
      <c r="X32" s="67"/>
      <c r="Y32" s="67"/>
      <c r="Z32" s="67"/>
      <c r="AA32" s="67"/>
      <c r="AB32" s="67"/>
      <c r="AC32" s="67"/>
      <c r="AD32" s="67"/>
    </row>
    <row r="33" spans="1:30" ht="14.25" customHeight="1" x14ac:dyDescent="0.35">
      <c r="A33" s="211"/>
      <c r="B33" s="209">
        <f>Neu!B19</f>
        <v>0</v>
      </c>
      <c r="C33" s="119"/>
      <c r="D33" s="110"/>
      <c r="E33" s="110"/>
      <c r="F33" s="110"/>
      <c r="G33" s="110"/>
      <c r="H33" s="103"/>
      <c r="I33" s="110"/>
      <c r="J33" s="110"/>
      <c r="K33" s="110"/>
      <c r="L33" s="110"/>
      <c r="M33" s="110"/>
      <c r="N33" s="110"/>
      <c r="O33" s="110"/>
      <c r="P33" s="110"/>
      <c r="Q33" s="110"/>
      <c r="R33" s="108"/>
      <c r="S33" s="103"/>
      <c r="T33" s="110"/>
      <c r="U33" s="110"/>
      <c r="V33" s="110"/>
      <c r="W33" s="120"/>
      <c r="X33" s="67"/>
      <c r="Y33" s="67"/>
      <c r="Z33" s="67"/>
      <c r="AA33" s="67"/>
      <c r="AB33" s="67"/>
      <c r="AC33" s="67"/>
      <c r="AD33" s="67"/>
    </row>
    <row r="34" spans="1:30" ht="14.25" customHeight="1" x14ac:dyDescent="0.35">
      <c r="A34" s="211"/>
      <c r="B34" s="208"/>
      <c r="C34" s="121"/>
      <c r="D34" s="96"/>
      <c r="E34" s="96"/>
      <c r="F34" s="96"/>
      <c r="G34" s="96"/>
      <c r="H34" s="97"/>
      <c r="I34" s="96"/>
      <c r="J34" s="96"/>
      <c r="K34" s="96"/>
      <c r="L34" s="96"/>
      <c r="M34" s="96"/>
      <c r="N34" s="96"/>
      <c r="O34" s="96"/>
      <c r="P34" s="96"/>
      <c r="Q34" s="96"/>
      <c r="R34" s="112"/>
      <c r="S34" s="97"/>
      <c r="T34" s="96"/>
      <c r="U34" s="96"/>
      <c r="V34" s="96"/>
      <c r="W34" s="98"/>
      <c r="X34" s="67"/>
      <c r="Y34" s="67"/>
      <c r="Z34" s="67"/>
      <c r="AA34" s="67"/>
      <c r="AB34" s="67"/>
      <c r="AC34" s="67"/>
      <c r="AD34" s="67"/>
    </row>
    <row r="35" spans="1:30" ht="14.25" customHeight="1" x14ac:dyDescent="0.35">
      <c r="A35" s="211"/>
      <c r="B35" s="209">
        <f>Neu!B20</f>
        <v>0</v>
      </c>
      <c r="C35" s="119"/>
      <c r="D35" s="110"/>
      <c r="E35" s="110"/>
      <c r="F35" s="110"/>
      <c r="G35" s="110"/>
      <c r="H35" s="103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01"/>
      <c r="T35" s="110"/>
      <c r="U35" s="110"/>
      <c r="V35" s="110"/>
      <c r="W35" s="120"/>
      <c r="X35" s="67"/>
      <c r="Y35" s="67"/>
      <c r="Z35" s="67"/>
      <c r="AA35" s="67"/>
      <c r="AB35" s="67"/>
      <c r="AC35" s="67"/>
      <c r="AD35" s="67"/>
    </row>
    <row r="36" spans="1:30" ht="14.25" customHeight="1" x14ac:dyDescent="0.35">
      <c r="A36" s="211"/>
      <c r="B36" s="208"/>
      <c r="C36" s="121"/>
      <c r="D36" s="96"/>
      <c r="E36" s="96"/>
      <c r="F36" s="96"/>
      <c r="G36" s="96"/>
      <c r="H36" s="97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105"/>
      <c r="T36" s="96"/>
      <c r="U36" s="96"/>
      <c r="V36" s="96"/>
      <c r="W36" s="98"/>
      <c r="X36" s="67"/>
      <c r="Y36" s="67"/>
      <c r="Z36" s="67"/>
      <c r="AA36" s="67"/>
      <c r="AB36" s="67"/>
      <c r="AC36" s="67"/>
      <c r="AD36" s="67"/>
    </row>
    <row r="37" spans="1:30" ht="14.25" customHeight="1" x14ac:dyDescent="0.35">
      <c r="A37" s="211"/>
      <c r="B37" s="209">
        <f>Neu!B21</f>
        <v>0</v>
      </c>
      <c r="C37" s="119"/>
      <c r="D37" s="110"/>
      <c r="E37" s="110"/>
      <c r="F37" s="110"/>
      <c r="G37" s="110"/>
      <c r="H37" s="103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03"/>
      <c r="T37" s="108"/>
      <c r="U37" s="110"/>
      <c r="V37" s="110"/>
      <c r="W37" s="120"/>
      <c r="X37" s="67"/>
      <c r="Y37" s="67"/>
      <c r="Z37" s="67"/>
      <c r="AA37" s="67"/>
      <c r="AB37" s="67"/>
      <c r="AC37" s="67"/>
      <c r="AD37" s="67"/>
    </row>
    <row r="38" spans="1:30" ht="14.25" customHeight="1" x14ac:dyDescent="0.35">
      <c r="A38" s="211"/>
      <c r="B38" s="208"/>
      <c r="C38" s="122"/>
      <c r="D38" s="111"/>
      <c r="E38" s="111"/>
      <c r="F38" s="111"/>
      <c r="G38" s="111"/>
      <c r="H38" s="102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02"/>
      <c r="T38" s="109"/>
      <c r="U38" s="111"/>
      <c r="V38" s="111"/>
      <c r="W38" s="118"/>
      <c r="X38" s="67"/>
      <c r="Y38" s="67"/>
      <c r="Z38" s="67"/>
      <c r="AA38" s="67"/>
      <c r="AB38" s="67"/>
      <c r="AC38" s="67"/>
      <c r="AD38" s="67"/>
    </row>
    <row r="39" spans="1:30" ht="14.25" customHeight="1" x14ac:dyDescent="0.35">
      <c r="A39" s="211"/>
      <c r="B39" s="209">
        <f>Neu!B22</f>
        <v>0</v>
      </c>
      <c r="C39" s="119"/>
      <c r="D39" s="110"/>
      <c r="E39" s="110"/>
      <c r="F39" s="110"/>
      <c r="G39" s="110"/>
      <c r="H39" s="103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03"/>
      <c r="T39" s="110"/>
      <c r="U39" s="108"/>
      <c r="V39" s="110"/>
      <c r="W39" s="120"/>
      <c r="X39" s="67"/>
      <c r="Y39" s="67"/>
      <c r="Z39" s="67"/>
      <c r="AA39" s="67"/>
      <c r="AB39" s="67"/>
      <c r="AC39" s="67"/>
      <c r="AD39" s="67"/>
    </row>
    <row r="40" spans="1:30" ht="14.25" customHeight="1" x14ac:dyDescent="0.35">
      <c r="A40" s="211"/>
      <c r="B40" s="208"/>
      <c r="C40" s="121"/>
      <c r="D40" s="96"/>
      <c r="E40" s="96"/>
      <c r="F40" s="96"/>
      <c r="G40" s="96"/>
      <c r="H40" s="97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7"/>
      <c r="T40" s="96"/>
      <c r="U40" s="112"/>
      <c r="V40" s="96"/>
      <c r="W40" s="98"/>
      <c r="X40" s="67"/>
      <c r="Y40" s="67"/>
      <c r="Z40" s="67"/>
      <c r="AA40" s="67"/>
      <c r="AB40" s="67"/>
      <c r="AC40" s="67"/>
      <c r="AD40" s="67"/>
    </row>
    <row r="41" spans="1:30" ht="14.25" customHeight="1" x14ac:dyDescent="0.35">
      <c r="A41" s="211"/>
      <c r="B41" s="209">
        <f>Neu!B23</f>
        <v>0</v>
      </c>
      <c r="C41" s="119"/>
      <c r="D41" s="110"/>
      <c r="E41" s="110"/>
      <c r="F41" s="110"/>
      <c r="G41" s="110"/>
      <c r="H41" s="103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03"/>
      <c r="T41" s="110"/>
      <c r="U41" s="110"/>
      <c r="V41" s="108"/>
      <c r="W41" s="120"/>
      <c r="X41" s="67"/>
      <c r="Y41" s="67"/>
      <c r="Z41" s="67"/>
      <c r="AA41" s="67"/>
      <c r="AB41" s="67"/>
      <c r="AC41" s="67"/>
      <c r="AD41" s="67"/>
    </row>
    <row r="42" spans="1:30" ht="14.25" customHeight="1" x14ac:dyDescent="0.35">
      <c r="A42" s="211"/>
      <c r="B42" s="208"/>
      <c r="C42" s="121"/>
      <c r="D42" s="96"/>
      <c r="E42" s="96"/>
      <c r="F42" s="96"/>
      <c r="G42" s="96"/>
      <c r="H42" s="97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7"/>
      <c r="T42" s="96"/>
      <c r="U42" s="96"/>
      <c r="V42" s="112"/>
      <c r="W42" s="98"/>
      <c r="X42" s="67"/>
      <c r="Y42" s="67"/>
      <c r="Z42" s="67"/>
      <c r="AA42" s="67"/>
      <c r="AB42" s="67"/>
      <c r="AC42" s="67"/>
      <c r="AD42" s="67"/>
    </row>
    <row r="43" spans="1:30" ht="14.25" customHeight="1" x14ac:dyDescent="0.35">
      <c r="A43" s="211"/>
      <c r="B43" s="209">
        <f>Neu!B24</f>
        <v>0</v>
      </c>
      <c r="C43" s="119"/>
      <c r="D43" s="110"/>
      <c r="E43" s="110"/>
      <c r="F43" s="110"/>
      <c r="G43" s="110"/>
      <c r="H43" s="103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03"/>
      <c r="T43" s="110"/>
      <c r="U43" s="110"/>
      <c r="V43" s="110"/>
      <c r="W43" s="123"/>
      <c r="X43" s="67"/>
      <c r="Y43" s="67"/>
      <c r="Z43" s="67"/>
      <c r="AA43" s="67"/>
      <c r="AB43" s="67"/>
      <c r="AC43" s="67"/>
      <c r="AD43" s="67"/>
    </row>
    <row r="44" spans="1:30" ht="14.25" customHeight="1" thickBot="1" x14ac:dyDescent="0.4">
      <c r="A44" s="107"/>
      <c r="B44" s="212"/>
      <c r="C44" s="124"/>
      <c r="D44" s="125"/>
      <c r="E44" s="125"/>
      <c r="F44" s="125"/>
      <c r="G44" s="125"/>
      <c r="H44" s="126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6"/>
      <c r="T44" s="125"/>
      <c r="U44" s="125"/>
      <c r="V44" s="125"/>
      <c r="W44" s="127"/>
      <c r="X44" s="67"/>
      <c r="Y44" s="67"/>
      <c r="Z44" s="67"/>
      <c r="AA44" s="67"/>
      <c r="AB44" s="67"/>
      <c r="AC44" s="67"/>
      <c r="AD44" s="67"/>
    </row>
    <row r="45" spans="1:30" x14ac:dyDescent="0.35"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</row>
    <row r="46" spans="1:30" x14ac:dyDescent="0.35"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</row>
    <row r="47" spans="1:30" x14ac:dyDescent="0.35"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</row>
    <row r="48" spans="1:30" x14ac:dyDescent="0.35"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</row>
    <row r="49" spans="3:30" x14ac:dyDescent="0.35"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</row>
    <row r="50" spans="3:30" x14ac:dyDescent="0.35"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</row>
    <row r="51" spans="3:30" x14ac:dyDescent="0.35"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</row>
    <row r="52" spans="3:30" x14ac:dyDescent="0.35"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</row>
    <row r="53" spans="3:30" x14ac:dyDescent="0.35"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</row>
    <row r="54" spans="3:30" x14ac:dyDescent="0.35"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</row>
    <row r="55" spans="3:30" x14ac:dyDescent="0.35"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</row>
    <row r="56" spans="3:30" x14ac:dyDescent="0.35"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</row>
    <row r="57" spans="3:30" x14ac:dyDescent="0.35"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</row>
    <row r="58" spans="3:30" x14ac:dyDescent="0.35"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</row>
    <row r="59" spans="3:30" x14ac:dyDescent="0.35"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</row>
    <row r="60" spans="3:30" x14ac:dyDescent="0.35"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</row>
    <row r="61" spans="3:30" x14ac:dyDescent="0.35"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</row>
    <row r="62" spans="3:30" x14ac:dyDescent="0.35"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</row>
    <row r="63" spans="3:30" x14ac:dyDescent="0.35"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</row>
    <row r="64" spans="3:30" x14ac:dyDescent="0.35"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</row>
    <row r="65" spans="3:30" x14ac:dyDescent="0.35"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</row>
    <row r="66" spans="3:30" x14ac:dyDescent="0.35"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</row>
    <row r="67" spans="3:30" x14ac:dyDescent="0.35"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</row>
    <row r="68" spans="3:30" x14ac:dyDescent="0.35"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</row>
    <row r="69" spans="3:30" x14ac:dyDescent="0.35"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</row>
    <row r="70" spans="3:30" x14ac:dyDescent="0.35"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</row>
    <row r="71" spans="3:30" x14ac:dyDescent="0.35"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</row>
    <row r="72" spans="3:30" x14ac:dyDescent="0.35"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</row>
    <row r="73" spans="3:30" x14ac:dyDescent="0.35"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</row>
    <row r="74" spans="3:30" x14ac:dyDescent="0.35"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</row>
    <row r="75" spans="3:30" x14ac:dyDescent="0.35"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</row>
    <row r="76" spans="3:30" x14ac:dyDescent="0.35"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</row>
  </sheetData>
  <mergeCells count="24">
    <mergeCell ref="B39:B40"/>
    <mergeCell ref="B41:B42"/>
    <mergeCell ref="B43:B44"/>
    <mergeCell ref="B27:B28"/>
    <mergeCell ref="B29:B30"/>
    <mergeCell ref="B31:B32"/>
    <mergeCell ref="B33:B34"/>
    <mergeCell ref="B35:B36"/>
    <mergeCell ref="B3:B4"/>
    <mergeCell ref="B5:B6"/>
    <mergeCell ref="A1:B2"/>
    <mergeCell ref="A3:A43"/>
    <mergeCell ref="C1:W1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37:B38"/>
  </mergeCells>
  <conditionalFormatting sqref="B3 B5 B7 B9 B11 B13 B15 B17 B19 B21 B23 B25 B27 B29 B31 B33 B35 B37 B39 B41 B43">
    <cfRule type="cellIs" dxfId="11" priority="4" operator="equal">
      <formula>0</formula>
    </cfRule>
  </conditionalFormatting>
  <conditionalFormatting sqref="C2:W2">
    <cfRule type="cellIs" dxfId="10" priority="5" operator="equal">
      <formula>0</formula>
    </cfRule>
  </conditionalFormatting>
  <conditionalFormatting sqref="C3:W44">
    <cfRule type="colorScale" priority="7">
      <colorScale>
        <cfvo type="min"/>
        <cfvo type="max"/>
        <color rgb="FFFCFCFF"/>
        <color rgb="FFF8696B"/>
      </colorScale>
    </cfRule>
  </conditionalFormatting>
  <conditionalFormatting sqref="Y1:Y2 Y4:Y36">
    <cfRule type="cellIs" dxfId="9" priority="1" operator="lessThan">
      <formula>0</formula>
    </cfRule>
  </conditionalFormatting>
  <conditionalFormatting sqref="Y1:Y1048576">
    <cfRule type="colorScale" priority="2">
      <colorScale>
        <cfvo type="num" val="MIN($C$3:$W$44)"/>
        <cfvo type="num" val="MAX($C$3:$W$44)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D76"/>
  <sheetViews>
    <sheetView zoomScale="145" zoomScaleNormal="145" workbookViewId="0">
      <selection activeCell="E4" sqref="E4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210"/>
      <c r="B1" s="210"/>
      <c r="C1" s="210" t="s">
        <v>4</v>
      </c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</row>
    <row r="2" spans="1:30" ht="15" thickBot="1" x14ac:dyDescent="0.4">
      <c r="A2" s="210"/>
      <c r="B2" s="210"/>
      <c r="C2" s="128" t="str">
        <f>Neu!$B4</f>
        <v>A</v>
      </c>
      <c r="D2" s="99" t="str">
        <f>Neu!$B5</f>
        <v>B</v>
      </c>
      <c r="E2" s="99" t="str">
        <f>Neu!$B6</f>
        <v>C</v>
      </c>
      <c r="F2" s="99">
        <f>Neu!$B7</f>
        <v>0</v>
      </c>
      <c r="G2" s="99">
        <f>Neu!$B8</f>
        <v>0</v>
      </c>
      <c r="H2" s="99">
        <f>Neu!$B9</f>
        <v>0</v>
      </c>
      <c r="I2" s="99">
        <f>Neu!$B10</f>
        <v>0</v>
      </c>
      <c r="J2" s="99">
        <f>Neu!$B11</f>
        <v>0</v>
      </c>
      <c r="K2" s="99">
        <f>Neu!$B12</f>
        <v>0</v>
      </c>
      <c r="L2" s="99">
        <f>Neu!$B13</f>
        <v>0</v>
      </c>
      <c r="M2" s="99">
        <f>Neu!$B14</f>
        <v>0</v>
      </c>
      <c r="N2" s="99">
        <f>Neu!$B15</f>
        <v>0</v>
      </c>
      <c r="O2" s="99">
        <f>Neu!$B16</f>
        <v>0</v>
      </c>
      <c r="P2" s="99">
        <f>Neu!$B17</f>
        <v>0</v>
      </c>
      <c r="Q2" s="99">
        <f>Neu!$B18</f>
        <v>0</v>
      </c>
      <c r="R2" s="99">
        <f>Neu!$B19</f>
        <v>0</v>
      </c>
      <c r="S2" s="99">
        <f>Neu!$B20</f>
        <v>0</v>
      </c>
      <c r="T2" s="99">
        <f>Neu!$B21</f>
        <v>0</v>
      </c>
      <c r="U2" s="99">
        <f>Neu!$B22</f>
        <v>0</v>
      </c>
      <c r="V2" s="99">
        <f>Neu!$B23</f>
        <v>0</v>
      </c>
      <c r="W2" s="100">
        <f>Neu!$B24</f>
        <v>0</v>
      </c>
    </row>
    <row r="3" spans="1:30" ht="14.25" customHeight="1" x14ac:dyDescent="0.35">
      <c r="A3" s="211" t="s">
        <v>5</v>
      </c>
      <c r="B3" s="207" t="str">
        <f>Neu!B4</f>
        <v>A</v>
      </c>
      <c r="C3" s="132"/>
      <c r="D3" s="114">
        <v>-100</v>
      </c>
      <c r="E3" s="114">
        <v>300</v>
      </c>
      <c r="F3" s="114"/>
      <c r="G3" s="115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6"/>
      <c r="X3" s="137" t="s">
        <v>164</v>
      </c>
      <c r="Y3" s="1" t="s">
        <v>167</v>
      </c>
      <c r="Z3" s="67"/>
      <c r="AA3" s="67"/>
      <c r="AB3" s="67"/>
      <c r="AC3" s="67"/>
      <c r="AD3" s="67"/>
    </row>
    <row r="4" spans="1:30" ht="14.25" customHeight="1" x14ac:dyDescent="0.35">
      <c r="A4" s="211"/>
      <c r="B4" s="208"/>
      <c r="C4" s="131"/>
      <c r="D4" s="96"/>
      <c r="E4" s="96"/>
      <c r="F4" s="96"/>
      <c r="G4" s="97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8"/>
      <c r="X4" s="137" t="s">
        <v>165</v>
      </c>
      <c r="Y4" s="139">
        <f>MAX($C$3:$W$44)-(ROW(Y4)-4)*10</f>
        <v>300</v>
      </c>
      <c r="Z4" s="67"/>
      <c r="AA4" s="67"/>
      <c r="AB4" s="67"/>
      <c r="AC4" s="67"/>
      <c r="AD4" s="67"/>
    </row>
    <row r="5" spans="1:30" ht="14.25" customHeight="1" x14ac:dyDescent="0.35">
      <c r="A5" s="211"/>
      <c r="B5" s="209" t="str">
        <f>Neu!B5</f>
        <v>B</v>
      </c>
      <c r="C5" s="106">
        <v>-100</v>
      </c>
      <c r="D5" s="108"/>
      <c r="E5" s="110"/>
      <c r="F5" s="110"/>
      <c r="G5" s="103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20"/>
      <c r="X5" s="67"/>
      <c r="Y5" s="139">
        <f t="shared" ref="Y5:Y32" si="0">MAX($C$3:$W$44)-(ROW(Y5)-4)*10</f>
        <v>290</v>
      </c>
      <c r="Z5" s="67"/>
      <c r="AA5" s="67"/>
      <c r="AB5" s="67"/>
      <c r="AC5" s="67"/>
      <c r="AD5" s="67"/>
    </row>
    <row r="6" spans="1:30" ht="14.25" customHeight="1" x14ac:dyDescent="0.35">
      <c r="A6" s="211"/>
      <c r="B6" s="208"/>
      <c r="C6" s="129"/>
      <c r="D6" s="112"/>
      <c r="E6" s="96"/>
      <c r="F6" s="96"/>
      <c r="G6" s="97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8"/>
      <c r="X6" s="67"/>
      <c r="Y6" s="139">
        <f t="shared" si="0"/>
        <v>280</v>
      </c>
      <c r="Z6" s="67"/>
      <c r="AA6" s="67"/>
      <c r="AB6" s="67"/>
      <c r="AC6" s="67"/>
      <c r="AD6" s="67"/>
    </row>
    <row r="7" spans="1:30" ht="14.25" customHeight="1" x14ac:dyDescent="0.35">
      <c r="A7" s="211"/>
      <c r="B7" s="209" t="str">
        <f>Neu!B6</f>
        <v>C</v>
      </c>
      <c r="C7" s="106">
        <v>20</v>
      </c>
      <c r="D7" s="110"/>
      <c r="E7" s="108"/>
      <c r="F7" s="110"/>
      <c r="G7" s="103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20"/>
      <c r="X7" s="67"/>
      <c r="Y7" s="139">
        <f t="shared" si="0"/>
        <v>270</v>
      </c>
      <c r="Z7" s="67"/>
      <c r="AA7" s="67"/>
      <c r="AB7" s="67"/>
      <c r="AC7" s="67"/>
      <c r="AD7" s="67"/>
    </row>
    <row r="8" spans="1:30" ht="14.25" customHeight="1" x14ac:dyDescent="0.35">
      <c r="A8" s="211"/>
      <c r="B8" s="208"/>
      <c r="C8" s="129"/>
      <c r="D8" s="96"/>
      <c r="E8" s="112"/>
      <c r="F8" s="96"/>
      <c r="G8" s="97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8"/>
      <c r="X8" s="67"/>
      <c r="Y8" s="139">
        <f t="shared" si="0"/>
        <v>260</v>
      </c>
      <c r="Z8" s="67"/>
      <c r="AA8" s="67"/>
      <c r="AB8" s="67"/>
      <c r="AC8" s="67"/>
      <c r="AD8" s="67"/>
    </row>
    <row r="9" spans="1:30" ht="14.25" customHeight="1" x14ac:dyDescent="0.35">
      <c r="A9" s="211"/>
      <c r="B9" s="209">
        <f>Neu!B7</f>
        <v>0</v>
      </c>
      <c r="C9" s="106"/>
      <c r="D9" s="110"/>
      <c r="E9" s="110"/>
      <c r="F9" s="108"/>
      <c r="G9" s="103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20"/>
      <c r="X9" s="67"/>
      <c r="Y9" s="139">
        <f t="shared" si="0"/>
        <v>250</v>
      </c>
      <c r="Z9" s="67"/>
      <c r="AA9" s="67"/>
      <c r="AB9" s="67"/>
      <c r="AC9" s="67"/>
      <c r="AD9" s="67"/>
    </row>
    <row r="10" spans="1:30" ht="14.25" customHeight="1" x14ac:dyDescent="0.35">
      <c r="A10" s="211"/>
      <c r="B10" s="208"/>
      <c r="C10" s="129"/>
      <c r="D10" s="96"/>
      <c r="E10" s="96"/>
      <c r="F10" s="112"/>
      <c r="G10" s="97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8"/>
      <c r="X10" s="67"/>
      <c r="Y10" s="139">
        <f t="shared" si="0"/>
        <v>240</v>
      </c>
      <c r="Z10" s="67"/>
      <c r="AA10" s="67"/>
      <c r="AB10" s="67"/>
      <c r="AC10" s="67"/>
      <c r="AD10" s="67"/>
    </row>
    <row r="11" spans="1:30" ht="14.25" customHeight="1" x14ac:dyDescent="0.35">
      <c r="A11" s="211"/>
      <c r="B11" s="209">
        <f>Neu!B8</f>
        <v>0</v>
      </c>
      <c r="C11" s="106"/>
      <c r="D11" s="110"/>
      <c r="E11" s="110"/>
      <c r="F11" s="110"/>
      <c r="G11" s="101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20"/>
      <c r="X11" s="67"/>
      <c r="Y11" s="139">
        <f t="shared" si="0"/>
        <v>230</v>
      </c>
      <c r="Z11" s="67"/>
      <c r="AA11" s="67"/>
      <c r="AB11" s="67"/>
      <c r="AC11" s="67"/>
      <c r="AD11" s="67"/>
    </row>
    <row r="12" spans="1:30" ht="14.25" customHeight="1" x14ac:dyDescent="0.35">
      <c r="A12" s="211"/>
      <c r="B12" s="208"/>
      <c r="C12" s="130"/>
      <c r="D12" s="111"/>
      <c r="E12" s="111"/>
      <c r="F12" s="111"/>
      <c r="G12" s="104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8"/>
      <c r="X12" s="67"/>
      <c r="Y12" s="139">
        <f t="shared" si="0"/>
        <v>220</v>
      </c>
      <c r="Z12" s="67"/>
      <c r="AA12" s="67"/>
      <c r="AB12" s="67"/>
      <c r="AC12" s="67"/>
      <c r="AD12" s="67"/>
    </row>
    <row r="13" spans="1:30" ht="14.25" customHeight="1" x14ac:dyDescent="0.35">
      <c r="A13" s="211"/>
      <c r="B13" s="209">
        <f>Neu!B9</f>
        <v>0</v>
      </c>
      <c r="C13" s="106"/>
      <c r="D13" s="110"/>
      <c r="E13" s="110"/>
      <c r="F13" s="110"/>
      <c r="G13" s="103"/>
      <c r="H13" s="108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20"/>
      <c r="X13" s="67"/>
      <c r="Y13" s="139">
        <f t="shared" si="0"/>
        <v>210</v>
      </c>
      <c r="Z13" s="67"/>
      <c r="AA13" s="67"/>
      <c r="AB13" s="67"/>
      <c r="AC13" s="67"/>
      <c r="AD13" s="67"/>
    </row>
    <row r="14" spans="1:30" ht="14.25" customHeight="1" x14ac:dyDescent="0.35">
      <c r="A14" s="211"/>
      <c r="B14" s="208"/>
      <c r="C14" s="129"/>
      <c r="D14" s="96"/>
      <c r="E14" s="96"/>
      <c r="F14" s="96"/>
      <c r="G14" s="97"/>
      <c r="H14" s="112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8"/>
      <c r="X14" s="67"/>
      <c r="Y14" s="139">
        <f t="shared" si="0"/>
        <v>200</v>
      </c>
      <c r="Z14" s="67"/>
      <c r="AA14" s="67"/>
      <c r="AB14" s="67"/>
      <c r="AC14" s="67"/>
      <c r="AD14" s="67"/>
    </row>
    <row r="15" spans="1:30" ht="14.25" customHeight="1" x14ac:dyDescent="0.35">
      <c r="A15" s="211"/>
      <c r="B15" s="209">
        <f>Neu!B10</f>
        <v>0</v>
      </c>
      <c r="C15" s="106"/>
      <c r="D15" s="110"/>
      <c r="E15" s="110"/>
      <c r="F15" s="110"/>
      <c r="G15" s="103"/>
      <c r="H15" s="110"/>
      <c r="I15" s="108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20"/>
      <c r="X15" s="67"/>
      <c r="Y15" s="139">
        <f t="shared" si="0"/>
        <v>190</v>
      </c>
      <c r="Z15" s="67"/>
      <c r="AA15" s="67"/>
      <c r="AB15" s="67"/>
      <c r="AC15" s="67"/>
      <c r="AD15" s="67"/>
    </row>
    <row r="16" spans="1:30" ht="14.25" customHeight="1" x14ac:dyDescent="0.35">
      <c r="A16" s="211"/>
      <c r="B16" s="208"/>
      <c r="C16" s="129"/>
      <c r="D16" s="96"/>
      <c r="E16" s="96"/>
      <c r="F16" s="96"/>
      <c r="G16" s="97"/>
      <c r="H16" s="96"/>
      <c r="I16" s="112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8"/>
      <c r="X16" s="67"/>
      <c r="Y16" s="139">
        <f t="shared" si="0"/>
        <v>180</v>
      </c>
      <c r="Z16" s="67"/>
      <c r="AA16" s="67"/>
      <c r="AB16" s="67"/>
      <c r="AC16" s="67"/>
      <c r="AD16" s="67"/>
    </row>
    <row r="17" spans="1:30" ht="14.25" customHeight="1" x14ac:dyDescent="0.35">
      <c r="A17" s="211"/>
      <c r="B17" s="209">
        <f>Neu!B11</f>
        <v>0</v>
      </c>
      <c r="C17" s="106"/>
      <c r="D17" s="110"/>
      <c r="E17" s="110"/>
      <c r="F17" s="110"/>
      <c r="G17" s="103"/>
      <c r="H17" s="110"/>
      <c r="I17" s="110"/>
      <c r="J17" s="108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20"/>
      <c r="X17" s="67"/>
      <c r="Y17" s="139">
        <f t="shared" si="0"/>
        <v>170</v>
      </c>
      <c r="Z17" s="67"/>
      <c r="AA17" s="67"/>
      <c r="AB17" s="67"/>
      <c r="AC17" s="67"/>
      <c r="AD17" s="67"/>
    </row>
    <row r="18" spans="1:30" ht="14.25" customHeight="1" x14ac:dyDescent="0.35">
      <c r="A18" s="211"/>
      <c r="B18" s="208"/>
      <c r="C18" s="129"/>
      <c r="D18" s="96"/>
      <c r="E18" s="96"/>
      <c r="F18" s="96"/>
      <c r="G18" s="97"/>
      <c r="H18" s="96"/>
      <c r="I18" s="96"/>
      <c r="J18" s="112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8"/>
      <c r="X18" s="67"/>
      <c r="Y18" s="139">
        <f t="shared" si="0"/>
        <v>160</v>
      </c>
      <c r="Z18" s="67"/>
      <c r="AA18" s="67"/>
      <c r="AB18" s="67"/>
      <c r="AC18" s="67"/>
      <c r="AD18" s="67"/>
    </row>
    <row r="19" spans="1:30" ht="14.25" customHeight="1" x14ac:dyDescent="0.35">
      <c r="A19" s="211"/>
      <c r="B19" s="209">
        <f>Neu!B12</f>
        <v>0</v>
      </c>
      <c r="C19" s="106"/>
      <c r="D19" s="110"/>
      <c r="E19" s="110"/>
      <c r="F19" s="110"/>
      <c r="G19" s="103"/>
      <c r="H19" s="110"/>
      <c r="I19" s="110"/>
      <c r="J19" s="110"/>
      <c r="K19" s="108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20"/>
      <c r="X19" s="67"/>
      <c r="Y19" s="139">
        <f t="shared" si="0"/>
        <v>150</v>
      </c>
      <c r="Z19" s="67"/>
      <c r="AA19" s="67"/>
      <c r="AB19" s="67"/>
      <c r="AC19" s="67"/>
      <c r="AD19" s="67"/>
    </row>
    <row r="20" spans="1:30" ht="14.25" customHeight="1" x14ac:dyDescent="0.35">
      <c r="A20" s="211"/>
      <c r="B20" s="208"/>
      <c r="C20" s="129"/>
      <c r="D20" s="96"/>
      <c r="E20" s="96"/>
      <c r="F20" s="96"/>
      <c r="G20" s="97"/>
      <c r="H20" s="96"/>
      <c r="I20" s="96"/>
      <c r="J20" s="96"/>
      <c r="K20" s="112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8"/>
      <c r="X20" s="67"/>
      <c r="Y20" s="139">
        <f t="shared" si="0"/>
        <v>140</v>
      </c>
      <c r="Z20" s="67"/>
      <c r="AA20" s="67"/>
      <c r="AB20" s="67"/>
      <c r="AC20" s="67"/>
      <c r="AD20" s="67"/>
    </row>
    <row r="21" spans="1:30" ht="14.25" customHeight="1" x14ac:dyDescent="0.35">
      <c r="A21" s="211"/>
      <c r="B21" s="209">
        <f>Neu!B13</f>
        <v>0</v>
      </c>
      <c r="C21" s="106"/>
      <c r="D21" s="110"/>
      <c r="E21" s="110"/>
      <c r="F21" s="110"/>
      <c r="G21" s="103"/>
      <c r="H21" s="110"/>
      <c r="I21" s="110"/>
      <c r="J21" s="110"/>
      <c r="K21" s="110"/>
      <c r="L21" s="108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20"/>
      <c r="X21" s="67"/>
      <c r="Y21" s="139">
        <f t="shared" si="0"/>
        <v>130</v>
      </c>
      <c r="Z21" s="67"/>
      <c r="AA21" s="67"/>
      <c r="AB21" s="67"/>
      <c r="AC21" s="67"/>
      <c r="AD21" s="67"/>
    </row>
    <row r="22" spans="1:30" ht="14.25" customHeight="1" x14ac:dyDescent="0.35">
      <c r="A22" s="211"/>
      <c r="B22" s="208"/>
      <c r="C22" s="129"/>
      <c r="D22" s="96"/>
      <c r="E22" s="96"/>
      <c r="F22" s="96"/>
      <c r="G22" s="97"/>
      <c r="H22" s="96"/>
      <c r="I22" s="96"/>
      <c r="J22" s="96"/>
      <c r="K22" s="96"/>
      <c r="L22" s="112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8"/>
      <c r="X22" s="67"/>
      <c r="Y22" s="139">
        <f t="shared" si="0"/>
        <v>120</v>
      </c>
      <c r="Z22" s="67"/>
      <c r="AA22" s="67"/>
      <c r="AB22" s="67"/>
      <c r="AC22" s="67"/>
      <c r="AD22" s="67"/>
    </row>
    <row r="23" spans="1:30" ht="14.25" customHeight="1" x14ac:dyDescent="0.35">
      <c r="A23" s="211"/>
      <c r="B23" s="209">
        <f>Neu!B14</f>
        <v>0</v>
      </c>
      <c r="C23" s="106"/>
      <c r="D23" s="110"/>
      <c r="E23" s="110"/>
      <c r="F23" s="110"/>
      <c r="G23" s="103"/>
      <c r="H23" s="110"/>
      <c r="I23" s="110"/>
      <c r="J23" s="110"/>
      <c r="K23" s="110"/>
      <c r="L23" s="110"/>
      <c r="M23" s="108"/>
      <c r="N23" s="110"/>
      <c r="O23" s="110"/>
      <c r="P23" s="110"/>
      <c r="Q23" s="110"/>
      <c r="R23" s="110"/>
      <c r="S23" s="110"/>
      <c r="T23" s="110"/>
      <c r="U23" s="110"/>
      <c r="V23" s="110"/>
      <c r="W23" s="120"/>
      <c r="X23" s="67"/>
      <c r="Y23" s="139">
        <f t="shared" si="0"/>
        <v>110</v>
      </c>
      <c r="Z23" s="67"/>
      <c r="AA23" s="67"/>
      <c r="AB23" s="67"/>
      <c r="AC23" s="67"/>
      <c r="AD23" s="67"/>
    </row>
    <row r="24" spans="1:30" ht="14.25" customHeight="1" x14ac:dyDescent="0.35">
      <c r="A24" s="211"/>
      <c r="B24" s="208"/>
      <c r="C24" s="130"/>
      <c r="D24" s="111"/>
      <c r="E24" s="111"/>
      <c r="F24" s="111"/>
      <c r="G24" s="102"/>
      <c r="H24" s="111"/>
      <c r="I24" s="111"/>
      <c r="J24" s="111"/>
      <c r="K24" s="111"/>
      <c r="L24" s="111"/>
      <c r="M24" s="109"/>
      <c r="N24" s="111"/>
      <c r="O24" s="111"/>
      <c r="P24" s="111"/>
      <c r="Q24" s="111"/>
      <c r="R24" s="111"/>
      <c r="S24" s="111"/>
      <c r="T24" s="111"/>
      <c r="U24" s="111"/>
      <c r="V24" s="111"/>
      <c r="W24" s="118"/>
      <c r="X24" s="67"/>
      <c r="Y24" s="139">
        <f t="shared" si="0"/>
        <v>100</v>
      </c>
      <c r="Z24" s="67"/>
      <c r="AA24" s="67"/>
      <c r="AB24" s="67"/>
      <c r="AC24" s="67"/>
      <c r="AD24" s="67"/>
    </row>
    <row r="25" spans="1:30" ht="14.25" customHeight="1" x14ac:dyDescent="0.35">
      <c r="A25" s="211"/>
      <c r="B25" s="209">
        <f>Neu!B15</f>
        <v>0</v>
      </c>
      <c r="C25" s="106"/>
      <c r="D25" s="110"/>
      <c r="E25" s="110"/>
      <c r="F25" s="110"/>
      <c r="G25" s="103"/>
      <c r="H25" s="110"/>
      <c r="I25" s="110"/>
      <c r="J25" s="110"/>
      <c r="K25" s="110"/>
      <c r="L25" s="110"/>
      <c r="M25" s="110"/>
      <c r="N25" s="108"/>
      <c r="O25" s="110"/>
      <c r="P25" s="110"/>
      <c r="Q25" s="110"/>
      <c r="R25" s="110"/>
      <c r="S25" s="110"/>
      <c r="T25" s="110"/>
      <c r="U25" s="110"/>
      <c r="V25" s="110"/>
      <c r="W25" s="120"/>
      <c r="X25" s="67"/>
      <c r="Y25" s="139">
        <f t="shared" si="0"/>
        <v>90</v>
      </c>
      <c r="Z25" s="67"/>
      <c r="AA25" s="67"/>
      <c r="AB25" s="67"/>
      <c r="AC25" s="67"/>
      <c r="AD25" s="67"/>
    </row>
    <row r="26" spans="1:30" ht="14.25" customHeight="1" x14ac:dyDescent="0.35">
      <c r="A26" s="211"/>
      <c r="B26" s="208"/>
      <c r="C26" s="129"/>
      <c r="D26" s="96"/>
      <c r="E26" s="96"/>
      <c r="F26" s="96"/>
      <c r="G26" s="97"/>
      <c r="H26" s="96"/>
      <c r="I26" s="96"/>
      <c r="J26" s="96"/>
      <c r="K26" s="96"/>
      <c r="L26" s="96"/>
      <c r="M26" s="96"/>
      <c r="N26" s="112"/>
      <c r="O26" s="96"/>
      <c r="P26" s="96"/>
      <c r="Q26" s="96"/>
      <c r="R26" s="96"/>
      <c r="S26" s="96"/>
      <c r="T26" s="96"/>
      <c r="U26" s="96"/>
      <c r="V26" s="96"/>
      <c r="W26" s="98"/>
      <c r="X26" s="67"/>
      <c r="Y26" s="139">
        <f t="shared" si="0"/>
        <v>80</v>
      </c>
      <c r="Z26" s="67"/>
      <c r="AA26" s="67"/>
      <c r="AB26" s="67"/>
      <c r="AC26" s="67"/>
      <c r="AD26" s="67"/>
    </row>
    <row r="27" spans="1:30" ht="14.25" customHeight="1" x14ac:dyDescent="0.35">
      <c r="A27" s="211"/>
      <c r="B27" s="209">
        <f>Neu!B16</f>
        <v>0</v>
      </c>
      <c r="C27" s="106"/>
      <c r="D27" s="110"/>
      <c r="E27" s="110"/>
      <c r="F27" s="110"/>
      <c r="G27" s="103"/>
      <c r="H27" s="110"/>
      <c r="I27" s="110"/>
      <c r="J27" s="110"/>
      <c r="K27" s="110"/>
      <c r="L27" s="110"/>
      <c r="M27" s="110"/>
      <c r="N27" s="110"/>
      <c r="O27" s="108"/>
      <c r="P27" s="110"/>
      <c r="Q27" s="110"/>
      <c r="R27" s="110"/>
      <c r="S27" s="110"/>
      <c r="T27" s="110"/>
      <c r="U27" s="110"/>
      <c r="V27" s="110"/>
      <c r="W27" s="120"/>
      <c r="X27" s="67"/>
      <c r="Y27" s="139">
        <f t="shared" si="0"/>
        <v>70</v>
      </c>
      <c r="Z27" s="67"/>
      <c r="AA27" s="67"/>
      <c r="AB27" s="67"/>
      <c r="AC27" s="67"/>
      <c r="AD27" s="67"/>
    </row>
    <row r="28" spans="1:30" ht="14.25" customHeight="1" x14ac:dyDescent="0.35">
      <c r="A28" s="211"/>
      <c r="B28" s="208"/>
      <c r="C28" s="129"/>
      <c r="D28" s="96"/>
      <c r="E28" s="96"/>
      <c r="F28" s="96"/>
      <c r="G28" s="97"/>
      <c r="H28" s="96"/>
      <c r="I28" s="96"/>
      <c r="J28" s="96"/>
      <c r="K28" s="96"/>
      <c r="L28" s="96"/>
      <c r="M28" s="96"/>
      <c r="N28" s="96"/>
      <c r="O28" s="112"/>
      <c r="P28" s="96"/>
      <c r="Q28" s="96"/>
      <c r="R28" s="96"/>
      <c r="S28" s="96"/>
      <c r="T28" s="96"/>
      <c r="U28" s="96"/>
      <c r="V28" s="96"/>
      <c r="W28" s="98"/>
      <c r="X28" s="67"/>
      <c r="Y28" s="139">
        <f t="shared" si="0"/>
        <v>60</v>
      </c>
      <c r="Z28" s="67"/>
      <c r="AA28" s="67"/>
      <c r="AB28" s="67"/>
      <c r="AC28" s="67"/>
      <c r="AD28" s="67"/>
    </row>
    <row r="29" spans="1:30" ht="14.25" customHeight="1" x14ac:dyDescent="0.35">
      <c r="A29" s="211"/>
      <c r="B29" s="209">
        <f>Neu!B17</f>
        <v>0</v>
      </c>
      <c r="C29" s="106"/>
      <c r="D29" s="110"/>
      <c r="E29" s="110"/>
      <c r="F29" s="110"/>
      <c r="G29" s="103"/>
      <c r="H29" s="110"/>
      <c r="I29" s="110"/>
      <c r="J29" s="110"/>
      <c r="K29" s="110"/>
      <c r="L29" s="110"/>
      <c r="M29" s="110"/>
      <c r="N29" s="110"/>
      <c r="O29" s="110"/>
      <c r="P29" s="108"/>
      <c r="Q29" s="110"/>
      <c r="R29" s="110"/>
      <c r="S29" s="110"/>
      <c r="T29" s="110"/>
      <c r="U29" s="110"/>
      <c r="V29" s="110"/>
      <c r="W29" s="120"/>
      <c r="X29" s="67"/>
      <c r="Y29" s="139">
        <f t="shared" si="0"/>
        <v>50</v>
      </c>
      <c r="Z29" s="67"/>
      <c r="AA29" s="67"/>
      <c r="AB29" s="67"/>
      <c r="AC29" s="67"/>
      <c r="AD29" s="67"/>
    </row>
    <row r="30" spans="1:30" ht="14.25" customHeight="1" x14ac:dyDescent="0.35">
      <c r="A30" s="211"/>
      <c r="B30" s="208"/>
      <c r="C30" s="129"/>
      <c r="D30" s="96"/>
      <c r="E30" s="96"/>
      <c r="F30" s="96"/>
      <c r="G30" s="97"/>
      <c r="H30" s="96"/>
      <c r="I30" s="96"/>
      <c r="J30" s="96"/>
      <c r="K30" s="96"/>
      <c r="L30" s="96"/>
      <c r="M30" s="96"/>
      <c r="N30" s="96"/>
      <c r="O30" s="96"/>
      <c r="P30" s="112"/>
      <c r="Q30" s="96"/>
      <c r="R30" s="96"/>
      <c r="S30" s="96"/>
      <c r="T30" s="96"/>
      <c r="U30" s="96"/>
      <c r="V30" s="96"/>
      <c r="W30" s="98"/>
      <c r="X30" s="67"/>
      <c r="Y30" s="139">
        <f t="shared" si="0"/>
        <v>40</v>
      </c>
      <c r="Z30" s="67"/>
      <c r="AA30" s="67"/>
      <c r="AB30" s="67"/>
      <c r="AC30" s="67"/>
      <c r="AD30" s="67"/>
    </row>
    <row r="31" spans="1:30" ht="14.25" customHeight="1" x14ac:dyDescent="0.35">
      <c r="A31" s="211"/>
      <c r="B31" s="209">
        <f>Neu!B18</f>
        <v>0</v>
      </c>
      <c r="C31" s="106"/>
      <c r="D31" s="110"/>
      <c r="E31" s="110"/>
      <c r="F31" s="110"/>
      <c r="G31" s="103"/>
      <c r="H31" s="110"/>
      <c r="I31" s="110"/>
      <c r="J31" s="110"/>
      <c r="K31" s="110"/>
      <c r="L31" s="110"/>
      <c r="M31" s="110"/>
      <c r="N31" s="110"/>
      <c r="O31" s="110"/>
      <c r="P31" s="110"/>
      <c r="Q31" s="108"/>
      <c r="R31" s="110"/>
      <c r="S31" s="110"/>
      <c r="T31" s="110"/>
      <c r="U31" s="110"/>
      <c r="V31" s="110"/>
      <c r="W31" s="120"/>
      <c r="X31" s="67"/>
      <c r="Y31" s="139">
        <f t="shared" si="0"/>
        <v>30</v>
      </c>
      <c r="Z31" s="67"/>
      <c r="AA31" s="67"/>
      <c r="AB31" s="67"/>
      <c r="AC31" s="67"/>
      <c r="AD31" s="67"/>
    </row>
    <row r="32" spans="1:30" ht="14.25" customHeight="1" x14ac:dyDescent="0.35">
      <c r="A32" s="211"/>
      <c r="B32" s="208"/>
      <c r="C32" s="129"/>
      <c r="D32" s="96"/>
      <c r="E32" s="96"/>
      <c r="F32" s="96"/>
      <c r="G32" s="97"/>
      <c r="H32" s="96"/>
      <c r="I32" s="96"/>
      <c r="J32" s="96"/>
      <c r="K32" s="96"/>
      <c r="L32" s="96"/>
      <c r="M32" s="96"/>
      <c r="N32" s="96"/>
      <c r="O32" s="96"/>
      <c r="P32" s="96"/>
      <c r="Q32" s="112"/>
      <c r="R32" s="96"/>
      <c r="S32" s="96"/>
      <c r="T32" s="96"/>
      <c r="U32" s="96"/>
      <c r="V32" s="96"/>
      <c r="W32" s="98"/>
      <c r="X32" s="67"/>
      <c r="Y32" s="139">
        <f t="shared" si="0"/>
        <v>20</v>
      </c>
      <c r="Z32" s="67"/>
      <c r="AA32" s="67"/>
      <c r="AB32" s="67"/>
      <c r="AC32" s="67"/>
      <c r="AD32" s="67"/>
    </row>
    <row r="33" spans="1:30" ht="14.25" customHeight="1" x14ac:dyDescent="0.35">
      <c r="A33" s="211"/>
      <c r="B33" s="209">
        <f>Neu!B19</f>
        <v>0</v>
      </c>
      <c r="C33" s="106"/>
      <c r="D33" s="110"/>
      <c r="E33" s="110"/>
      <c r="F33" s="110"/>
      <c r="G33" s="103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08"/>
      <c r="S33" s="110"/>
      <c r="T33" s="110"/>
      <c r="U33" s="110"/>
      <c r="V33" s="110"/>
      <c r="W33" s="120"/>
      <c r="X33" s="67"/>
      <c r="Y33" s="67"/>
      <c r="Z33" s="67"/>
      <c r="AA33" s="67"/>
      <c r="AB33" s="67"/>
      <c r="AC33" s="67"/>
      <c r="AD33" s="67"/>
    </row>
    <row r="34" spans="1:30" ht="14.25" customHeight="1" x14ac:dyDescent="0.35">
      <c r="A34" s="211"/>
      <c r="B34" s="208"/>
      <c r="C34" s="129"/>
      <c r="D34" s="96"/>
      <c r="E34" s="96"/>
      <c r="F34" s="96"/>
      <c r="G34" s="97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112"/>
      <c r="S34" s="96"/>
      <c r="T34" s="96"/>
      <c r="U34" s="96"/>
      <c r="V34" s="96"/>
      <c r="W34" s="98"/>
      <c r="X34" s="67"/>
      <c r="Y34" s="67"/>
      <c r="Z34" s="67"/>
      <c r="AA34" s="67"/>
      <c r="AB34" s="67"/>
      <c r="AC34" s="67"/>
      <c r="AD34" s="67"/>
    </row>
    <row r="35" spans="1:30" ht="14.25" customHeight="1" x14ac:dyDescent="0.35">
      <c r="A35" s="211"/>
      <c r="B35" s="209">
        <f>Neu!B20</f>
        <v>0</v>
      </c>
      <c r="C35" s="106"/>
      <c r="D35" s="110"/>
      <c r="E35" s="110"/>
      <c r="F35" s="110"/>
      <c r="G35" s="103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08"/>
      <c r="T35" s="110"/>
      <c r="U35" s="110"/>
      <c r="V35" s="110"/>
      <c r="W35" s="120"/>
      <c r="X35" s="67"/>
      <c r="Y35" s="67"/>
      <c r="Z35" s="67"/>
      <c r="AA35" s="67"/>
      <c r="AB35" s="67"/>
      <c r="AC35" s="67"/>
      <c r="AD35" s="67"/>
    </row>
    <row r="36" spans="1:30" ht="14.25" customHeight="1" x14ac:dyDescent="0.35">
      <c r="A36" s="211"/>
      <c r="B36" s="208"/>
      <c r="C36" s="130"/>
      <c r="D36" s="111"/>
      <c r="E36" s="111"/>
      <c r="F36" s="111"/>
      <c r="G36" s="102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09"/>
      <c r="T36" s="111"/>
      <c r="U36" s="111"/>
      <c r="V36" s="111"/>
      <c r="W36" s="118"/>
      <c r="X36" s="67"/>
      <c r="Y36" s="67"/>
      <c r="Z36" s="67"/>
      <c r="AA36" s="67"/>
      <c r="AB36" s="67"/>
      <c r="AC36" s="67"/>
      <c r="AD36" s="67"/>
    </row>
    <row r="37" spans="1:30" ht="14.25" customHeight="1" x14ac:dyDescent="0.35">
      <c r="A37" s="211"/>
      <c r="B37" s="209">
        <f>Neu!B21</f>
        <v>0</v>
      </c>
      <c r="C37" s="106"/>
      <c r="D37" s="110"/>
      <c r="E37" s="110"/>
      <c r="F37" s="110"/>
      <c r="G37" s="103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08"/>
      <c r="U37" s="110"/>
      <c r="V37" s="110"/>
      <c r="W37" s="120"/>
      <c r="X37" s="67"/>
      <c r="Y37" s="67"/>
      <c r="Z37" s="67"/>
      <c r="AA37" s="67"/>
      <c r="AB37" s="67"/>
      <c r="AC37" s="67"/>
      <c r="AD37" s="67"/>
    </row>
    <row r="38" spans="1:30" ht="14.25" customHeight="1" x14ac:dyDescent="0.35">
      <c r="A38" s="211"/>
      <c r="B38" s="208"/>
      <c r="C38" s="129"/>
      <c r="D38" s="96"/>
      <c r="E38" s="96"/>
      <c r="F38" s="96"/>
      <c r="G38" s="97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112"/>
      <c r="U38" s="96"/>
      <c r="V38" s="96"/>
      <c r="W38" s="98"/>
      <c r="X38" s="67"/>
      <c r="Y38" s="67"/>
      <c r="Z38" s="67"/>
      <c r="AA38" s="67"/>
      <c r="AB38" s="67"/>
      <c r="AC38" s="67"/>
      <c r="AD38" s="67"/>
    </row>
    <row r="39" spans="1:30" ht="14.25" customHeight="1" x14ac:dyDescent="0.35">
      <c r="A39" s="211"/>
      <c r="B39" s="209">
        <f>Neu!B22</f>
        <v>0</v>
      </c>
      <c r="C39" s="106"/>
      <c r="D39" s="110"/>
      <c r="E39" s="110"/>
      <c r="F39" s="110"/>
      <c r="G39" s="103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08"/>
      <c r="V39" s="110"/>
      <c r="W39" s="120"/>
      <c r="X39" s="67"/>
      <c r="Y39" s="67"/>
      <c r="Z39" s="67"/>
      <c r="AA39" s="67"/>
      <c r="AB39" s="67"/>
      <c r="AC39" s="67"/>
      <c r="AD39" s="67"/>
    </row>
    <row r="40" spans="1:30" ht="14.25" customHeight="1" x14ac:dyDescent="0.35">
      <c r="A40" s="211"/>
      <c r="B40" s="208"/>
      <c r="C40" s="129"/>
      <c r="D40" s="96"/>
      <c r="E40" s="96"/>
      <c r="F40" s="96"/>
      <c r="G40" s="97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112"/>
      <c r="V40" s="96"/>
      <c r="W40" s="98"/>
      <c r="X40" s="67"/>
      <c r="Y40" s="67"/>
      <c r="Z40" s="67"/>
      <c r="AA40" s="67"/>
      <c r="AB40" s="67"/>
      <c r="AC40" s="67"/>
      <c r="AD40" s="67"/>
    </row>
    <row r="41" spans="1:30" ht="14.25" customHeight="1" x14ac:dyDescent="0.35">
      <c r="A41" s="211"/>
      <c r="B41" s="209">
        <f>Neu!B23</f>
        <v>0</v>
      </c>
      <c r="C41" s="106"/>
      <c r="D41" s="110"/>
      <c r="E41" s="110"/>
      <c r="F41" s="110"/>
      <c r="G41" s="103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08"/>
      <c r="W41" s="120"/>
      <c r="X41" s="67"/>
      <c r="Y41" s="67"/>
      <c r="Z41" s="67"/>
      <c r="AA41" s="67"/>
      <c r="AB41" s="67"/>
      <c r="AC41" s="67"/>
      <c r="AD41" s="67"/>
    </row>
    <row r="42" spans="1:30" ht="14.25" customHeight="1" x14ac:dyDescent="0.35">
      <c r="A42" s="211"/>
      <c r="B42" s="208"/>
      <c r="C42" s="129"/>
      <c r="D42" s="96"/>
      <c r="E42" s="96"/>
      <c r="F42" s="96"/>
      <c r="G42" s="97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112"/>
      <c r="W42" s="98"/>
      <c r="X42" s="67"/>
      <c r="Y42" s="67"/>
      <c r="Z42" s="67"/>
      <c r="AA42" s="67"/>
      <c r="AB42" s="67"/>
      <c r="AC42" s="67"/>
      <c r="AD42" s="67"/>
    </row>
    <row r="43" spans="1:30" ht="14.25" customHeight="1" x14ac:dyDescent="0.35">
      <c r="A43" s="211"/>
      <c r="B43" s="209">
        <f>Neu!B24</f>
        <v>0</v>
      </c>
      <c r="C43" s="106"/>
      <c r="D43" s="110"/>
      <c r="E43" s="110"/>
      <c r="F43" s="110"/>
      <c r="G43" s="103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23"/>
      <c r="X43" s="67"/>
      <c r="Y43" s="67"/>
      <c r="Z43" s="67"/>
      <c r="AA43" s="67"/>
      <c r="AB43" s="67"/>
      <c r="AC43" s="67"/>
      <c r="AD43" s="67"/>
    </row>
    <row r="44" spans="1:30" ht="14.25" customHeight="1" thickBot="1" x14ac:dyDescent="0.4">
      <c r="A44" s="107"/>
      <c r="B44" s="212"/>
      <c r="C44" s="133"/>
      <c r="D44" s="125"/>
      <c r="E44" s="125"/>
      <c r="F44" s="125"/>
      <c r="G44" s="126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7"/>
      <c r="X44" s="67"/>
      <c r="Y44" s="67"/>
      <c r="Z44" s="67"/>
      <c r="AA44" s="67"/>
      <c r="AB44" s="67"/>
      <c r="AC44" s="67"/>
      <c r="AD44" s="67"/>
    </row>
    <row r="45" spans="1:30" x14ac:dyDescent="0.35"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</row>
    <row r="46" spans="1:30" x14ac:dyDescent="0.35"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</row>
    <row r="47" spans="1:30" x14ac:dyDescent="0.35"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</row>
    <row r="48" spans="1:30" x14ac:dyDescent="0.35"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</row>
    <row r="49" spans="3:30" x14ac:dyDescent="0.35"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</row>
    <row r="50" spans="3:30" x14ac:dyDescent="0.35"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</row>
    <row r="51" spans="3:30" x14ac:dyDescent="0.35"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</row>
    <row r="52" spans="3:30" x14ac:dyDescent="0.35"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</row>
    <row r="53" spans="3:30" x14ac:dyDescent="0.35"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</row>
    <row r="54" spans="3:30" x14ac:dyDescent="0.35"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</row>
    <row r="55" spans="3:30" x14ac:dyDescent="0.35"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</row>
    <row r="56" spans="3:30" x14ac:dyDescent="0.35"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</row>
    <row r="57" spans="3:30" x14ac:dyDescent="0.35"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</row>
    <row r="58" spans="3:30" x14ac:dyDescent="0.35"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</row>
    <row r="59" spans="3:30" x14ac:dyDescent="0.35"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</row>
    <row r="60" spans="3:30" x14ac:dyDescent="0.35"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</row>
    <row r="61" spans="3:30" x14ac:dyDescent="0.35"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</row>
    <row r="62" spans="3:30" x14ac:dyDescent="0.35"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</row>
    <row r="63" spans="3:30" x14ac:dyDescent="0.35"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</row>
    <row r="64" spans="3:30" x14ac:dyDescent="0.35"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</row>
    <row r="65" spans="3:30" x14ac:dyDescent="0.35"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</row>
    <row r="66" spans="3:30" x14ac:dyDescent="0.35"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</row>
    <row r="67" spans="3:30" x14ac:dyDescent="0.35"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</row>
    <row r="68" spans="3:30" x14ac:dyDescent="0.35"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</row>
    <row r="69" spans="3:30" x14ac:dyDescent="0.35"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</row>
    <row r="70" spans="3:30" x14ac:dyDescent="0.35"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</row>
    <row r="71" spans="3:30" x14ac:dyDescent="0.35"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</row>
    <row r="72" spans="3:30" x14ac:dyDescent="0.35"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</row>
    <row r="73" spans="3:30" x14ac:dyDescent="0.35"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</row>
    <row r="74" spans="3:30" x14ac:dyDescent="0.35"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</row>
    <row r="75" spans="3:30" x14ac:dyDescent="0.35"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</row>
    <row r="76" spans="3:30" x14ac:dyDescent="0.35"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</row>
  </sheetData>
  <mergeCells count="24">
    <mergeCell ref="B39:B40"/>
    <mergeCell ref="B41:B42"/>
    <mergeCell ref="B43:B44"/>
    <mergeCell ref="B29:B30"/>
    <mergeCell ref="B31:B32"/>
    <mergeCell ref="B33:B34"/>
    <mergeCell ref="B35:B36"/>
    <mergeCell ref="B37:B38"/>
    <mergeCell ref="B3:B4"/>
    <mergeCell ref="A1:B2"/>
    <mergeCell ref="A3:A43"/>
    <mergeCell ref="C1:W1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</mergeCells>
  <conditionalFormatting sqref="B3 B5 B7 B9 B11 B13 B15 B17 B19 B21 B23 B25 B27 B29 B31 B33 B35 B37 B39 B41 B43">
    <cfRule type="cellIs" dxfId="8" priority="12" operator="equal">
      <formula>0</formula>
    </cfRule>
  </conditionalFormatting>
  <conditionalFormatting sqref="C2:W2">
    <cfRule type="cellIs" dxfId="7" priority="13" operator="equal">
      <formula>0</formula>
    </cfRule>
  </conditionalFormatting>
  <conditionalFormatting sqref="C3:W44">
    <cfRule type="colorScale" priority="6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conditionalFormatting sqref="Y1:Y2 Y4:Y36">
    <cfRule type="cellIs" dxfId="6" priority="1" operator="lessThan">
      <formula>-100</formula>
    </cfRule>
  </conditionalFormatting>
  <conditionalFormatting sqref="Y1:Y44">
    <cfRule type="colorScale" priority="5">
      <colorScale>
        <cfvo type="num" val="MIN($C$3:$W$44)"/>
        <cfvo type="num" val="MAX($C$3:$W$44)"/>
        <color rgb="FFFCFCFF"/>
        <color rgb="FFF8696B"/>
      </colorScale>
    </cfRule>
  </conditionalFormatting>
  <conditionalFormatting sqref="Y1:Y1048576">
    <cfRule type="colorScale" priority="4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L229"/>
  <sheetViews>
    <sheetView topLeftCell="B17" zoomScale="88" zoomScaleNormal="115" workbookViewId="0">
      <selection activeCell="AA6" sqref="AA6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26" width="5.7265625" style="1" customWidth="1"/>
    <col min="27" max="27" width="7.1796875" style="9" customWidth="1"/>
    <col min="28" max="28" width="7.453125" style="12" customWidth="1"/>
    <col min="29" max="29" width="6.54296875" style="9" customWidth="1"/>
    <col min="30" max="30" width="5.7265625" style="11" customWidth="1"/>
    <col min="31" max="31" width="5.7265625" style="13" customWidth="1"/>
    <col min="32" max="33" width="5.7265625" style="10" customWidth="1"/>
    <col min="34" max="34" width="5.7265625" style="11" customWidth="1"/>
    <col min="35" max="35" width="5.81640625" style="70" customWidth="1"/>
    <col min="36" max="36" width="7.453125" style="70" customWidth="1"/>
    <col min="37" max="16384" width="9.1796875" style="1"/>
  </cols>
  <sheetData>
    <row r="1" spans="1:38" ht="15" thickBot="1" x14ac:dyDescent="0.4">
      <c r="A1" s="210"/>
      <c r="B1" s="210"/>
      <c r="C1" s="210" t="s">
        <v>4</v>
      </c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AA1" s="214" t="s">
        <v>149</v>
      </c>
      <c r="AB1" s="215"/>
      <c r="AC1" s="69" t="s">
        <v>147</v>
      </c>
      <c r="AD1" s="4"/>
      <c r="AE1" s="213" t="s">
        <v>163</v>
      </c>
      <c r="AF1" s="213"/>
      <c r="AG1" s="213"/>
      <c r="AH1" s="213"/>
      <c r="AI1" s="213" t="s">
        <v>148</v>
      </c>
      <c r="AJ1" s="213"/>
    </row>
    <row r="2" spans="1:38" ht="15" thickBot="1" x14ac:dyDescent="0.4">
      <c r="A2" s="210"/>
      <c r="B2" s="210"/>
      <c r="C2" s="128" t="str">
        <f>Neu!$B4</f>
        <v>A</v>
      </c>
      <c r="D2" s="99" t="str">
        <f>Neu!$B5</f>
        <v>B</v>
      </c>
      <c r="E2" s="99" t="str">
        <f>Neu!$B6</f>
        <v>C</v>
      </c>
      <c r="F2" s="99">
        <f>Neu!$B7</f>
        <v>0</v>
      </c>
      <c r="G2" s="99">
        <f>Neu!$B8</f>
        <v>0</v>
      </c>
      <c r="H2" s="99">
        <f>Neu!$B9</f>
        <v>0</v>
      </c>
      <c r="I2" s="99">
        <f>Neu!$B10</f>
        <v>0</v>
      </c>
      <c r="J2" s="99">
        <f>Neu!$B11</f>
        <v>0</v>
      </c>
      <c r="K2" s="99">
        <f>Neu!$B12</f>
        <v>0</v>
      </c>
      <c r="L2" s="99">
        <f>Neu!$B13</f>
        <v>0</v>
      </c>
      <c r="M2" s="99">
        <f>Neu!$B14</f>
        <v>0</v>
      </c>
      <c r="N2" s="99">
        <f>Neu!$B15</f>
        <v>0</v>
      </c>
      <c r="O2" s="99">
        <f>Neu!$B16</f>
        <v>0</v>
      </c>
      <c r="P2" s="99">
        <f>Neu!$B17</f>
        <v>0</v>
      </c>
      <c r="Q2" s="99">
        <f>Neu!$B18</f>
        <v>0</v>
      </c>
      <c r="R2" s="99">
        <f>Neu!$B19</f>
        <v>0</v>
      </c>
      <c r="S2" s="99">
        <f>Neu!$B20</f>
        <v>0</v>
      </c>
      <c r="T2" s="99">
        <f>Neu!$B21</f>
        <v>0</v>
      </c>
      <c r="U2" s="99">
        <f>Neu!$B22</f>
        <v>0</v>
      </c>
      <c r="V2" s="99">
        <f>Neu!$B23</f>
        <v>0</v>
      </c>
      <c r="W2" s="100">
        <f>Neu!$B24</f>
        <v>0</v>
      </c>
      <c r="AA2" s="4" t="s">
        <v>6</v>
      </c>
      <c r="AB2" s="4" t="s">
        <v>7</v>
      </c>
      <c r="AC2" s="4" t="s">
        <v>12</v>
      </c>
      <c r="AD2" s="4" t="s">
        <v>13</v>
      </c>
      <c r="AE2" s="4" t="s">
        <v>8</v>
      </c>
      <c r="AF2" s="4" t="s">
        <v>9</v>
      </c>
      <c r="AG2" s="4" t="s">
        <v>10</v>
      </c>
      <c r="AH2" s="4" t="s">
        <v>11</v>
      </c>
      <c r="AI2" s="4" t="s">
        <v>103</v>
      </c>
      <c r="AJ2" s="66" t="s">
        <v>150</v>
      </c>
    </row>
    <row r="3" spans="1:38" ht="14.25" customHeight="1" x14ac:dyDescent="0.35">
      <c r="A3" s="211" t="s">
        <v>5</v>
      </c>
      <c r="B3" s="207" t="str">
        <f>Neu!B4</f>
        <v>A</v>
      </c>
      <c r="C3" s="113"/>
      <c r="D3" s="114">
        <v>1</v>
      </c>
      <c r="E3" s="114">
        <v>3</v>
      </c>
      <c r="F3" s="115"/>
      <c r="G3" s="114"/>
      <c r="H3" s="114"/>
      <c r="I3" s="114"/>
      <c r="J3" s="114"/>
      <c r="K3" s="115"/>
      <c r="L3" s="114"/>
      <c r="M3" s="114"/>
      <c r="N3" s="114"/>
      <c r="O3" s="114"/>
      <c r="P3" s="115"/>
      <c r="Q3" s="114"/>
      <c r="R3" s="114"/>
      <c r="S3" s="114"/>
      <c r="T3" s="114"/>
      <c r="U3" s="114"/>
      <c r="V3" s="114"/>
      <c r="W3" s="116"/>
      <c r="X3" s="68" t="s">
        <v>164</v>
      </c>
      <c r="Y3" s="1">
        <f>COUNTIF($C$3:$W$44,ROW(Z3)-2)</f>
        <v>1</v>
      </c>
      <c r="Z3" s="1">
        <f t="shared" ref="Z3:Z17" si="0">IF(ROW(AA3)-2&lt;=MAX($C$3:$W$44),ROW(AA3)-2,"")</f>
        <v>1</v>
      </c>
      <c r="AA3" s="25">
        <v>0.05</v>
      </c>
      <c r="AB3" s="26"/>
      <c r="AC3" s="25"/>
      <c r="AD3" s="27"/>
      <c r="AE3" s="28"/>
      <c r="AF3" s="29"/>
      <c r="AG3" s="29"/>
      <c r="AH3" s="27"/>
      <c r="AK3" s="68"/>
    </row>
    <row r="4" spans="1:38" ht="14.25" customHeight="1" x14ac:dyDescent="0.35">
      <c r="A4" s="211"/>
      <c r="B4" s="208"/>
      <c r="C4" s="117"/>
      <c r="D4" s="111"/>
      <c r="E4" s="111"/>
      <c r="F4" s="102"/>
      <c r="G4" s="111"/>
      <c r="H4" s="111"/>
      <c r="I4" s="111"/>
      <c r="J4" s="111"/>
      <c r="K4" s="102"/>
      <c r="L4" s="111"/>
      <c r="M4" s="111"/>
      <c r="N4" s="111"/>
      <c r="O4" s="111"/>
      <c r="P4" s="102"/>
      <c r="Q4" s="111"/>
      <c r="R4" s="111"/>
      <c r="S4" s="111"/>
      <c r="T4" s="111"/>
      <c r="U4" s="111"/>
      <c r="V4" s="111"/>
      <c r="W4" s="118"/>
      <c r="X4" s="68" t="s">
        <v>165</v>
      </c>
      <c r="Y4" s="1">
        <f t="shared" ref="Y4:Y43" si="1">COUNTIF($C$3:$W$44,ROW(Z4)-2)</f>
        <v>1</v>
      </c>
      <c r="Z4" s="1">
        <f t="shared" si="0"/>
        <v>2</v>
      </c>
      <c r="AA4" s="9">
        <v>0.05</v>
      </c>
      <c r="AK4" s="68"/>
    </row>
    <row r="5" spans="1:38" ht="14.25" customHeight="1" x14ac:dyDescent="0.35">
      <c r="A5" s="211"/>
      <c r="B5" s="209" t="str">
        <f>Neu!B5</f>
        <v>B</v>
      </c>
      <c r="C5" s="119">
        <v>2</v>
      </c>
      <c r="D5" s="108"/>
      <c r="E5" s="110"/>
      <c r="F5" s="103"/>
      <c r="G5" s="110"/>
      <c r="H5" s="110"/>
      <c r="I5" s="110"/>
      <c r="J5" s="110"/>
      <c r="K5" s="103"/>
      <c r="L5" s="110"/>
      <c r="M5" s="110"/>
      <c r="N5" s="110"/>
      <c r="O5" s="110"/>
      <c r="P5" s="103"/>
      <c r="Q5" s="110"/>
      <c r="R5" s="110"/>
      <c r="S5" s="110"/>
      <c r="T5" s="110"/>
      <c r="U5" s="110"/>
      <c r="V5" s="110"/>
      <c r="W5" s="120"/>
      <c r="Y5" s="1">
        <f t="shared" si="1"/>
        <v>1</v>
      </c>
      <c r="Z5" s="1">
        <f>IF(ROW(AA5)-2&lt;=MAX($C$3:$W$44),ROW(AA5)-2,"")</f>
        <v>3</v>
      </c>
      <c r="AA5" s="9">
        <v>0.05</v>
      </c>
      <c r="AE5" s="13">
        <v>-50</v>
      </c>
      <c r="AF5" s="10">
        <v>15</v>
      </c>
      <c r="AG5" s="10">
        <v>1</v>
      </c>
    </row>
    <row r="6" spans="1:38" ht="14.25" customHeight="1" x14ac:dyDescent="0.35">
      <c r="A6" s="211"/>
      <c r="B6" s="208"/>
      <c r="C6" s="121"/>
      <c r="D6" s="112"/>
      <c r="E6" s="96"/>
      <c r="F6" s="97"/>
      <c r="G6" s="96"/>
      <c r="H6" s="96"/>
      <c r="I6" s="96"/>
      <c r="J6" s="96"/>
      <c r="K6" s="97"/>
      <c r="L6" s="96"/>
      <c r="M6" s="96"/>
      <c r="N6" s="96"/>
      <c r="O6" s="96"/>
      <c r="P6" s="97"/>
      <c r="Q6" s="96"/>
      <c r="R6" s="96"/>
      <c r="S6" s="96"/>
      <c r="T6" s="96"/>
      <c r="U6" s="96"/>
      <c r="V6" s="96"/>
      <c r="W6" s="98"/>
      <c r="Y6" s="1">
        <f t="shared" si="1"/>
        <v>1</v>
      </c>
      <c r="Z6" s="1">
        <f>IF(ROW(AA6)-2&lt;=MAX($C$3:$W$44),ROW(AA6)-2,"")</f>
        <v>4</v>
      </c>
      <c r="AA6" s="9">
        <v>0.05</v>
      </c>
    </row>
    <row r="7" spans="1:38" ht="14.25" customHeight="1" x14ac:dyDescent="0.35">
      <c r="A7" s="211"/>
      <c r="B7" s="209" t="str">
        <f>Neu!B6</f>
        <v>C</v>
      </c>
      <c r="C7" s="119">
        <v>4</v>
      </c>
      <c r="D7" s="110"/>
      <c r="E7" s="108"/>
      <c r="F7" s="103"/>
      <c r="G7" s="110"/>
      <c r="H7" s="110"/>
      <c r="I7" s="110"/>
      <c r="J7" s="110"/>
      <c r="K7" s="103"/>
      <c r="L7" s="110"/>
      <c r="M7" s="110"/>
      <c r="N7" s="110"/>
      <c r="O7" s="110"/>
      <c r="P7" s="103"/>
      <c r="Q7" s="110"/>
      <c r="R7" s="110"/>
      <c r="S7" s="110"/>
      <c r="T7" s="110"/>
      <c r="U7" s="110"/>
      <c r="V7" s="110"/>
      <c r="W7" s="120"/>
      <c r="Y7" s="1">
        <f t="shared" si="1"/>
        <v>0</v>
      </c>
      <c r="Z7" s="1" t="str">
        <f>IF(ROW(AA7)-2&lt;=MAX($C$3:$W$44),ROW(AA7)-2,"")</f>
        <v/>
      </c>
    </row>
    <row r="8" spans="1:38" ht="14.25" customHeight="1" x14ac:dyDescent="0.35">
      <c r="A8" s="211"/>
      <c r="B8" s="208"/>
      <c r="C8" s="121"/>
      <c r="D8" s="96"/>
      <c r="E8" s="112"/>
      <c r="F8" s="97"/>
      <c r="G8" s="96"/>
      <c r="H8" s="96"/>
      <c r="I8" s="96"/>
      <c r="J8" s="96"/>
      <c r="K8" s="97"/>
      <c r="L8" s="96"/>
      <c r="M8" s="96"/>
      <c r="N8" s="96"/>
      <c r="O8" s="96"/>
      <c r="P8" s="97"/>
      <c r="Q8" s="96"/>
      <c r="R8" s="96"/>
      <c r="S8" s="96"/>
      <c r="T8" s="96"/>
      <c r="U8" s="96"/>
      <c r="V8" s="96"/>
      <c r="W8" s="98"/>
      <c r="Y8" s="1">
        <f t="shared" si="1"/>
        <v>0</v>
      </c>
      <c r="Z8" s="1" t="str">
        <f>IF(ROW(AA8)-2&lt;=MAX($C$3:$W$44),ROW(AA8)-2,"")</f>
        <v/>
      </c>
    </row>
    <row r="9" spans="1:38" ht="14.25" customHeight="1" x14ac:dyDescent="0.35">
      <c r="A9" s="211"/>
      <c r="B9" s="209">
        <f>Neu!B7</f>
        <v>0</v>
      </c>
      <c r="C9" s="119"/>
      <c r="D9" s="110"/>
      <c r="E9" s="110"/>
      <c r="F9" s="101"/>
      <c r="G9" s="110"/>
      <c r="H9" s="110"/>
      <c r="I9" s="110"/>
      <c r="J9" s="110"/>
      <c r="K9" s="103"/>
      <c r="L9" s="110"/>
      <c r="M9" s="110"/>
      <c r="N9" s="110"/>
      <c r="O9" s="110"/>
      <c r="P9" s="103"/>
      <c r="Q9" s="110"/>
      <c r="R9" s="110"/>
      <c r="S9" s="110"/>
      <c r="T9" s="110"/>
      <c r="U9" s="110"/>
      <c r="V9" s="110"/>
      <c r="W9" s="120"/>
      <c r="Y9" s="1">
        <f t="shared" si="1"/>
        <v>0</v>
      </c>
      <c r="Z9" s="1" t="str">
        <f t="shared" si="0"/>
        <v/>
      </c>
      <c r="AK9" s="68" t="s">
        <v>161</v>
      </c>
    </row>
    <row r="10" spans="1:38" ht="14.25" customHeight="1" x14ac:dyDescent="0.35">
      <c r="A10" s="211"/>
      <c r="B10" s="208"/>
      <c r="C10" s="121"/>
      <c r="D10" s="96"/>
      <c r="E10" s="96"/>
      <c r="F10" s="105"/>
      <c r="G10" s="96"/>
      <c r="H10" s="96"/>
      <c r="I10" s="96"/>
      <c r="J10" s="96"/>
      <c r="K10" s="97"/>
      <c r="L10" s="96"/>
      <c r="M10" s="96"/>
      <c r="N10" s="96"/>
      <c r="O10" s="96"/>
      <c r="P10" s="97"/>
      <c r="Q10" s="96"/>
      <c r="R10" s="96"/>
      <c r="S10" s="96"/>
      <c r="T10" s="96"/>
      <c r="U10" s="96"/>
      <c r="V10" s="96"/>
      <c r="W10" s="98"/>
      <c r="Y10" s="1">
        <f t="shared" si="1"/>
        <v>0</v>
      </c>
      <c r="Z10" s="1" t="str">
        <f t="shared" si="0"/>
        <v/>
      </c>
      <c r="AL10" s="68"/>
    </row>
    <row r="11" spans="1:38" ht="14.25" customHeight="1" x14ac:dyDescent="0.35">
      <c r="A11" s="211"/>
      <c r="B11" s="209">
        <f>Neu!B8</f>
        <v>0</v>
      </c>
      <c r="C11" s="119"/>
      <c r="D11" s="110"/>
      <c r="E11" s="110"/>
      <c r="F11" s="103"/>
      <c r="G11" s="108"/>
      <c r="H11" s="110"/>
      <c r="I11" s="110"/>
      <c r="J11" s="110"/>
      <c r="K11" s="103"/>
      <c r="L11" s="110"/>
      <c r="M11" s="110"/>
      <c r="N11" s="110"/>
      <c r="O11" s="110"/>
      <c r="P11" s="103"/>
      <c r="Q11" s="110"/>
      <c r="R11" s="110"/>
      <c r="S11" s="110"/>
      <c r="T11" s="110"/>
      <c r="U11" s="110"/>
      <c r="V11" s="110"/>
      <c r="W11" s="120"/>
      <c r="Y11" s="1">
        <f t="shared" si="1"/>
        <v>0</v>
      </c>
      <c r="Z11" s="1" t="str">
        <f t="shared" si="0"/>
        <v/>
      </c>
    </row>
    <row r="12" spans="1:38" ht="14.25" customHeight="1" x14ac:dyDescent="0.35">
      <c r="A12" s="211"/>
      <c r="B12" s="208"/>
      <c r="C12" s="121"/>
      <c r="D12" s="96"/>
      <c r="E12" s="96"/>
      <c r="F12" s="97"/>
      <c r="G12" s="112"/>
      <c r="H12" s="96"/>
      <c r="I12" s="96"/>
      <c r="J12" s="96"/>
      <c r="K12" s="97"/>
      <c r="L12" s="96"/>
      <c r="M12" s="96"/>
      <c r="N12" s="96"/>
      <c r="O12" s="96"/>
      <c r="P12" s="97"/>
      <c r="Q12" s="96"/>
      <c r="R12" s="96"/>
      <c r="S12" s="96"/>
      <c r="T12" s="96"/>
      <c r="U12" s="96"/>
      <c r="V12" s="96"/>
      <c r="W12" s="98"/>
      <c r="Y12" s="1">
        <f t="shared" si="1"/>
        <v>0</v>
      </c>
      <c r="Z12" s="1" t="str">
        <f t="shared" si="0"/>
        <v/>
      </c>
    </row>
    <row r="13" spans="1:38" ht="14.25" customHeight="1" x14ac:dyDescent="0.35">
      <c r="A13" s="211"/>
      <c r="B13" s="209">
        <f>Neu!B9</f>
        <v>0</v>
      </c>
      <c r="C13" s="119"/>
      <c r="D13" s="110"/>
      <c r="E13" s="110"/>
      <c r="F13" s="103"/>
      <c r="G13" s="110"/>
      <c r="H13" s="108"/>
      <c r="I13" s="110"/>
      <c r="J13" s="110"/>
      <c r="K13" s="103"/>
      <c r="L13" s="110"/>
      <c r="M13" s="110"/>
      <c r="N13" s="110"/>
      <c r="O13" s="110"/>
      <c r="P13" s="103"/>
      <c r="Q13" s="110"/>
      <c r="R13" s="110"/>
      <c r="S13" s="110"/>
      <c r="T13" s="110"/>
      <c r="U13" s="110"/>
      <c r="V13" s="110"/>
      <c r="W13" s="120"/>
      <c r="Y13" s="1">
        <f t="shared" si="1"/>
        <v>0</v>
      </c>
      <c r="Z13" s="1" t="str">
        <f t="shared" si="0"/>
        <v/>
      </c>
      <c r="AK13" s="138" t="s">
        <v>166</v>
      </c>
    </row>
    <row r="14" spans="1:38" ht="14.25" customHeight="1" x14ac:dyDescent="0.35">
      <c r="A14" s="211"/>
      <c r="B14" s="208"/>
      <c r="C14" s="121"/>
      <c r="D14" s="96"/>
      <c r="E14" s="96"/>
      <c r="F14" s="97"/>
      <c r="G14" s="96"/>
      <c r="H14" s="112"/>
      <c r="I14" s="96"/>
      <c r="J14" s="96"/>
      <c r="K14" s="97"/>
      <c r="L14" s="96"/>
      <c r="M14" s="96"/>
      <c r="N14" s="96"/>
      <c r="O14" s="96"/>
      <c r="P14" s="97"/>
      <c r="Q14" s="96"/>
      <c r="R14" s="96"/>
      <c r="S14" s="96"/>
      <c r="T14" s="96"/>
      <c r="U14" s="96"/>
      <c r="V14" s="96"/>
      <c r="W14" s="98"/>
      <c r="Y14" s="1">
        <f t="shared" si="1"/>
        <v>0</v>
      </c>
      <c r="Z14" s="1" t="str">
        <f t="shared" si="0"/>
        <v/>
      </c>
    </row>
    <row r="15" spans="1:38" ht="14.25" customHeight="1" x14ac:dyDescent="0.35">
      <c r="A15" s="211"/>
      <c r="B15" s="209">
        <f>Neu!B10</f>
        <v>0</v>
      </c>
      <c r="C15" s="119"/>
      <c r="D15" s="110"/>
      <c r="E15" s="110"/>
      <c r="F15" s="103"/>
      <c r="G15" s="110"/>
      <c r="H15" s="110"/>
      <c r="I15" s="108"/>
      <c r="J15" s="110"/>
      <c r="K15" s="103"/>
      <c r="L15" s="110"/>
      <c r="M15" s="110"/>
      <c r="N15" s="110"/>
      <c r="O15" s="110"/>
      <c r="P15" s="103"/>
      <c r="Q15" s="110"/>
      <c r="R15" s="110"/>
      <c r="S15" s="110"/>
      <c r="T15" s="110"/>
      <c r="U15" s="110"/>
      <c r="V15" s="110"/>
      <c r="W15" s="120"/>
      <c r="Y15" s="1">
        <f t="shared" si="1"/>
        <v>0</v>
      </c>
      <c r="Z15" s="1" t="str">
        <f t="shared" si="0"/>
        <v/>
      </c>
    </row>
    <row r="16" spans="1:38" ht="14.25" customHeight="1" x14ac:dyDescent="0.35">
      <c r="A16" s="211"/>
      <c r="B16" s="208"/>
      <c r="C16" s="122"/>
      <c r="D16" s="111"/>
      <c r="E16" s="111"/>
      <c r="F16" s="102"/>
      <c r="G16" s="111"/>
      <c r="H16" s="111"/>
      <c r="I16" s="109"/>
      <c r="J16" s="111"/>
      <c r="K16" s="102"/>
      <c r="L16" s="111"/>
      <c r="M16" s="111"/>
      <c r="N16" s="111"/>
      <c r="O16" s="111"/>
      <c r="P16" s="102"/>
      <c r="Q16" s="111"/>
      <c r="R16" s="111"/>
      <c r="S16" s="111"/>
      <c r="T16" s="111"/>
      <c r="U16" s="111"/>
      <c r="V16" s="111"/>
      <c r="W16" s="118"/>
      <c r="Y16" s="1">
        <f t="shared" si="1"/>
        <v>0</v>
      </c>
      <c r="Z16" s="1" t="str">
        <f t="shared" si="0"/>
        <v/>
      </c>
    </row>
    <row r="17" spans="1:26" ht="14.25" customHeight="1" x14ac:dyDescent="0.35">
      <c r="A17" s="211"/>
      <c r="B17" s="209">
        <f>Neu!B11</f>
        <v>0</v>
      </c>
      <c r="C17" s="119"/>
      <c r="D17" s="110"/>
      <c r="E17" s="110"/>
      <c r="F17" s="103"/>
      <c r="G17" s="110"/>
      <c r="H17" s="110"/>
      <c r="I17" s="110"/>
      <c r="J17" s="108"/>
      <c r="K17" s="103"/>
      <c r="L17" s="110"/>
      <c r="M17" s="110"/>
      <c r="N17" s="110"/>
      <c r="O17" s="110"/>
      <c r="P17" s="103"/>
      <c r="Q17" s="110"/>
      <c r="R17" s="110"/>
      <c r="S17" s="110"/>
      <c r="T17" s="110"/>
      <c r="U17" s="110"/>
      <c r="V17" s="110"/>
      <c r="W17" s="120"/>
      <c r="Y17" s="1">
        <f t="shared" si="1"/>
        <v>0</v>
      </c>
      <c r="Z17" s="1" t="str">
        <f t="shared" si="0"/>
        <v/>
      </c>
    </row>
    <row r="18" spans="1:26" ht="14.25" customHeight="1" x14ac:dyDescent="0.35">
      <c r="A18" s="211"/>
      <c r="B18" s="208"/>
      <c r="C18" s="121"/>
      <c r="D18" s="96"/>
      <c r="E18" s="96"/>
      <c r="F18" s="97"/>
      <c r="G18" s="96"/>
      <c r="H18" s="96"/>
      <c r="I18" s="96"/>
      <c r="J18" s="112"/>
      <c r="K18" s="97"/>
      <c r="L18" s="96"/>
      <c r="M18" s="96"/>
      <c r="N18" s="96"/>
      <c r="O18" s="96"/>
      <c r="P18" s="97"/>
      <c r="Q18" s="96"/>
      <c r="R18" s="96"/>
      <c r="S18" s="96"/>
      <c r="T18" s="96"/>
      <c r="U18" s="96"/>
      <c r="V18" s="96"/>
      <c r="W18" s="98"/>
      <c r="Y18" s="1">
        <f t="shared" si="1"/>
        <v>0</v>
      </c>
      <c r="Z18" s="1" t="str">
        <f>IF(ROW(AA18)-2&lt;=MAX($C$3:$W$44),ROW(AA18)-2,"")</f>
        <v/>
      </c>
    </row>
    <row r="19" spans="1:26" ht="14.25" customHeight="1" x14ac:dyDescent="0.35">
      <c r="A19" s="211"/>
      <c r="B19" s="209">
        <f>Neu!B12</f>
        <v>0</v>
      </c>
      <c r="C19" s="119"/>
      <c r="D19" s="110"/>
      <c r="E19" s="110"/>
      <c r="F19" s="103"/>
      <c r="G19" s="110"/>
      <c r="H19" s="110"/>
      <c r="I19" s="110"/>
      <c r="J19" s="110"/>
      <c r="K19" s="101"/>
      <c r="L19" s="110"/>
      <c r="M19" s="110"/>
      <c r="N19" s="110"/>
      <c r="O19" s="110"/>
      <c r="P19" s="103"/>
      <c r="Q19" s="110"/>
      <c r="R19" s="110"/>
      <c r="S19" s="110"/>
      <c r="T19" s="110"/>
      <c r="U19" s="110"/>
      <c r="V19" s="110"/>
      <c r="W19" s="120"/>
      <c r="Y19" s="1">
        <f t="shared" si="1"/>
        <v>0</v>
      </c>
      <c r="Z19" s="1" t="str">
        <f t="shared" ref="Z19:Z82" si="2">IF(ROW(AA19)-2&lt;=MAX($C$3:$W$44),ROW(AA19)-2,"")</f>
        <v/>
      </c>
    </row>
    <row r="20" spans="1:26" ht="14.25" customHeight="1" x14ac:dyDescent="0.35">
      <c r="A20" s="211"/>
      <c r="B20" s="208"/>
      <c r="C20" s="121"/>
      <c r="D20" s="96"/>
      <c r="E20" s="96"/>
      <c r="F20" s="97"/>
      <c r="G20" s="96"/>
      <c r="H20" s="96"/>
      <c r="I20" s="96"/>
      <c r="J20" s="96"/>
      <c r="K20" s="105"/>
      <c r="L20" s="96"/>
      <c r="M20" s="96"/>
      <c r="N20" s="96"/>
      <c r="O20" s="96"/>
      <c r="P20" s="97"/>
      <c r="Q20" s="96"/>
      <c r="R20" s="96"/>
      <c r="S20" s="96"/>
      <c r="T20" s="96"/>
      <c r="U20" s="96"/>
      <c r="V20" s="96"/>
      <c r="W20" s="98"/>
      <c r="Y20" s="1">
        <f t="shared" si="1"/>
        <v>0</v>
      </c>
      <c r="Z20" s="1" t="str">
        <f t="shared" si="2"/>
        <v/>
      </c>
    </row>
    <row r="21" spans="1:26" ht="14.25" customHeight="1" x14ac:dyDescent="0.35">
      <c r="A21" s="211"/>
      <c r="B21" s="209">
        <f>Neu!B13</f>
        <v>0</v>
      </c>
      <c r="C21" s="119"/>
      <c r="D21" s="110"/>
      <c r="E21" s="110"/>
      <c r="F21" s="103"/>
      <c r="G21" s="110"/>
      <c r="H21" s="110"/>
      <c r="I21" s="110"/>
      <c r="J21" s="110"/>
      <c r="K21" s="103"/>
      <c r="L21" s="108"/>
      <c r="M21" s="110"/>
      <c r="N21" s="110"/>
      <c r="O21" s="110"/>
      <c r="P21" s="103"/>
      <c r="Q21" s="110"/>
      <c r="R21" s="110"/>
      <c r="S21" s="110"/>
      <c r="T21" s="110"/>
      <c r="U21" s="110"/>
      <c r="V21" s="110"/>
      <c r="W21" s="120"/>
      <c r="Y21" s="1">
        <f t="shared" si="1"/>
        <v>0</v>
      </c>
      <c r="Z21" s="1" t="str">
        <f t="shared" si="2"/>
        <v/>
      </c>
    </row>
    <row r="22" spans="1:26" ht="14.25" customHeight="1" x14ac:dyDescent="0.35">
      <c r="A22" s="211"/>
      <c r="B22" s="208"/>
      <c r="C22" s="121"/>
      <c r="D22" s="96"/>
      <c r="E22" s="96"/>
      <c r="F22" s="97"/>
      <c r="G22" s="96"/>
      <c r="H22" s="96"/>
      <c r="I22" s="96"/>
      <c r="J22" s="96"/>
      <c r="K22" s="97"/>
      <c r="L22" s="112"/>
      <c r="M22" s="96"/>
      <c r="N22" s="96"/>
      <c r="O22" s="96"/>
      <c r="P22" s="97"/>
      <c r="Q22" s="96"/>
      <c r="R22" s="96"/>
      <c r="S22" s="96"/>
      <c r="T22" s="96"/>
      <c r="U22" s="96"/>
      <c r="V22" s="96"/>
      <c r="W22" s="98"/>
      <c r="Y22" s="1">
        <f t="shared" si="1"/>
        <v>0</v>
      </c>
      <c r="Z22" s="1" t="str">
        <f t="shared" si="2"/>
        <v/>
      </c>
    </row>
    <row r="23" spans="1:26" ht="14.25" customHeight="1" x14ac:dyDescent="0.35">
      <c r="A23" s="211"/>
      <c r="B23" s="209">
        <f>Neu!B14</f>
        <v>0</v>
      </c>
      <c r="C23" s="119"/>
      <c r="D23" s="110"/>
      <c r="E23" s="110"/>
      <c r="F23" s="103"/>
      <c r="G23" s="110"/>
      <c r="H23" s="110"/>
      <c r="I23" s="110"/>
      <c r="J23" s="110"/>
      <c r="K23" s="103"/>
      <c r="L23" s="110"/>
      <c r="M23" s="108"/>
      <c r="N23" s="110"/>
      <c r="O23" s="110"/>
      <c r="P23" s="103"/>
      <c r="Q23" s="110"/>
      <c r="R23" s="110"/>
      <c r="S23" s="110"/>
      <c r="T23" s="110"/>
      <c r="U23" s="110"/>
      <c r="V23" s="110"/>
      <c r="W23" s="120"/>
      <c r="Y23" s="1">
        <f t="shared" si="1"/>
        <v>0</v>
      </c>
      <c r="Z23" s="1" t="str">
        <f t="shared" si="2"/>
        <v/>
      </c>
    </row>
    <row r="24" spans="1:26" ht="14.25" customHeight="1" x14ac:dyDescent="0.35">
      <c r="A24" s="211"/>
      <c r="B24" s="208"/>
      <c r="C24" s="122"/>
      <c r="D24" s="111"/>
      <c r="E24" s="111"/>
      <c r="F24" s="102"/>
      <c r="G24" s="111"/>
      <c r="H24" s="111"/>
      <c r="I24" s="111"/>
      <c r="J24" s="111"/>
      <c r="K24" s="102"/>
      <c r="L24" s="111"/>
      <c r="M24" s="109"/>
      <c r="N24" s="111"/>
      <c r="O24" s="111"/>
      <c r="P24" s="102"/>
      <c r="Q24" s="111"/>
      <c r="R24" s="111"/>
      <c r="S24" s="111"/>
      <c r="T24" s="111"/>
      <c r="U24" s="111"/>
      <c r="V24" s="111"/>
      <c r="W24" s="118"/>
      <c r="Y24" s="1">
        <f t="shared" si="1"/>
        <v>0</v>
      </c>
      <c r="Z24" s="1" t="str">
        <f t="shared" si="2"/>
        <v/>
      </c>
    </row>
    <row r="25" spans="1:26" ht="14.25" customHeight="1" x14ac:dyDescent="0.35">
      <c r="A25" s="211"/>
      <c r="B25" s="209">
        <f>Neu!B15</f>
        <v>0</v>
      </c>
      <c r="C25" s="119"/>
      <c r="D25" s="110"/>
      <c r="E25" s="110"/>
      <c r="F25" s="103"/>
      <c r="G25" s="110"/>
      <c r="H25" s="110"/>
      <c r="I25" s="110"/>
      <c r="J25" s="110"/>
      <c r="K25" s="103"/>
      <c r="L25" s="110"/>
      <c r="M25" s="110"/>
      <c r="N25" s="108"/>
      <c r="O25" s="110"/>
      <c r="P25" s="103"/>
      <c r="Q25" s="110"/>
      <c r="R25" s="110"/>
      <c r="S25" s="110"/>
      <c r="T25" s="110"/>
      <c r="U25" s="110"/>
      <c r="V25" s="110"/>
      <c r="W25" s="120"/>
      <c r="Y25" s="1">
        <f t="shared" si="1"/>
        <v>0</v>
      </c>
      <c r="Z25" s="1" t="str">
        <f t="shared" si="2"/>
        <v/>
      </c>
    </row>
    <row r="26" spans="1:26" ht="14.25" customHeight="1" x14ac:dyDescent="0.35">
      <c r="A26" s="211"/>
      <c r="B26" s="208"/>
      <c r="C26" s="121"/>
      <c r="D26" s="96"/>
      <c r="E26" s="96"/>
      <c r="F26" s="97"/>
      <c r="G26" s="96"/>
      <c r="H26" s="96"/>
      <c r="I26" s="96"/>
      <c r="J26" s="96"/>
      <c r="K26" s="97"/>
      <c r="L26" s="96"/>
      <c r="M26" s="96"/>
      <c r="N26" s="112"/>
      <c r="O26" s="96"/>
      <c r="P26" s="97"/>
      <c r="Q26" s="96"/>
      <c r="R26" s="96"/>
      <c r="S26" s="96"/>
      <c r="T26" s="96"/>
      <c r="U26" s="96"/>
      <c r="V26" s="96"/>
      <c r="W26" s="98"/>
      <c r="Y26" s="1">
        <f t="shared" si="1"/>
        <v>0</v>
      </c>
      <c r="Z26" s="1" t="str">
        <f t="shared" si="2"/>
        <v/>
      </c>
    </row>
    <row r="27" spans="1:26" ht="14.25" customHeight="1" x14ac:dyDescent="0.35">
      <c r="A27" s="211"/>
      <c r="B27" s="209">
        <f>Neu!B16</f>
        <v>0</v>
      </c>
      <c r="C27" s="119"/>
      <c r="D27" s="110"/>
      <c r="E27" s="110"/>
      <c r="F27" s="103"/>
      <c r="G27" s="110"/>
      <c r="H27" s="110"/>
      <c r="I27" s="110"/>
      <c r="J27" s="110"/>
      <c r="K27" s="103"/>
      <c r="L27" s="110"/>
      <c r="M27" s="110"/>
      <c r="N27" s="110"/>
      <c r="O27" s="108"/>
      <c r="P27" s="103"/>
      <c r="Q27" s="110"/>
      <c r="R27" s="110"/>
      <c r="S27" s="110"/>
      <c r="T27" s="110"/>
      <c r="U27" s="110"/>
      <c r="V27" s="110"/>
      <c r="W27" s="120"/>
      <c r="Y27" s="1">
        <f t="shared" si="1"/>
        <v>0</v>
      </c>
      <c r="Z27" s="1" t="str">
        <f t="shared" si="2"/>
        <v/>
      </c>
    </row>
    <row r="28" spans="1:26" ht="14.25" customHeight="1" x14ac:dyDescent="0.35">
      <c r="A28" s="211"/>
      <c r="B28" s="208"/>
      <c r="C28" s="121"/>
      <c r="D28" s="96"/>
      <c r="E28" s="96"/>
      <c r="F28" s="97"/>
      <c r="G28" s="96"/>
      <c r="H28" s="96"/>
      <c r="I28" s="96"/>
      <c r="J28" s="96"/>
      <c r="K28" s="97"/>
      <c r="L28" s="96"/>
      <c r="M28" s="96"/>
      <c r="N28" s="96"/>
      <c r="O28" s="112"/>
      <c r="P28" s="97"/>
      <c r="Q28" s="96"/>
      <c r="R28" s="96"/>
      <c r="S28" s="96"/>
      <c r="T28" s="96"/>
      <c r="U28" s="96"/>
      <c r="V28" s="96"/>
      <c r="W28" s="98"/>
      <c r="Y28" s="1">
        <f t="shared" si="1"/>
        <v>0</v>
      </c>
      <c r="Z28" s="1" t="str">
        <f t="shared" si="2"/>
        <v/>
      </c>
    </row>
    <row r="29" spans="1:26" ht="14.25" customHeight="1" x14ac:dyDescent="0.35">
      <c r="A29" s="211"/>
      <c r="B29" s="209">
        <f>Neu!B17</f>
        <v>0</v>
      </c>
      <c r="C29" s="119"/>
      <c r="D29" s="110"/>
      <c r="E29" s="110"/>
      <c r="F29" s="103"/>
      <c r="G29" s="110"/>
      <c r="H29" s="110"/>
      <c r="I29" s="110"/>
      <c r="J29" s="110"/>
      <c r="K29" s="103"/>
      <c r="L29" s="110"/>
      <c r="M29" s="110"/>
      <c r="N29" s="110"/>
      <c r="O29" s="110"/>
      <c r="P29" s="101"/>
      <c r="Q29" s="110"/>
      <c r="R29" s="110"/>
      <c r="S29" s="110"/>
      <c r="T29" s="110"/>
      <c r="U29" s="110"/>
      <c r="V29" s="110"/>
      <c r="W29" s="120"/>
      <c r="Y29" s="1">
        <f t="shared" si="1"/>
        <v>0</v>
      </c>
      <c r="Z29" s="1" t="str">
        <f t="shared" si="2"/>
        <v/>
      </c>
    </row>
    <row r="30" spans="1:26" ht="14.25" customHeight="1" x14ac:dyDescent="0.35">
      <c r="A30" s="211"/>
      <c r="B30" s="208"/>
      <c r="C30" s="121"/>
      <c r="D30" s="96"/>
      <c r="E30" s="96"/>
      <c r="F30" s="97"/>
      <c r="G30" s="96"/>
      <c r="H30" s="96"/>
      <c r="I30" s="96"/>
      <c r="J30" s="96"/>
      <c r="K30" s="97"/>
      <c r="L30" s="96"/>
      <c r="M30" s="96"/>
      <c r="N30" s="96"/>
      <c r="O30" s="96"/>
      <c r="P30" s="105"/>
      <c r="Q30" s="96"/>
      <c r="R30" s="96"/>
      <c r="S30" s="96"/>
      <c r="T30" s="96"/>
      <c r="U30" s="96"/>
      <c r="V30" s="96"/>
      <c r="W30" s="98"/>
      <c r="Y30" s="1">
        <f t="shared" si="1"/>
        <v>0</v>
      </c>
      <c r="Z30" s="1" t="str">
        <f t="shared" si="2"/>
        <v/>
      </c>
    </row>
    <row r="31" spans="1:26" ht="14.25" customHeight="1" x14ac:dyDescent="0.35">
      <c r="A31" s="211"/>
      <c r="B31" s="209">
        <f>Neu!B18</f>
        <v>0</v>
      </c>
      <c r="C31" s="119"/>
      <c r="D31" s="110"/>
      <c r="E31" s="110"/>
      <c r="F31" s="103"/>
      <c r="G31" s="110"/>
      <c r="H31" s="110"/>
      <c r="I31" s="110"/>
      <c r="J31" s="110"/>
      <c r="K31" s="103"/>
      <c r="L31" s="110"/>
      <c r="M31" s="110"/>
      <c r="N31" s="110"/>
      <c r="O31" s="110"/>
      <c r="P31" s="103"/>
      <c r="Q31" s="108"/>
      <c r="R31" s="110"/>
      <c r="S31" s="110"/>
      <c r="T31" s="110"/>
      <c r="U31" s="110"/>
      <c r="V31" s="110"/>
      <c r="W31" s="120"/>
      <c r="Y31" s="1">
        <f t="shared" si="1"/>
        <v>0</v>
      </c>
      <c r="Z31" s="1" t="str">
        <f t="shared" si="2"/>
        <v/>
      </c>
    </row>
    <row r="32" spans="1:26" ht="14.25" customHeight="1" x14ac:dyDescent="0.35">
      <c r="A32" s="211"/>
      <c r="B32" s="208"/>
      <c r="C32" s="122"/>
      <c r="D32" s="111"/>
      <c r="E32" s="111"/>
      <c r="F32" s="102"/>
      <c r="G32" s="111"/>
      <c r="H32" s="111"/>
      <c r="I32" s="111"/>
      <c r="J32" s="111"/>
      <c r="K32" s="102"/>
      <c r="L32" s="111"/>
      <c r="M32" s="111"/>
      <c r="N32" s="111"/>
      <c r="O32" s="111"/>
      <c r="P32" s="102"/>
      <c r="Q32" s="109"/>
      <c r="R32" s="111"/>
      <c r="S32" s="111"/>
      <c r="T32" s="111"/>
      <c r="U32" s="111"/>
      <c r="V32" s="111"/>
      <c r="W32" s="118"/>
      <c r="Y32" s="1">
        <f t="shared" si="1"/>
        <v>0</v>
      </c>
      <c r="Z32" s="1" t="str">
        <f t="shared" si="2"/>
        <v/>
      </c>
    </row>
    <row r="33" spans="1:26" ht="14.25" customHeight="1" x14ac:dyDescent="0.35">
      <c r="A33" s="211"/>
      <c r="B33" s="209">
        <f>Neu!B19</f>
        <v>0</v>
      </c>
      <c r="C33" s="119"/>
      <c r="D33" s="110"/>
      <c r="E33" s="110"/>
      <c r="F33" s="103"/>
      <c r="G33" s="110"/>
      <c r="H33" s="110"/>
      <c r="I33" s="110"/>
      <c r="J33" s="110"/>
      <c r="K33" s="103"/>
      <c r="L33" s="110"/>
      <c r="M33" s="110"/>
      <c r="N33" s="110"/>
      <c r="O33" s="110"/>
      <c r="P33" s="103"/>
      <c r="Q33" s="110"/>
      <c r="R33" s="108"/>
      <c r="S33" s="110"/>
      <c r="T33" s="110"/>
      <c r="U33" s="110"/>
      <c r="V33" s="110"/>
      <c r="W33" s="120"/>
      <c r="Y33" s="1">
        <f t="shared" si="1"/>
        <v>0</v>
      </c>
      <c r="Z33" s="1" t="str">
        <f t="shared" si="2"/>
        <v/>
      </c>
    </row>
    <row r="34" spans="1:26" ht="14.25" customHeight="1" x14ac:dyDescent="0.35">
      <c r="A34" s="211"/>
      <c r="B34" s="208"/>
      <c r="C34" s="121"/>
      <c r="D34" s="96"/>
      <c r="E34" s="96"/>
      <c r="F34" s="97"/>
      <c r="G34" s="96"/>
      <c r="H34" s="96"/>
      <c r="I34" s="96"/>
      <c r="J34" s="96"/>
      <c r="K34" s="97"/>
      <c r="L34" s="96"/>
      <c r="M34" s="96"/>
      <c r="N34" s="96"/>
      <c r="O34" s="96"/>
      <c r="P34" s="97"/>
      <c r="Q34" s="96"/>
      <c r="R34" s="112"/>
      <c r="S34" s="96"/>
      <c r="T34" s="96"/>
      <c r="U34" s="96"/>
      <c r="V34" s="96"/>
      <c r="W34" s="98"/>
      <c r="Y34" s="1">
        <f t="shared" si="1"/>
        <v>0</v>
      </c>
      <c r="Z34" s="1" t="str">
        <f t="shared" si="2"/>
        <v/>
      </c>
    </row>
    <row r="35" spans="1:26" ht="14.25" customHeight="1" x14ac:dyDescent="0.35">
      <c r="A35" s="211"/>
      <c r="B35" s="209">
        <f>Neu!B20</f>
        <v>0</v>
      </c>
      <c r="C35" s="119"/>
      <c r="D35" s="110"/>
      <c r="E35" s="110"/>
      <c r="F35" s="103"/>
      <c r="G35" s="110"/>
      <c r="H35" s="110"/>
      <c r="I35" s="110"/>
      <c r="J35" s="110"/>
      <c r="K35" s="103"/>
      <c r="L35" s="110"/>
      <c r="M35" s="110"/>
      <c r="N35" s="110"/>
      <c r="O35" s="110"/>
      <c r="P35" s="103"/>
      <c r="Q35" s="110"/>
      <c r="R35" s="110"/>
      <c r="S35" s="108"/>
      <c r="T35" s="110"/>
      <c r="U35" s="110"/>
      <c r="V35" s="110"/>
      <c r="W35" s="120"/>
      <c r="Y35" s="1">
        <f t="shared" si="1"/>
        <v>0</v>
      </c>
      <c r="Z35" s="1" t="str">
        <f t="shared" si="2"/>
        <v/>
      </c>
    </row>
    <row r="36" spans="1:26" ht="14.25" customHeight="1" x14ac:dyDescent="0.35">
      <c r="A36" s="211"/>
      <c r="B36" s="208"/>
      <c r="C36" s="121"/>
      <c r="D36" s="96"/>
      <c r="E36" s="96"/>
      <c r="F36" s="97"/>
      <c r="G36" s="96"/>
      <c r="H36" s="96"/>
      <c r="I36" s="96"/>
      <c r="J36" s="96"/>
      <c r="K36" s="97"/>
      <c r="L36" s="96"/>
      <c r="M36" s="96"/>
      <c r="N36" s="96"/>
      <c r="O36" s="96"/>
      <c r="P36" s="97"/>
      <c r="Q36" s="96"/>
      <c r="R36" s="96"/>
      <c r="S36" s="112"/>
      <c r="T36" s="96"/>
      <c r="U36" s="96"/>
      <c r="V36" s="96"/>
      <c r="W36" s="98"/>
      <c r="Y36" s="1">
        <f t="shared" si="1"/>
        <v>0</v>
      </c>
      <c r="Z36" s="1" t="str">
        <f t="shared" si="2"/>
        <v/>
      </c>
    </row>
    <row r="37" spans="1:26" ht="14.25" customHeight="1" x14ac:dyDescent="0.35">
      <c r="A37" s="211"/>
      <c r="B37" s="209">
        <f>Neu!B21</f>
        <v>0</v>
      </c>
      <c r="C37" s="119"/>
      <c r="D37" s="110"/>
      <c r="E37" s="110"/>
      <c r="F37" s="103"/>
      <c r="G37" s="110"/>
      <c r="H37" s="110"/>
      <c r="I37" s="110"/>
      <c r="J37" s="110"/>
      <c r="K37" s="103"/>
      <c r="L37" s="110"/>
      <c r="M37" s="110"/>
      <c r="N37" s="110"/>
      <c r="O37" s="110"/>
      <c r="P37" s="103"/>
      <c r="Q37" s="110"/>
      <c r="R37" s="110"/>
      <c r="S37" s="110"/>
      <c r="T37" s="108"/>
      <c r="U37" s="110"/>
      <c r="V37" s="110"/>
      <c r="W37" s="120"/>
      <c r="Y37" s="1">
        <f t="shared" si="1"/>
        <v>0</v>
      </c>
      <c r="Z37" s="1" t="str">
        <f t="shared" si="2"/>
        <v/>
      </c>
    </row>
    <row r="38" spans="1:26" ht="14.25" customHeight="1" x14ac:dyDescent="0.35">
      <c r="A38" s="211"/>
      <c r="B38" s="208"/>
      <c r="C38" s="121"/>
      <c r="D38" s="96"/>
      <c r="E38" s="96"/>
      <c r="F38" s="97"/>
      <c r="G38" s="96"/>
      <c r="H38" s="96"/>
      <c r="I38" s="96"/>
      <c r="J38" s="96"/>
      <c r="K38" s="97"/>
      <c r="L38" s="96"/>
      <c r="M38" s="96"/>
      <c r="N38" s="96"/>
      <c r="O38" s="96"/>
      <c r="P38" s="97"/>
      <c r="Q38" s="96"/>
      <c r="R38" s="96"/>
      <c r="S38" s="96"/>
      <c r="T38" s="112"/>
      <c r="U38" s="96"/>
      <c r="V38" s="96"/>
      <c r="W38" s="98"/>
      <c r="Y38" s="1">
        <f t="shared" si="1"/>
        <v>0</v>
      </c>
      <c r="Z38" s="1" t="str">
        <f t="shared" si="2"/>
        <v/>
      </c>
    </row>
    <row r="39" spans="1:26" ht="14.25" customHeight="1" x14ac:dyDescent="0.35">
      <c r="A39" s="211"/>
      <c r="B39" s="209">
        <f>Neu!B22</f>
        <v>0</v>
      </c>
      <c r="C39" s="119"/>
      <c r="D39" s="110"/>
      <c r="E39" s="110"/>
      <c r="F39" s="103"/>
      <c r="G39" s="110"/>
      <c r="H39" s="110"/>
      <c r="I39" s="110"/>
      <c r="J39" s="110"/>
      <c r="K39" s="103"/>
      <c r="L39" s="110"/>
      <c r="M39" s="110"/>
      <c r="N39" s="110"/>
      <c r="O39" s="110"/>
      <c r="P39" s="103"/>
      <c r="Q39" s="110"/>
      <c r="R39" s="110"/>
      <c r="S39" s="110"/>
      <c r="T39" s="110"/>
      <c r="U39" s="108"/>
      <c r="V39" s="110"/>
      <c r="W39" s="120"/>
      <c r="Y39" s="1">
        <f t="shared" si="1"/>
        <v>0</v>
      </c>
      <c r="Z39" s="1" t="str">
        <f t="shared" si="2"/>
        <v/>
      </c>
    </row>
    <row r="40" spans="1:26" ht="14.25" customHeight="1" x14ac:dyDescent="0.35">
      <c r="A40" s="211"/>
      <c r="B40" s="208"/>
      <c r="C40" s="121"/>
      <c r="D40" s="96"/>
      <c r="E40" s="96"/>
      <c r="F40" s="97"/>
      <c r="G40" s="96"/>
      <c r="H40" s="96"/>
      <c r="I40" s="96"/>
      <c r="J40" s="96"/>
      <c r="K40" s="97"/>
      <c r="L40" s="96"/>
      <c r="M40" s="96"/>
      <c r="N40" s="96"/>
      <c r="O40" s="96"/>
      <c r="P40" s="97"/>
      <c r="Q40" s="96"/>
      <c r="R40" s="96"/>
      <c r="S40" s="96"/>
      <c r="T40" s="96"/>
      <c r="U40" s="112"/>
      <c r="V40" s="96"/>
      <c r="W40" s="98"/>
      <c r="Y40" s="1">
        <f t="shared" si="1"/>
        <v>0</v>
      </c>
      <c r="Z40" s="1" t="str">
        <f t="shared" si="2"/>
        <v/>
      </c>
    </row>
    <row r="41" spans="1:26" ht="14.25" customHeight="1" x14ac:dyDescent="0.35">
      <c r="A41" s="211"/>
      <c r="B41" s="209">
        <f>Neu!B23</f>
        <v>0</v>
      </c>
      <c r="C41" s="119"/>
      <c r="D41" s="110"/>
      <c r="E41" s="110"/>
      <c r="F41" s="103"/>
      <c r="G41" s="110"/>
      <c r="H41" s="110"/>
      <c r="I41" s="110"/>
      <c r="J41" s="110"/>
      <c r="K41" s="103"/>
      <c r="L41" s="110"/>
      <c r="M41" s="110"/>
      <c r="N41" s="110"/>
      <c r="O41" s="110"/>
      <c r="P41" s="103"/>
      <c r="Q41" s="110"/>
      <c r="R41" s="110"/>
      <c r="S41" s="110"/>
      <c r="T41" s="110"/>
      <c r="U41" s="110"/>
      <c r="V41" s="108"/>
      <c r="W41" s="120"/>
      <c r="Y41" s="1">
        <f t="shared" si="1"/>
        <v>0</v>
      </c>
      <c r="Z41" s="1" t="str">
        <f t="shared" si="2"/>
        <v/>
      </c>
    </row>
    <row r="42" spans="1:26" ht="14.25" customHeight="1" x14ac:dyDescent="0.35">
      <c r="A42" s="211"/>
      <c r="B42" s="208"/>
      <c r="C42" s="121"/>
      <c r="D42" s="96"/>
      <c r="E42" s="96"/>
      <c r="F42" s="97"/>
      <c r="G42" s="96"/>
      <c r="H42" s="96"/>
      <c r="I42" s="96"/>
      <c r="J42" s="96"/>
      <c r="K42" s="97"/>
      <c r="L42" s="96"/>
      <c r="M42" s="96"/>
      <c r="N42" s="96"/>
      <c r="O42" s="96"/>
      <c r="P42" s="97"/>
      <c r="Q42" s="96"/>
      <c r="R42" s="96"/>
      <c r="S42" s="96"/>
      <c r="T42" s="96"/>
      <c r="U42" s="96"/>
      <c r="V42" s="112"/>
      <c r="W42" s="98"/>
      <c r="Y42" s="1">
        <f t="shared" si="1"/>
        <v>0</v>
      </c>
      <c r="Z42" s="1" t="str">
        <f t="shared" si="2"/>
        <v/>
      </c>
    </row>
    <row r="43" spans="1:26" ht="14.25" customHeight="1" x14ac:dyDescent="0.35">
      <c r="A43" s="211"/>
      <c r="B43" s="209">
        <f>Neu!B24</f>
        <v>0</v>
      </c>
      <c r="C43" s="119"/>
      <c r="D43" s="110"/>
      <c r="E43" s="110"/>
      <c r="F43" s="103"/>
      <c r="G43" s="110"/>
      <c r="H43" s="110"/>
      <c r="I43" s="110"/>
      <c r="J43" s="110"/>
      <c r="K43" s="103"/>
      <c r="L43" s="110"/>
      <c r="M43" s="110"/>
      <c r="N43" s="110"/>
      <c r="O43" s="110"/>
      <c r="P43" s="103"/>
      <c r="Q43" s="110"/>
      <c r="R43" s="110"/>
      <c r="S43" s="110"/>
      <c r="T43" s="110"/>
      <c r="U43" s="110"/>
      <c r="V43" s="110"/>
      <c r="W43" s="123"/>
      <c r="Y43" s="1">
        <f t="shared" si="1"/>
        <v>0</v>
      </c>
      <c r="Z43" s="1" t="str">
        <f t="shared" si="2"/>
        <v/>
      </c>
    </row>
    <row r="44" spans="1:26" ht="14.25" customHeight="1" thickBot="1" x14ac:dyDescent="0.4">
      <c r="A44" s="107"/>
      <c r="B44" s="212"/>
      <c r="C44" s="124"/>
      <c r="D44" s="125"/>
      <c r="E44" s="125"/>
      <c r="F44" s="126"/>
      <c r="G44" s="125"/>
      <c r="H44" s="125"/>
      <c r="I44" s="125"/>
      <c r="J44" s="125"/>
      <c r="K44" s="126"/>
      <c r="L44" s="125"/>
      <c r="M44" s="125"/>
      <c r="N44" s="125"/>
      <c r="O44" s="125"/>
      <c r="P44" s="126"/>
      <c r="Q44" s="125"/>
      <c r="R44" s="125"/>
      <c r="S44" s="125"/>
      <c r="T44" s="125"/>
      <c r="U44" s="125"/>
      <c r="V44" s="125"/>
      <c r="W44" s="127"/>
      <c r="Z44" s="1" t="str">
        <f t="shared" si="2"/>
        <v/>
      </c>
    </row>
    <row r="45" spans="1:26" x14ac:dyDescent="0.35">
      <c r="V45" s="95" t="s">
        <v>162</v>
      </c>
      <c r="W45" s="1">
        <f>(MAX(Z:Z)+MIN(Z:Z))/2</f>
        <v>2.5</v>
      </c>
      <c r="Z45" s="1" t="str">
        <f t="shared" si="2"/>
        <v/>
      </c>
    </row>
    <row r="46" spans="1:26" x14ac:dyDescent="0.35">
      <c r="Z46" s="1" t="str">
        <f t="shared" si="2"/>
        <v/>
      </c>
    </row>
    <row r="47" spans="1:26" x14ac:dyDescent="0.35">
      <c r="Z47" s="1" t="str">
        <f t="shared" si="2"/>
        <v/>
      </c>
    </row>
    <row r="48" spans="1:26" x14ac:dyDescent="0.35">
      <c r="Z48" s="1" t="str">
        <f t="shared" si="2"/>
        <v/>
      </c>
    </row>
    <row r="49" spans="26:26" x14ac:dyDescent="0.35">
      <c r="Z49" s="1" t="str">
        <f t="shared" si="2"/>
        <v/>
      </c>
    </row>
    <row r="50" spans="26:26" x14ac:dyDescent="0.35">
      <c r="Z50" s="1" t="str">
        <f t="shared" si="2"/>
        <v/>
      </c>
    </row>
    <row r="51" spans="26:26" x14ac:dyDescent="0.35">
      <c r="Z51" s="1" t="str">
        <f t="shared" si="2"/>
        <v/>
      </c>
    </row>
    <row r="52" spans="26:26" x14ac:dyDescent="0.35">
      <c r="Z52" s="1" t="str">
        <f t="shared" si="2"/>
        <v/>
      </c>
    </row>
    <row r="53" spans="26:26" x14ac:dyDescent="0.35">
      <c r="Z53" s="1" t="str">
        <f t="shared" si="2"/>
        <v/>
      </c>
    </row>
    <row r="54" spans="26:26" x14ac:dyDescent="0.35">
      <c r="Z54" s="1" t="str">
        <f t="shared" si="2"/>
        <v/>
      </c>
    </row>
    <row r="55" spans="26:26" x14ac:dyDescent="0.35">
      <c r="Z55" s="1" t="str">
        <f t="shared" si="2"/>
        <v/>
      </c>
    </row>
    <row r="56" spans="26:26" x14ac:dyDescent="0.35">
      <c r="Z56" s="1" t="str">
        <f t="shared" si="2"/>
        <v/>
      </c>
    </row>
    <row r="57" spans="26:26" x14ac:dyDescent="0.35">
      <c r="Z57" s="1" t="str">
        <f t="shared" si="2"/>
        <v/>
      </c>
    </row>
    <row r="58" spans="26:26" x14ac:dyDescent="0.35">
      <c r="Z58" s="1" t="str">
        <f t="shared" si="2"/>
        <v/>
      </c>
    </row>
    <row r="59" spans="26:26" x14ac:dyDescent="0.35">
      <c r="Z59" s="1" t="str">
        <f t="shared" si="2"/>
        <v/>
      </c>
    </row>
    <row r="60" spans="26:26" x14ac:dyDescent="0.35">
      <c r="Z60" s="1" t="str">
        <f t="shared" si="2"/>
        <v/>
      </c>
    </row>
    <row r="61" spans="26:26" x14ac:dyDescent="0.35">
      <c r="Z61" s="1" t="str">
        <f t="shared" si="2"/>
        <v/>
      </c>
    </row>
    <row r="62" spans="26:26" x14ac:dyDescent="0.35">
      <c r="Z62" s="1" t="str">
        <f t="shared" si="2"/>
        <v/>
      </c>
    </row>
    <row r="63" spans="26:26" x14ac:dyDescent="0.35">
      <c r="Z63" s="1" t="str">
        <f t="shared" si="2"/>
        <v/>
      </c>
    </row>
    <row r="64" spans="26:26" x14ac:dyDescent="0.35">
      <c r="Z64" s="1" t="str">
        <f t="shared" si="2"/>
        <v/>
      </c>
    </row>
    <row r="65" spans="26:26" x14ac:dyDescent="0.35">
      <c r="Z65" s="1" t="str">
        <f t="shared" si="2"/>
        <v/>
      </c>
    </row>
    <row r="66" spans="26:26" x14ac:dyDescent="0.35">
      <c r="Z66" s="1" t="str">
        <f t="shared" si="2"/>
        <v/>
      </c>
    </row>
    <row r="67" spans="26:26" x14ac:dyDescent="0.35">
      <c r="Z67" s="1" t="str">
        <f t="shared" si="2"/>
        <v/>
      </c>
    </row>
    <row r="68" spans="26:26" x14ac:dyDescent="0.35">
      <c r="Z68" s="1" t="str">
        <f t="shared" si="2"/>
        <v/>
      </c>
    </row>
    <row r="69" spans="26:26" x14ac:dyDescent="0.35">
      <c r="Z69" s="1" t="str">
        <f t="shared" si="2"/>
        <v/>
      </c>
    </row>
    <row r="70" spans="26:26" x14ac:dyDescent="0.35">
      <c r="Z70" s="1" t="str">
        <f t="shared" si="2"/>
        <v/>
      </c>
    </row>
    <row r="71" spans="26:26" x14ac:dyDescent="0.35">
      <c r="Z71" s="1" t="str">
        <f t="shared" si="2"/>
        <v/>
      </c>
    </row>
    <row r="72" spans="26:26" x14ac:dyDescent="0.35">
      <c r="Z72" s="1" t="str">
        <f t="shared" si="2"/>
        <v/>
      </c>
    </row>
    <row r="73" spans="26:26" x14ac:dyDescent="0.35">
      <c r="Z73" s="1" t="str">
        <f t="shared" si="2"/>
        <v/>
      </c>
    </row>
    <row r="74" spans="26:26" x14ac:dyDescent="0.35">
      <c r="Z74" s="1" t="str">
        <f t="shared" si="2"/>
        <v/>
      </c>
    </row>
    <row r="75" spans="26:26" x14ac:dyDescent="0.35">
      <c r="Z75" s="1" t="str">
        <f t="shared" si="2"/>
        <v/>
      </c>
    </row>
    <row r="76" spans="26:26" x14ac:dyDescent="0.35">
      <c r="Z76" s="1" t="str">
        <f t="shared" si="2"/>
        <v/>
      </c>
    </row>
    <row r="77" spans="26:26" x14ac:dyDescent="0.35">
      <c r="Z77" s="1" t="str">
        <f t="shared" si="2"/>
        <v/>
      </c>
    </row>
    <row r="78" spans="26:26" x14ac:dyDescent="0.35">
      <c r="Z78" s="1" t="str">
        <f t="shared" si="2"/>
        <v/>
      </c>
    </row>
    <row r="79" spans="26:26" x14ac:dyDescent="0.35">
      <c r="Z79" s="1" t="str">
        <f t="shared" si="2"/>
        <v/>
      </c>
    </row>
    <row r="80" spans="26:26" x14ac:dyDescent="0.35">
      <c r="Z80" s="1" t="str">
        <f t="shared" si="2"/>
        <v/>
      </c>
    </row>
    <row r="81" spans="26:26" x14ac:dyDescent="0.35">
      <c r="Z81" s="1" t="str">
        <f t="shared" si="2"/>
        <v/>
      </c>
    </row>
    <row r="82" spans="26:26" x14ac:dyDescent="0.35">
      <c r="Z82" s="1" t="str">
        <f t="shared" si="2"/>
        <v/>
      </c>
    </row>
    <row r="83" spans="26:26" x14ac:dyDescent="0.35">
      <c r="Z83" s="1" t="str">
        <f t="shared" ref="Z83:Z146" si="3">IF(ROW(AA83)-2&lt;=MAX($C$3:$W$44),ROW(AA83)-2,"")</f>
        <v/>
      </c>
    </row>
    <row r="84" spans="26:26" x14ac:dyDescent="0.35">
      <c r="Z84" s="1" t="str">
        <f t="shared" si="3"/>
        <v/>
      </c>
    </row>
    <row r="85" spans="26:26" x14ac:dyDescent="0.35">
      <c r="Z85" s="1" t="str">
        <f t="shared" si="3"/>
        <v/>
      </c>
    </row>
    <row r="86" spans="26:26" x14ac:dyDescent="0.35">
      <c r="Z86" s="1" t="str">
        <f t="shared" si="3"/>
        <v/>
      </c>
    </row>
    <row r="87" spans="26:26" x14ac:dyDescent="0.35">
      <c r="Z87" s="1" t="str">
        <f t="shared" si="3"/>
        <v/>
      </c>
    </row>
    <row r="88" spans="26:26" x14ac:dyDescent="0.35">
      <c r="Z88" s="1" t="str">
        <f t="shared" si="3"/>
        <v/>
      </c>
    </row>
    <row r="89" spans="26:26" x14ac:dyDescent="0.35">
      <c r="Z89" s="1" t="str">
        <f t="shared" si="3"/>
        <v/>
      </c>
    </row>
    <row r="90" spans="26:26" x14ac:dyDescent="0.35">
      <c r="Z90" s="1" t="str">
        <f t="shared" si="3"/>
        <v/>
      </c>
    </row>
    <row r="91" spans="26:26" x14ac:dyDescent="0.35">
      <c r="Z91" s="1" t="str">
        <f t="shared" si="3"/>
        <v/>
      </c>
    </row>
    <row r="92" spans="26:26" x14ac:dyDescent="0.35">
      <c r="Z92" s="1" t="str">
        <f t="shared" si="3"/>
        <v/>
      </c>
    </row>
    <row r="93" spans="26:26" x14ac:dyDescent="0.35">
      <c r="Z93" s="1" t="str">
        <f t="shared" si="3"/>
        <v/>
      </c>
    </row>
    <row r="94" spans="26:26" x14ac:dyDescent="0.35">
      <c r="Z94" s="1" t="str">
        <f t="shared" si="3"/>
        <v/>
      </c>
    </row>
    <row r="95" spans="26:26" x14ac:dyDescent="0.35">
      <c r="Z95" s="1" t="str">
        <f t="shared" si="3"/>
        <v/>
      </c>
    </row>
    <row r="96" spans="26:26" x14ac:dyDescent="0.35">
      <c r="Z96" s="1" t="str">
        <f t="shared" si="3"/>
        <v/>
      </c>
    </row>
    <row r="97" spans="26:26" x14ac:dyDescent="0.35">
      <c r="Z97" s="1" t="str">
        <f t="shared" si="3"/>
        <v/>
      </c>
    </row>
    <row r="98" spans="26:26" x14ac:dyDescent="0.35">
      <c r="Z98" s="1" t="str">
        <f t="shared" si="3"/>
        <v/>
      </c>
    </row>
    <row r="99" spans="26:26" x14ac:dyDescent="0.35">
      <c r="Z99" s="1" t="str">
        <f t="shared" si="3"/>
        <v/>
      </c>
    </row>
    <row r="100" spans="26:26" x14ac:dyDescent="0.35">
      <c r="Z100" s="1" t="str">
        <f t="shared" si="3"/>
        <v/>
      </c>
    </row>
    <row r="101" spans="26:26" x14ac:dyDescent="0.35">
      <c r="Z101" s="1" t="str">
        <f t="shared" si="3"/>
        <v/>
      </c>
    </row>
    <row r="102" spans="26:26" x14ac:dyDescent="0.35">
      <c r="Z102" s="1" t="str">
        <f t="shared" si="3"/>
        <v/>
      </c>
    </row>
    <row r="103" spans="26:26" x14ac:dyDescent="0.35">
      <c r="Z103" s="1" t="str">
        <f t="shared" si="3"/>
        <v/>
      </c>
    </row>
    <row r="104" spans="26:26" x14ac:dyDescent="0.35">
      <c r="Z104" s="1" t="str">
        <f t="shared" si="3"/>
        <v/>
      </c>
    </row>
    <row r="105" spans="26:26" x14ac:dyDescent="0.35">
      <c r="Z105" s="1" t="str">
        <f t="shared" si="3"/>
        <v/>
      </c>
    </row>
    <row r="106" spans="26:26" x14ac:dyDescent="0.35">
      <c r="Z106" s="1" t="str">
        <f t="shared" si="3"/>
        <v/>
      </c>
    </row>
    <row r="107" spans="26:26" x14ac:dyDescent="0.35">
      <c r="Z107" s="1" t="str">
        <f t="shared" si="3"/>
        <v/>
      </c>
    </row>
    <row r="108" spans="26:26" x14ac:dyDescent="0.35">
      <c r="Z108" s="1" t="str">
        <f t="shared" si="3"/>
        <v/>
      </c>
    </row>
    <row r="109" spans="26:26" x14ac:dyDescent="0.35">
      <c r="Z109" s="1" t="str">
        <f t="shared" si="3"/>
        <v/>
      </c>
    </row>
    <row r="110" spans="26:26" x14ac:dyDescent="0.35">
      <c r="Z110" s="1" t="str">
        <f t="shared" si="3"/>
        <v/>
      </c>
    </row>
    <row r="111" spans="26:26" x14ac:dyDescent="0.35">
      <c r="Z111" s="1" t="str">
        <f t="shared" si="3"/>
        <v/>
      </c>
    </row>
    <row r="112" spans="26:26" x14ac:dyDescent="0.35">
      <c r="Z112" s="1" t="str">
        <f t="shared" si="3"/>
        <v/>
      </c>
    </row>
    <row r="113" spans="26:26" x14ac:dyDescent="0.35">
      <c r="Z113" s="1" t="str">
        <f t="shared" si="3"/>
        <v/>
      </c>
    </row>
    <row r="114" spans="26:26" x14ac:dyDescent="0.35">
      <c r="Z114" s="1" t="str">
        <f t="shared" si="3"/>
        <v/>
      </c>
    </row>
    <row r="115" spans="26:26" x14ac:dyDescent="0.35">
      <c r="Z115" s="1" t="str">
        <f t="shared" si="3"/>
        <v/>
      </c>
    </row>
    <row r="116" spans="26:26" x14ac:dyDescent="0.35">
      <c r="Z116" s="1" t="str">
        <f t="shared" si="3"/>
        <v/>
      </c>
    </row>
    <row r="117" spans="26:26" x14ac:dyDescent="0.35">
      <c r="Z117" s="1" t="str">
        <f t="shared" si="3"/>
        <v/>
      </c>
    </row>
    <row r="118" spans="26:26" x14ac:dyDescent="0.35">
      <c r="Z118" s="1" t="str">
        <f t="shared" si="3"/>
        <v/>
      </c>
    </row>
    <row r="119" spans="26:26" x14ac:dyDescent="0.35">
      <c r="Z119" s="1" t="str">
        <f t="shared" si="3"/>
        <v/>
      </c>
    </row>
    <row r="120" spans="26:26" x14ac:dyDescent="0.35">
      <c r="Z120" s="1" t="str">
        <f t="shared" si="3"/>
        <v/>
      </c>
    </row>
    <row r="121" spans="26:26" x14ac:dyDescent="0.35">
      <c r="Z121" s="1" t="str">
        <f t="shared" si="3"/>
        <v/>
      </c>
    </row>
    <row r="122" spans="26:26" x14ac:dyDescent="0.35">
      <c r="Z122" s="1" t="str">
        <f t="shared" si="3"/>
        <v/>
      </c>
    </row>
    <row r="123" spans="26:26" x14ac:dyDescent="0.35">
      <c r="Z123" s="1" t="str">
        <f t="shared" si="3"/>
        <v/>
      </c>
    </row>
    <row r="124" spans="26:26" x14ac:dyDescent="0.35">
      <c r="Z124" s="1" t="str">
        <f t="shared" si="3"/>
        <v/>
      </c>
    </row>
    <row r="125" spans="26:26" x14ac:dyDescent="0.35">
      <c r="Z125" s="1" t="str">
        <f t="shared" si="3"/>
        <v/>
      </c>
    </row>
    <row r="126" spans="26:26" x14ac:dyDescent="0.35">
      <c r="Z126" s="1" t="str">
        <f t="shared" si="3"/>
        <v/>
      </c>
    </row>
    <row r="127" spans="26:26" x14ac:dyDescent="0.35">
      <c r="Z127" s="1" t="str">
        <f t="shared" si="3"/>
        <v/>
      </c>
    </row>
    <row r="128" spans="26:26" x14ac:dyDescent="0.35">
      <c r="Z128" s="1" t="str">
        <f t="shared" si="3"/>
        <v/>
      </c>
    </row>
    <row r="129" spans="26:26" x14ac:dyDescent="0.35">
      <c r="Z129" s="1" t="str">
        <f t="shared" si="3"/>
        <v/>
      </c>
    </row>
    <row r="130" spans="26:26" x14ac:dyDescent="0.35">
      <c r="Z130" s="1" t="str">
        <f t="shared" si="3"/>
        <v/>
      </c>
    </row>
    <row r="131" spans="26:26" x14ac:dyDescent="0.35">
      <c r="Z131" s="1" t="str">
        <f t="shared" si="3"/>
        <v/>
      </c>
    </row>
    <row r="132" spans="26:26" x14ac:dyDescent="0.35">
      <c r="Z132" s="1" t="str">
        <f t="shared" si="3"/>
        <v/>
      </c>
    </row>
    <row r="133" spans="26:26" x14ac:dyDescent="0.35">
      <c r="Z133" s="1" t="str">
        <f t="shared" si="3"/>
        <v/>
      </c>
    </row>
    <row r="134" spans="26:26" x14ac:dyDescent="0.35">
      <c r="Z134" s="1" t="str">
        <f t="shared" si="3"/>
        <v/>
      </c>
    </row>
    <row r="135" spans="26:26" x14ac:dyDescent="0.35">
      <c r="Z135" s="1" t="str">
        <f t="shared" si="3"/>
        <v/>
      </c>
    </row>
    <row r="136" spans="26:26" x14ac:dyDescent="0.35">
      <c r="Z136" s="1" t="str">
        <f t="shared" si="3"/>
        <v/>
      </c>
    </row>
    <row r="137" spans="26:26" x14ac:dyDescent="0.35">
      <c r="Z137" s="1" t="str">
        <f t="shared" si="3"/>
        <v/>
      </c>
    </row>
    <row r="138" spans="26:26" x14ac:dyDescent="0.35">
      <c r="Z138" s="1" t="str">
        <f t="shared" si="3"/>
        <v/>
      </c>
    </row>
    <row r="139" spans="26:26" x14ac:dyDescent="0.35">
      <c r="Z139" s="1" t="str">
        <f t="shared" si="3"/>
        <v/>
      </c>
    </row>
    <row r="140" spans="26:26" x14ac:dyDescent="0.35">
      <c r="Z140" s="1" t="str">
        <f t="shared" si="3"/>
        <v/>
      </c>
    </row>
    <row r="141" spans="26:26" x14ac:dyDescent="0.35">
      <c r="Z141" s="1" t="str">
        <f t="shared" si="3"/>
        <v/>
      </c>
    </row>
    <row r="142" spans="26:26" x14ac:dyDescent="0.35">
      <c r="Z142" s="1" t="str">
        <f t="shared" si="3"/>
        <v/>
      </c>
    </row>
    <row r="143" spans="26:26" x14ac:dyDescent="0.35">
      <c r="Z143" s="1" t="str">
        <f t="shared" si="3"/>
        <v/>
      </c>
    </row>
    <row r="144" spans="26:26" x14ac:dyDescent="0.35">
      <c r="Z144" s="1" t="str">
        <f t="shared" si="3"/>
        <v/>
      </c>
    </row>
    <row r="145" spans="26:26" x14ac:dyDescent="0.35">
      <c r="Z145" s="1" t="str">
        <f t="shared" si="3"/>
        <v/>
      </c>
    </row>
    <row r="146" spans="26:26" x14ac:dyDescent="0.35">
      <c r="Z146" s="1" t="str">
        <f t="shared" si="3"/>
        <v/>
      </c>
    </row>
    <row r="147" spans="26:26" x14ac:dyDescent="0.35">
      <c r="Z147" s="1" t="str">
        <f t="shared" ref="Z147:Z210" si="4">IF(ROW(AA147)-2&lt;=MAX($C$3:$W$44),ROW(AA147)-2,"")</f>
        <v/>
      </c>
    </row>
    <row r="148" spans="26:26" x14ac:dyDescent="0.35">
      <c r="Z148" s="1" t="str">
        <f t="shared" si="4"/>
        <v/>
      </c>
    </row>
    <row r="149" spans="26:26" x14ac:dyDescent="0.35">
      <c r="Z149" s="1" t="str">
        <f t="shared" si="4"/>
        <v/>
      </c>
    </row>
    <row r="150" spans="26:26" x14ac:dyDescent="0.35">
      <c r="Z150" s="1" t="str">
        <f t="shared" si="4"/>
        <v/>
      </c>
    </row>
    <row r="151" spans="26:26" x14ac:dyDescent="0.35">
      <c r="Z151" s="1" t="str">
        <f t="shared" si="4"/>
        <v/>
      </c>
    </row>
    <row r="152" spans="26:26" x14ac:dyDescent="0.35">
      <c r="Z152" s="1" t="str">
        <f t="shared" si="4"/>
        <v/>
      </c>
    </row>
    <row r="153" spans="26:26" x14ac:dyDescent="0.35">
      <c r="Z153" s="1" t="str">
        <f t="shared" si="4"/>
        <v/>
      </c>
    </row>
    <row r="154" spans="26:26" x14ac:dyDescent="0.35">
      <c r="Z154" s="1" t="str">
        <f t="shared" si="4"/>
        <v/>
      </c>
    </row>
    <row r="155" spans="26:26" x14ac:dyDescent="0.35">
      <c r="Z155" s="1" t="str">
        <f t="shared" si="4"/>
        <v/>
      </c>
    </row>
    <row r="156" spans="26:26" x14ac:dyDescent="0.35">
      <c r="Z156" s="1" t="str">
        <f t="shared" si="4"/>
        <v/>
      </c>
    </row>
    <row r="157" spans="26:26" x14ac:dyDescent="0.35">
      <c r="Z157" s="1" t="str">
        <f t="shared" si="4"/>
        <v/>
      </c>
    </row>
    <row r="158" spans="26:26" x14ac:dyDescent="0.35">
      <c r="Z158" s="1" t="str">
        <f t="shared" si="4"/>
        <v/>
      </c>
    </row>
    <row r="159" spans="26:26" x14ac:dyDescent="0.35">
      <c r="Z159" s="1" t="str">
        <f t="shared" si="4"/>
        <v/>
      </c>
    </row>
    <row r="160" spans="26:26" x14ac:dyDescent="0.35">
      <c r="Z160" s="1" t="str">
        <f t="shared" si="4"/>
        <v/>
      </c>
    </row>
    <row r="161" spans="26:26" x14ac:dyDescent="0.35">
      <c r="Z161" s="1" t="str">
        <f t="shared" si="4"/>
        <v/>
      </c>
    </row>
    <row r="162" spans="26:26" x14ac:dyDescent="0.35">
      <c r="Z162" s="1" t="str">
        <f t="shared" si="4"/>
        <v/>
      </c>
    </row>
    <row r="163" spans="26:26" x14ac:dyDescent="0.35">
      <c r="Z163" s="1" t="str">
        <f t="shared" si="4"/>
        <v/>
      </c>
    </row>
    <row r="164" spans="26:26" x14ac:dyDescent="0.35">
      <c r="Z164" s="1" t="str">
        <f t="shared" si="4"/>
        <v/>
      </c>
    </row>
    <row r="165" spans="26:26" x14ac:dyDescent="0.35">
      <c r="Z165" s="1" t="str">
        <f t="shared" si="4"/>
        <v/>
      </c>
    </row>
    <row r="166" spans="26:26" x14ac:dyDescent="0.35">
      <c r="Z166" s="1" t="str">
        <f t="shared" si="4"/>
        <v/>
      </c>
    </row>
    <row r="167" spans="26:26" x14ac:dyDescent="0.35">
      <c r="Z167" s="1" t="str">
        <f t="shared" si="4"/>
        <v/>
      </c>
    </row>
    <row r="168" spans="26:26" x14ac:dyDescent="0.35">
      <c r="Z168" s="1" t="str">
        <f t="shared" si="4"/>
        <v/>
      </c>
    </row>
    <row r="169" spans="26:26" x14ac:dyDescent="0.35">
      <c r="Z169" s="1" t="str">
        <f t="shared" si="4"/>
        <v/>
      </c>
    </row>
    <row r="170" spans="26:26" x14ac:dyDescent="0.35">
      <c r="Z170" s="1" t="str">
        <f t="shared" si="4"/>
        <v/>
      </c>
    </row>
    <row r="171" spans="26:26" x14ac:dyDescent="0.35">
      <c r="Z171" s="1" t="str">
        <f t="shared" si="4"/>
        <v/>
      </c>
    </row>
    <row r="172" spans="26:26" x14ac:dyDescent="0.35">
      <c r="Z172" s="1" t="str">
        <f t="shared" si="4"/>
        <v/>
      </c>
    </row>
    <row r="173" spans="26:26" x14ac:dyDescent="0.35">
      <c r="Z173" s="1" t="str">
        <f t="shared" si="4"/>
        <v/>
      </c>
    </row>
    <row r="174" spans="26:26" x14ac:dyDescent="0.35">
      <c r="Z174" s="1" t="str">
        <f t="shared" si="4"/>
        <v/>
      </c>
    </row>
    <row r="175" spans="26:26" x14ac:dyDescent="0.35">
      <c r="Z175" s="1" t="str">
        <f t="shared" si="4"/>
        <v/>
      </c>
    </row>
    <row r="176" spans="26:26" x14ac:dyDescent="0.35">
      <c r="Z176" s="1" t="str">
        <f t="shared" si="4"/>
        <v/>
      </c>
    </row>
    <row r="177" spans="26:26" x14ac:dyDescent="0.35">
      <c r="Z177" s="1" t="str">
        <f t="shared" si="4"/>
        <v/>
      </c>
    </row>
    <row r="178" spans="26:26" x14ac:dyDescent="0.35">
      <c r="Z178" s="1" t="str">
        <f t="shared" si="4"/>
        <v/>
      </c>
    </row>
    <row r="179" spans="26:26" x14ac:dyDescent="0.35">
      <c r="Z179" s="1" t="str">
        <f t="shared" si="4"/>
        <v/>
      </c>
    </row>
    <row r="180" spans="26:26" x14ac:dyDescent="0.35">
      <c r="Z180" s="1" t="str">
        <f t="shared" si="4"/>
        <v/>
      </c>
    </row>
    <row r="181" spans="26:26" x14ac:dyDescent="0.35">
      <c r="Z181" s="1" t="str">
        <f t="shared" si="4"/>
        <v/>
      </c>
    </row>
    <row r="182" spans="26:26" x14ac:dyDescent="0.35">
      <c r="Z182" s="1" t="str">
        <f t="shared" si="4"/>
        <v/>
      </c>
    </row>
    <row r="183" spans="26:26" x14ac:dyDescent="0.35">
      <c r="Z183" s="1" t="str">
        <f t="shared" si="4"/>
        <v/>
      </c>
    </row>
    <row r="184" spans="26:26" x14ac:dyDescent="0.35">
      <c r="Z184" s="1" t="str">
        <f t="shared" si="4"/>
        <v/>
      </c>
    </row>
    <row r="185" spans="26:26" x14ac:dyDescent="0.35">
      <c r="Z185" s="1" t="str">
        <f t="shared" si="4"/>
        <v/>
      </c>
    </row>
    <row r="186" spans="26:26" x14ac:dyDescent="0.35">
      <c r="Z186" s="1" t="str">
        <f t="shared" si="4"/>
        <v/>
      </c>
    </row>
    <row r="187" spans="26:26" x14ac:dyDescent="0.35">
      <c r="Z187" s="1" t="str">
        <f t="shared" si="4"/>
        <v/>
      </c>
    </row>
    <row r="188" spans="26:26" x14ac:dyDescent="0.35">
      <c r="Z188" s="1" t="str">
        <f t="shared" si="4"/>
        <v/>
      </c>
    </row>
    <row r="189" spans="26:26" x14ac:dyDescent="0.35">
      <c r="Z189" s="1" t="str">
        <f t="shared" si="4"/>
        <v/>
      </c>
    </row>
    <row r="190" spans="26:26" x14ac:dyDescent="0.35">
      <c r="Z190" s="1" t="str">
        <f t="shared" si="4"/>
        <v/>
      </c>
    </row>
    <row r="191" spans="26:26" x14ac:dyDescent="0.35">
      <c r="Z191" s="1" t="str">
        <f t="shared" si="4"/>
        <v/>
      </c>
    </row>
    <row r="192" spans="26:26" x14ac:dyDescent="0.35">
      <c r="Z192" s="1" t="str">
        <f t="shared" si="4"/>
        <v/>
      </c>
    </row>
    <row r="193" spans="26:26" x14ac:dyDescent="0.35">
      <c r="Z193" s="1" t="str">
        <f t="shared" si="4"/>
        <v/>
      </c>
    </row>
    <row r="194" spans="26:26" x14ac:dyDescent="0.35">
      <c r="Z194" s="1" t="str">
        <f t="shared" si="4"/>
        <v/>
      </c>
    </row>
    <row r="195" spans="26:26" x14ac:dyDescent="0.35">
      <c r="Z195" s="1" t="str">
        <f t="shared" si="4"/>
        <v/>
      </c>
    </row>
    <row r="196" spans="26:26" x14ac:dyDescent="0.35">
      <c r="Z196" s="1" t="str">
        <f t="shared" si="4"/>
        <v/>
      </c>
    </row>
    <row r="197" spans="26:26" x14ac:dyDescent="0.35">
      <c r="Z197" s="1" t="str">
        <f t="shared" si="4"/>
        <v/>
      </c>
    </row>
    <row r="198" spans="26:26" x14ac:dyDescent="0.35">
      <c r="Z198" s="1" t="str">
        <f t="shared" si="4"/>
        <v/>
      </c>
    </row>
    <row r="199" spans="26:26" x14ac:dyDescent="0.35">
      <c r="Z199" s="1" t="str">
        <f t="shared" si="4"/>
        <v/>
      </c>
    </row>
    <row r="200" spans="26:26" x14ac:dyDescent="0.35">
      <c r="Z200" s="1" t="str">
        <f t="shared" si="4"/>
        <v/>
      </c>
    </row>
    <row r="201" spans="26:26" x14ac:dyDescent="0.35">
      <c r="Z201" s="1" t="str">
        <f t="shared" si="4"/>
        <v/>
      </c>
    </row>
    <row r="202" spans="26:26" x14ac:dyDescent="0.35">
      <c r="Z202" s="1" t="str">
        <f t="shared" si="4"/>
        <v/>
      </c>
    </row>
    <row r="203" spans="26:26" x14ac:dyDescent="0.35">
      <c r="Z203" s="1" t="str">
        <f t="shared" si="4"/>
        <v/>
      </c>
    </row>
    <row r="204" spans="26:26" x14ac:dyDescent="0.35">
      <c r="Z204" s="1" t="str">
        <f t="shared" si="4"/>
        <v/>
      </c>
    </row>
    <row r="205" spans="26:26" x14ac:dyDescent="0.35">
      <c r="Z205" s="1" t="str">
        <f t="shared" si="4"/>
        <v/>
      </c>
    </row>
    <row r="206" spans="26:26" x14ac:dyDescent="0.35">
      <c r="Z206" s="1" t="str">
        <f t="shared" si="4"/>
        <v/>
      </c>
    </row>
    <row r="207" spans="26:26" x14ac:dyDescent="0.35">
      <c r="Z207" s="1" t="str">
        <f t="shared" si="4"/>
        <v/>
      </c>
    </row>
    <row r="208" spans="26:26" x14ac:dyDescent="0.35">
      <c r="Z208" s="1" t="str">
        <f t="shared" si="4"/>
        <v/>
      </c>
    </row>
    <row r="209" spans="26:26" x14ac:dyDescent="0.35">
      <c r="Z209" s="1" t="str">
        <f t="shared" si="4"/>
        <v/>
      </c>
    </row>
    <row r="210" spans="26:26" x14ac:dyDescent="0.35">
      <c r="Z210" s="1" t="str">
        <f t="shared" si="4"/>
        <v/>
      </c>
    </row>
    <row r="211" spans="26:26" x14ac:dyDescent="0.35">
      <c r="Z211" s="1" t="str">
        <f t="shared" ref="Z211:Z229" si="5">IF(ROW(AA211)-2&lt;=MAX($C$3:$W$44),ROW(AA211)-2,"")</f>
        <v/>
      </c>
    </row>
    <row r="212" spans="26:26" x14ac:dyDescent="0.35">
      <c r="Z212" s="1" t="str">
        <f t="shared" si="5"/>
        <v/>
      </c>
    </row>
    <row r="213" spans="26:26" x14ac:dyDescent="0.35">
      <c r="Z213" s="1" t="str">
        <f t="shared" si="5"/>
        <v/>
      </c>
    </row>
    <row r="214" spans="26:26" x14ac:dyDescent="0.35">
      <c r="Z214" s="1" t="str">
        <f t="shared" si="5"/>
        <v/>
      </c>
    </row>
    <row r="215" spans="26:26" x14ac:dyDescent="0.35">
      <c r="Z215" s="1" t="str">
        <f t="shared" si="5"/>
        <v/>
      </c>
    </row>
    <row r="216" spans="26:26" x14ac:dyDescent="0.35">
      <c r="Z216" s="1" t="str">
        <f t="shared" si="5"/>
        <v/>
      </c>
    </row>
    <row r="217" spans="26:26" x14ac:dyDescent="0.35">
      <c r="Z217" s="1" t="str">
        <f t="shared" si="5"/>
        <v/>
      </c>
    </row>
    <row r="218" spans="26:26" x14ac:dyDescent="0.35">
      <c r="Z218" s="1" t="str">
        <f t="shared" si="5"/>
        <v/>
      </c>
    </row>
    <row r="219" spans="26:26" x14ac:dyDescent="0.35">
      <c r="Z219" s="1" t="str">
        <f t="shared" si="5"/>
        <v/>
      </c>
    </row>
    <row r="220" spans="26:26" x14ac:dyDescent="0.35">
      <c r="Z220" s="1" t="str">
        <f t="shared" si="5"/>
        <v/>
      </c>
    </row>
    <row r="221" spans="26:26" x14ac:dyDescent="0.35">
      <c r="Z221" s="1" t="str">
        <f t="shared" si="5"/>
        <v/>
      </c>
    </row>
    <row r="222" spans="26:26" x14ac:dyDescent="0.35">
      <c r="Z222" s="1" t="str">
        <f t="shared" si="5"/>
        <v/>
      </c>
    </row>
    <row r="223" spans="26:26" x14ac:dyDescent="0.35">
      <c r="Z223" s="1" t="str">
        <f t="shared" si="5"/>
        <v/>
      </c>
    </row>
    <row r="224" spans="26:26" x14ac:dyDescent="0.35">
      <c r="Z224" s="1" t="str">
        <f t="shared" si="5"/>
        <v/>
      </c>
    </row>
    <row r="225" spans="26:26" x14ac:dyDescent="0.35">
      <c r="Z225" s="1" t="str">
        <f t="shared" si="5"/>
        <v/>
      </c>
    </row>
    <row r="226" spans="26:26" x14ac:dyDescent="0.35">
      <c r="Z226" s="1" t="str">
        <f t="shared" si="5"/>
        <v/>
      </c>
    </row>
    <row r="227" spans="26:26" x14ac:dyDescent="0.35">
      <c r="Z227" s="1" t="str">
        <f t="shared" si="5"/>
        <v/>
      </c>
    </row>
    <row r="228" spans="26:26" x14ac:dyDescent="0.35">
      <c r="Z228" s="1" t="str">
        <f t="shared" si="5"/>
        <v/>
      </c>
    </row>
    <row r="229" spans="26:26" x14ac:dyDescent="0.35">
      <c r="Z229" s="1" t="str">
        <f t="shared" si="5"/>
        <v/>
      </c>
    </row>
  </sheetData>
  <mergeCells count="27">
    <mergeCell ref="B43:B44"/>
    <mergeCell ref="B29:B30"/>
    <mergeCell ref="B31:B32"/>
    <mergeCell ref="B33:B34"/>
    <mergeCell ref="B35:B36"/>
    <mergeCell ref="B37:B38"/>
    <mergeCell ref="B5:B6"/>
    <mergeCell ref="B7:B8"/>
    <mergeCell ref="A1:B2"/>
    <mergeCell ref="A3:A43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39:B40"/>
    <mergeCell ref="B41:B42"/>
    <mergeCell ref="AI1:AJ1"/>
    <mergeCell ref="AE1:AH1"/>
    <mergeCell ref="AA1:AB1"/>
    <mergeCell ref="C1:W1"/>
    <mergeCell ref="B3:B4"/>
  </mergeCells>
  <conditionalFormatting sqref="B3 B5 B7 B9 B11 B13 B15 B17 B19 B21 B23 B25 B27 B29 B31 B33 B35 B37 B39 B41 B43">
    <cfRule type="cellIs" dxfId="5" priority="7" operator="equal">
      <formula>0</formula>
    </cfRule>
  </conditionalFormatting>
  <conditionalFormatting sqref="C2:W2">
    <cfRule type="cellIs" dxfId="4" priority="8" operator="equal">
      <formula>0</formula>
    </cfRule>
  </conditionalFormatting>
  <conditionalFormatting sqref="C3:W44">
    <cfRule type="colorScale" priority="203">
      <colorScale>
        <cfvo type="min"/>
        <cfvo type="num" val="$W$45"/>
        <cfvo type="max"/>
        <color rgb="FFF8696B"/>
        <color rgb="FFFFEB84"/>
        <color rgb="FF63BE7B"/>
      </colorScale>
    </cfRule>
  </conditionalFormatting>
  <conditionalFormatting sqref="Y1:Y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{64DFD268-1CBB-4B0B-B240-A0D1E6033C94}</x14:id>
        </ext>
      </extLst>
    </cfRule>
  </conditionalFormatting>
  <conditionalFormatting sqref="Z1:Z1048576">
    <cfRule type="colorScale" priority="204">
      <colorScale>
        <cfvo type="min"/>
        <cfvo type="num" val="$W$45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DFD268-1CBB-4B0B-B240-A0D1E6033C94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Y1:Y1048576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23"/>
  <sheetViews>
    <sheetView zoomScale="90" zoomScaleNormal="90" workbookViewId="0">
      <selection activeCell="G10" sqref="G10"/>
    </sheetView>
  </sheetViews>
  <sheetFormatPr defaultColWidth="9.1796875" defaultRowHeight="14.5" x14ac:dyDescent="0.35"/>
  <cols>
    <col min="1" max="1" width="4.1796875" style="14" customWidth="1"/>
    <col min="2" max="2" width="9.1796875" style="14" customWidth="1"/>
    <col min="3" max="23" width="6.7265625" style="14" customWidth="1"/>
    <col min="24" max="25" width="5.7265625" style="14" customWidth="1"/>
    <col min="26" max="16384" width="9.1796875" style="14"/>
  </cols>
  <sheetData>
    <row r="1" spans="1:23" ht="15" thickBot="1" x14ac:dyDescent="0.4">
      <c r="A1" s="216"/>
      <c r="B1" s="216"/>
      <c r="C1" s="216" t="s">
        <v>4</v>
      </c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</row>
    <row r="2" spans="1:23" ht="15" thickBot="1" x14ac:dyDescent="0.4">
      <c r="A2" s="216"/>
      <c r="B2" s="216"/>
      <c r="C2" s="134" t="str">
        <f>Neu!B4</f>
        <v>A</v>
      </c>
      <c r="D2" s="135" t="str">
        <f>Neu!B5</f>
        <v>B</v>
      </c>
      <c r="E2" s="135" t="str">
        <f>Neu!B6</f>
        <v>C</v>
      </c>
      <c r="F2" s="135">
        <f>Neu!B7</f>
        <v>0</v>
      </c>
      <c r="G2" s="135">
        <f>Neu!B8</f>
        <v>0</v>
      </c>
      <c r="H2" s="135">
        <f>Neu!B9</f>
        <v>0</v>
      </c>
      <c r="I2" s="135">
        <f>Neu!B10</f>
        <v>0</v>
      </c>
      <c r="J2" s="135">
        <f>Neu!B11</f>
        <v>0</v>
      </c>
      <c r="K2" s="135">
        <f>Neu!B12</f>
        <v>0</v>
      </c>
      <c r="L2" s="135">
        <f>Neu!B13</f>
        <v>0</v>
      </c>
      <c r="M2" s="135">
        <f>Neu!B14</f>
        <v>0</v>
      </c>
      <c r="N2" s="135">
        <f>Neu!B15</f>
        <v>0</v>
      </c>
      <c r="O2" s="135">
        <f>Neu!B16</f>
        <v>0</v>
      </c>
      <c r="P2" s="135">
        <f>Neu!B17</f>
        <v>0</v>
      </c>
      <c r="Q2" s="135">
        <f>Neu!$B18</f>
        <v>0</v>
      </c>
      <c r="R2" s="135">
        <f>Neu!$B19</f>
        <v>0</v>
      </c>
      <c r="S2" s="135">
        <f>Neu!$B20</f>
        <v>0</v>
      </c>
      <c r="T2" s="135">
        <f>Neu!$B21</f>
        <v>0</v>
      </c>
      <c r="U2" s="135">
        <f>Neu!$B22</f>
        <v>0</v>
      </c>
      <c r="V2" s="135">
        <f>Neu!$B23</f>
        <v>0</v>
      </c>
      <c r="W2" s="136">
        <f>Neu!$B24</f>
        <v>0</v>
      </c>
    </row>
    <row r="3" spans="1:23" ht="29.15" customHeight="1" x14ac:dyDescent="0.35">
      <c r="A3" s="217" t="s">
        <v>5</v>
      </c>
      <c r="B3" s="2" t="str">
        <f>Neu!B4</f>
        <v>A</v>
      </c>
      <c r="C3" s="78"/>
      <c r="D3" s="79">
        <f>C4</f>
        <v>0</v>
      </c>
      <c r="E3" s="79">
        <f>C5</f>
        <v>0</v>
      </c>
      <c r="F3" s="79">
        <f>C6</f>
        <v>0</v>
      </c>
      <c r="G3" s="7">
        <f>C7</f>
        <v>0</v>
      </c>
      <c r="H3" s="79">
        <f>C8</f>
        <v>0</v>
      </c>
      <c r="I3" s="79">
        <f>C9</f>
        <v>0</v>
      </c>
      <c r="J3" s="79">
        <f>C10</f>
        <v>0</v>
      </c>
      <c r="K3" s="79">
        <f>C11</f>
        <v>0</v>
      </c>
      <c r="L3" s="79">
        <f>C12</f>
        <v>0</v>
      </c>
      <c r="M3" s="7">
        <f>C13</f>
        <v>0</v>
      </c>
      <c r="N3" s="79">
        <f>C14</f>
        <v>0</v>
      </c>
      <c r="O3" s="79">
        <f>C14</f>
        <v>0</v>
      </c>
      <c r="P3" s="7">
        <f>C16</f>
        <v>0</v>
      </c>
      <c r="Q3" s="80">
        <f>C17</f>
        <v>0</v>
      </c>
      <c r="R3" s="80">
        <f>C18</f>
        <v>0</v>
      </c>
      <c r="S3" s="80">
        <f>C19</f>
        <v>0</v>
      </c>
      <c r="T3" s="80">
        <f>C20</f>
        <v>0</v>
      </c>
      <c r="U3" s="80">
        <f>C21</f>
        <v>0</v>
      </c>
      <c r="V3" s="80">
        <f>C22</f>
        <v>0</v>
      </c>
      <c r="W3" s="81">
        <f>C23</f>
        <v>0</v>
      </c>
    </row>
    <row r="4" spans="1:23" ht="29.15" customHeight="1" x14ac:dyDescent="0.35">
      <c r="A4" s="217"/>
      <c r="B4" s="3" t="str">
        <f>Neu!B5</f>
        <v>B</v>
      </c>
      <c r="C4" s="82"/>
      <c r="D4" s="74"/>
      <c r="E4" s="7">
        <f>D5</f>
        <v>0</v>
      </c>
      <c r="F4" s="7">
        <f>D6</f>
        <v>0</v>
      </c>
      <c r="G4" s="7">
        <f>D7</f>
        <v>0</v>
      </c>
      <c r="H4" s="7">
        <f>D8</f>
        <v>0</v>
      </c>
      <c r="I4" s="7">
        <f>D9</f>
        <v>0</v>
      </c>
      <c r="J4" s="7">
        <f>D10</f>
        <v>0</v>
      </c>
      <c r="K4" s="7">
        <f>D11</f>
        <v>0</v>
      </c>
      <c r="L4" s="7">
        <f>D12</f>
        <v>0</v>
      </c>
      <c r="M4" s="7">
        <f>D13</f>
        <v>0</v>
      </c>
      <c r="N4" s="7">
        <f>D14</f>
        <v>0</v>
      </c>
      <c r="O4" s="7">
        <f>D15</f>
        <v>0</v>
      </c>
      <c r="P4" s="7">
        <f>D16</f>
        <v>0</v>
      </c>
      <c r="Q4" s="75">
        <f>D17</f>
        <v>0</v>
      </c>
      <c r="R4" s="75">
        <f>D18</f>
        <v>0</v>
      </c>
      <c r="S4" s="73">
        <f>D19</f>
        <v>0</v>
      </c>
      <c r="T4" s="73">
        <f>D20</f>
        <v>0</v>
      </c>
      <c r="U4" s="73">
        <f>D21</f>
        <v>0</v>
      </c>
      <c r="V4" s="73">
        <f>D22</f>
        <v>0</v>
      </c>
      <c r="W4" s="6">
        <f>D23</f>
        <v>0</v>
      </c>
    </row>
    <row r="5" spans="1:23" ht="29.15" customHeight="1" x14ac:dyDescent="0.35">
      <c r="A5" s="217"/>
      <c r="B5" s="3" t="str">
        <f>Neu!B6</f>
        <v>C</v>
      </c>
      <c r="C5" s="82"/>
      <c r="D5" s="7"/>
      <c r="E5" s="74"/>
      <c r="F5" s="7">
        <f>E6</f>
        <v>0</v>
      </c>
      <c r="G5" s="7">
        <f>E7</f>
        <v>0</v>
      </c>
      <c r="H5" s="7">
        <f>E8</f>
        <v>0</v>
      </c>
      <c r="I5" s="7">
        <f>E9</f>
        <v>0</v>
      </c>
      <c r="J5" s="7">
        <f>E10</f>
        <v>0</v>
      </c>
      <c r="K5" s="7">
        <f>E11</f>
        <v>0</v>
      </c>
      <c r="L5" s="7">
        <f>E12</f>
        <v>0</v>
      </c>
      <c r="M5" s="7">
        <f>E13</f>
        <v>0</v>
      </c>
      <c r="N5" s="7">
        <f>E14</f>
        <v>0</v>
      </c>
      <c r="O5" s="7">
        <f>E15</f>
        <v>0</v>
      </c>
      <c r="P5" s="7">
        <f>E16</f>
        <v>0</v>
      </c>
      <c r="Q5" s="75">
        <f>E17</f>
        <v>0</v>
      </c>
      <c r="R5" s="75">
        <f>E18</f>
        <v>0</v>
      </c>
      <c r="S5" s="73">
        <f>E19</f>
        <v>0</v>
      </c>
      <c r="T5" s="73">
        <f>E20</f>
        <v>0</v>
      </c>
      <c r="U5" s="73">
        <f>E21</f>
        <v>0</v>
      </c>
      <c r="V5" s="73">
        <f>E22</f>
        <v>0</v>
      </c>
      <c r="W5" s="6">
        <f>E23</f>
        <v>0</v>
      </c>
    </row>
    <row r="6" spans="1:23" ht="29.15" customHeight="1" x14ac:dyDescent="0.35">
      <c r="A6" s="217"/>
      <c r="B6" s="3">
        <f>Neu!B7</f>
        <v>0</v>
      </c>
      <c r="C6" s="82"/>
      <c r="D6" s="7"/>
      <c r="E6" s="7"/>
      <c r="F6" s="74"/>
      <c r="G6" s="7">
        <f>F7</f>
        <v>0</v>
      </c>
      <c r="H6" s="7">
        <f>F8</f>
        <v>0</v>
      </c>
      <c r="I6" s="7">
        <f>F9</f>
        <v>0</v>
      </c>
      <c r="J6" s="7">
        <f>F10</f>
        <v>0</v>
      </c>
      <c r="K6" s="7">
        <f>F11</f>
        <v>0</v>
      </c>
      <c r="L6" s="7">
        <f>F12</f>
        <v>0</v>
      </c>
      <c r="M6" s="7">
        <f>F13</f>
        <v>0</v>
      </c>
      <c r="N6" s="7">
        <f>F14</f>
        <v>0</v>
      </c>
      <c r="O6" s="7">
        <f>F15</f>
        <v>0</v>
      </c>
      <c r="P6" s="7">
        <f>F16</f>
        <v>0</v>
      </c>
      <c r="Q6" s="75">
        <f>F17</f>
        <v>0</v>
      </c>
      <c r="R6" s="75">
        <f>F18</f>
        <v>0</v>
      </c>
      <c r="S6" s="73">
        <f>F19</f>
        <v>0</v>
      </c>
      <c r="T6" s="73">
        <f>F20</f>
        <v>0</v>
      </c>
      <c r="U6" s="73">
        <f>F21</f>
        <v>0</v>
      </c>
      <c r="V6" s="73">
        <f>F22</f>
        <v>0</v>
      </c>
      <c r="W6" s="6">
        <f>F23</f>
        <v>0</v>
      </c>
    </row>
    <row r="7" spans="1:23" ht="29.15" customHeight="1" x14ac:dyDescent="0.35">
      <c r="A7" s="217"/>
      <c r="B7" s="3">
        <f>Neu!B8</f>
        <v>0</v>
      </c>
      <c r="C7" s="82"/>
      <c r="D7" s="7"/>
      <c r="E7" s="7"/>
      <c r="F7" s="7"/>
      <c r="G7" s="74"/>
      <c r="H7" s="7">
        <f>G8</f>
        <v>0</v>
      </c>
      <c r="I7" s="7">
        <f>G9</f>
        <v>0</v>
      </c>
      <c r="J7" s="7">
        <f>G10</f>
        <v>0</v>
      </c>
      <c r="K7" s="7">
        <f>G11</f>
        <v>0</v>
      </c>
      <c r="L7" s="7">
        <f>G12</f>
        <v>0</v>
      </c>
      <c r="M7" s="7">
        <f>G13</f>
        <v>0</v>
      </c>
      <c r="N7" s="7">
        <f>G14</f>
        <v>0</v>
      </c>
      <c r="O7" s="7">
        <f>G15</f>
        <v>0</v>
      </c>
      <c r="P7" s="7">
        <f>G16</f>
        <v>0</v>
      </c>
      <c r="Q7" s="75">
        <f>G17</f>
        <v>0</v>
      </c>
      <c r="R7" s="75">
        <f>G18</f>
        <v>0</v>
      </c>
      <c r="S7" s="73">
        <f>G19</f>
        <v>0</v>
      </c>
      <c r="T7" s="73">
        <f>G20</f>
        <v>0</v>
      </c>
      <c r="U7" s="73">
        <f>G21</f>
        <v>0</v>
      </c>
      <c r="V7" s="73">
        <f>G22</f>
        <v>0</v>
      </c>
      <c r="W7" s="6">
        <f>G23</f>
        <v>0</v>
      </c>
    </row>
    <row r="8" spans="1:23" ht="29.15" customHeight="1" x14ac:dyDescent="0.35">
      <c r="A8" s="217"/>
      <c r="B8" s="3">
        <f>Neu!B9</f>
        <v>0</v>
      </c>
      <c r="C8" s="82"/>
      <c r="D8" s="7"/>
      <c r="E8" s="7"/>
      <c r="F8" s="7"/>
      <c r="G8" s="7"/>
      <c r="H8" s="74"/>
      <c r="I8" s="7">
        <f>H9</f>
        <v>0</v>
      </c>
      <c r="J8" s="7">
        <f>H10</f>
        <v>0</v>
      </c>
      <c r="K8" s="7">
        <f>H11</f>
        <v>0</v>
      </c>
      <c r="L8" s="7">
        <f>H12</f>
        <v>0</v>
      </c>
      <c r="M8" s="7">
        <f>H13</f>
        <v>0</v>
      </c>
      <c r="N8" s="7">
        <f>H14</f>
        <v>0</v>
      </c>
      <c r="O8" s="7">
        <f>H15</f>
        <v>0</v>
      </c>
      <c r="P8" s="7">
        <f>H16</f>
        <v>0</v>
      </c>
      <c r="Q8" s="75">
        <f>H17</f>
        <v>0</v>
      </c>
      <c r="R8" s="75">
        <f>H18</f>
        <v>0</v>
      </c>
      <c r="S8" s="73">
        <f>H19</f>
        <v>0</v>
      </c>
      <c r="T8" s="73">
        <f>H20</f>
        <v>0</v>
      </c>
      <c r="U8" s="73">
        <f>H21</f>
        <v>0</v>
      </c>
      <c r="V8" s="73">
        <f>H22</f>
        <v>0</v>
      </c>
      <c r="W8" s="6">
        <f>H23</f>
        <v>0</v>
      </c>
    </row>
    <row r="9" spans="1:23" ht="29.15" customHeight="1" x14ac:dyDescent="0.35">
      <c r="A9" s="217"/>
      <c r="B9" s="3">
        <f>Neu!B10</f>
        <v>0</v>
      </c>
      <c r="C9" s="82"/>
      <c r="D9" s="7"/>
      <c r="E9" s="7"/>
      <c r="F9" s="7"/>
      <c r="G9" s="7"/>
      <c r="H9" s="7"/>
      <c r="I9" s="74"/>
      <c r="J9" s="7">
        <f>I10</f>
        <v>0</v>
      </c>
      <c r="K9" s="7">
        <f>I11</f>
        <v>0</v>
      </c>
      <c r="L9" s="7">
        <f>I12</f>
        <v>0</v>
      </c>
      <c r="M9" s="7">
        <f>I13</f>
        <v>0</v>
      </c>
      <c r="N9" s="7">
        <f>I14</f>
        <v>0</v>
      </c>
      <c r="O9" s="7">
        <f>I15</f>
        <v>0</v>
      </c>
      <c r="P9" s="7">
        <f>I16</f>
        <v>0</v>
      </c>
      <c r="Q9" s="75">
        <f>I17</f>
        <v>0</v>
      </c>
      <c r="R9" s="75">
        <f>I18</f>
        <v>0</v>
      </c>
      <c r="S9" s="73">
        <f>I19</f>
        <v>0</v>
      </c>
      <c r="T9" s="73">
        <f>I20</f>
        <v>0</v>
      </c>
      <c r="U9" s="73">
        <f>I21</f>
        <v>0</v>
      </c>
      <c r="V9" s="73">
        <f>I22</f>
        <v>0</v>
      </c>
      <c r="W9" s="6">
        <f>I23</f>
        <v>0</v>
      </c>
    </row>
    <row r="10" spans="1:23" ht="29.15" customHeight="1" x14ac:dyDescent="0.35">
      <c r="A10" s="217"/>
      <c r="B10" s="3">
        <f>Neu!B11</f>
        <v>0</v>
      </c>
      <c r="C10" s="82"/>
      <c r="D10" s="7"/>
      <c r="E10" s="7"/>
      <c r="F10" s="7"/>
      <c r="G10" s="7"/>
      <c r="H10" s="7"/>
      <c r="I10" s="7"/>
      <c r="J10" s="74"/>
      <c r="K10" s="7">
        <f>J11</f>
        <v>0</v>
      </c>
      <c r="L10" s="7">
        <f>J12</f>
        <v>0</v>
      </c>
      <c r="M10" s="7">
        <f>J13</f>
        <v>0</v>
      </c>
      <c r="N10" s="7">
        <f>J14</f>
        <v>0</v>
      </c>
      <c r="O10" s="7">
        <f>J15</f>
        <v>0</v>
      </c>
      <c r="P10" s="7">
        <f>J16</f>
        <v>0</v>
      </c>
      <c r="Q10" s="75">
        <f>J17</f>
        <v>0</v>
      </c>
      <c r="R10" s="75">
        <f>J18</f>
        <v>0</v>
      </c>
      <c r="S10" s="73">
        <f>J19</f>
        <v>0</v>
      </c>
      <c r="T10" s="73">
        <f>J20</f>
        <v>0</v>
      </c>
      <c r="U10" s="73">
        <f>J21</f>
        <v>0</v>
      </c>
      <c r="V10" s="73">
        <f>J22</f>
        <v>0</v>
      </c>
      <c r="W10" s="6">
        <f>J23</f>
        <v>0</v>
      </c>
    </row>
    <row r="11" spans="1:23" ht="29.15" customHeight="1" x14ac:dyDescent="0.35">
      <c r="A11" s="217"/>
      <c r="B11" s="3">
        <f>Neu!B12</f>
        <v>0</v>
      </c>
      <c r="C11" s="82"/>
      <c r="D11" s="7"/>
      <c r="E11" s="7"/>
      <c r="F11" s="7"/>
      <c r="G11" s="7"/>
      <c r="H11" s="7"/>
      <c r="I11" s="7"/>
      <c r="J11" s="7"/>
      <c r="K11" s="74"/>
      <c r="L11" s="7">
        <f>K12</f>
        <v>0</v>
      </c>
      <c r="M11" s="7">
        <f>K13</f>
        <v>0</v>
      </c>
      <c r="N11" s="7">
        <f>K14</f>
        <v>0</v>
      </c>
      <c r="O11" s="7">
        <f>K15</f>
        <v>0</v>
      </c>
      <c r="P11" s="7">
        <f>K16</f>
        <v>0</v>
      </c>
      <c r="Q11" s="75">
        <f>K17</f>
        <v>0</v>
      </c>
      <c r="R11" s="75">
        <f>K18</f>
        <v>0</v>
      </c>
      <c r="S11" s="73">
        <f>K19</f>
        <v>0</v>
      </c>
      <c r="T11" s="73">
        <f>K20</f>
        <v>0</v>
      </c>
      <c r="U11" s="73">
        <f>K21</f>
        <v>0</v>
      </c>
      <c r="V11" s="73">
        <f>K22</f>
        <v>0</v>
      </c>
      <c r="W11" s="6">
        <f>K23</f>
        <v>0</v>
      </c>
    </row>
    <row r="12" spans="1:23" ht="29.15" customHeight="1" x14ac:dyDescent="0.35">
      <c r="A12" s="217"/>
      <c r="B12" s="3">
        <f>Neu!B13</f>
        <v>0</v>
      </c>
      <c r="C12" s="82"/>
      <c r="D12" s="7"/>
      <c r="E12" s="7"/>
      <c r="F12" s="7"/>
      <c r="G12" s="7"/>
      <c r="H12" s="7"/>
      <c r="I12" s="7"/>
      <c r="J12" s="7"/>
      <c r="K12" s="7"/>
      <c r="L12" s="74"/>
      <c r="M12" s="7">
        <f>L13</f>
        <v>0</v>
      </c>
      <c r="N12" s="7">
        <f>L14</f>
        <v>0</v>
      </c>
      <c r="O12" s="7">
        <f>L15</f>
        <v>0</v>
      </c>
      <c r="P12" s="7">
        <f>L16</f>
        <v>0</v>
      </c>
      <c r="Q12" s="75">
        <f>L17</f>
        <v>0</v>
      </c>
      <c r="R12" s="75">
        <f>L18</f>
        <v>0</v>
      </c>
      <c r="S12" s="73">
        <f>L19</f>
        <v>0</v>
      </c>
      <c r="T12" s="73">
        <f>L20</f>
        <v>0</v>
      </c>
      <c r="U12" s="73">
        <f>L21</f>
        <v>0</v>
      </c>
      <c r="V12" s="73">
        <f>L22</f>
        <v>0</v>
      </c>
      <c r="W12" s="6">
        <f>L23</f>
        <v>0</v>
      </c>
    </row>
    <row r="13" spans="1:23" ht="29.15" customHeight="1" x14ac:dyDescent="0.35">
      <c r="A13" s="217"/>
      <c r="B13" s="3">
        <f>Neu!B14</f>
        <v>0</v>
      </c>
      <c r="C13" s="82"/>
      <c r="D13" s="7"/>
      <c r="E13" s="7"/>
      <c r="F13" s="7"/>
      <c r="G13" s="7"/>
      <c r="H13" s="7"/>
      <c r="I13" s="7"/>
      <c r="J13" s="7"/>
      <c r="K13" s="7"/>
      <c r="L13" s="7"/>
      <c r="M13" s="74"/>
      <c r="N13" s="7">
        <f>M14</f>
        <v>0</v>
      </c>
      <c r="O13" s="7">
        <f>M15</f>
        <v>0</v>
      </c>
      <c r="P13" s="7">
        <f>M16</f>
        <v>0</v>
      </c>
      <c r="Q13" s="75">
        <f>M17</f>
        <v>0</v>
      </c>
      <c r="R13" s="75">
        <f>M18</f>
        <v>0</v>
      </c>
      <c r="S13" s="73">
        <f>M19</f>
        <v>0</v>
      </c>
      <c r="T13" s="73">
        <f>M20</f>
        <v>0</v>
      </c>
      <c r="U13" s="73">
        <f>M21</f>
        <v>0</v>
      </c>
      <c r="V13" s="73">
        <f>M22</f>
        <v>0</v>
      </c>
      <c r="W13" s="6">
        <f>M23</f>
        <v>0</v>
      </c>
    </row>
    <row r="14" spans="1:23" ht="29.15" customHeight="1" x14ac:dyDescent="0.35">
      <c r="A14" s="217"/>
      <c r="B14" s="3">
        <f>Neu!B15</f>
        <v>0</v>
      </c>
      <c r="C14" s="82"/>
      <c r="D14" s="7"/>
      <c r="E14" s="7"/>
      <c r="F14" s="7"/>
      <c r="G14" s="7"/>
      <c r="H14" s="7"/>
      <c r="I14" s="7"/>
      <c r="J14" s="7"/>
      <c r="K14" s="7"/>
      <c r="L14" s="7"/>
      <c r="M14" s="7"/>
      <c r="N14" s="74"/>
      <c r="O14" s="7">
        <f>N15</f>
        <v>0</v>
      </c>
      <c r="P14" s="7">
        <f>N16</f>
        <v>0</v>
      </c>
      <c r="Q14" s="75">
        <f>N17</f>
        <v>0</v>
      </c>
      <c r="R14" s="75">
        <f>N18</f>
        <v>0</v>
      </c>
      <c r="S14" s="73">
        <f>N19</f>
        <v>0</v>
      </c>
      <c r="T14" s="73">
        <f>N20</f>
        <v>0</v>
      </c>
      <c r="U14" s="73">
        <f>N21</f>
        <v>0</v>
      </c>
      <c r="V14" s="73">
        <f>N22</f>
        <v>0</v>
      </c>
      <c r="W14" s="6">
        <f>N23</f>
        <v>0</v>
      </c>
    </row>
    <row r="15" spans="1:23" ht="29.15" customHeight="1" x14ac:dyDescent="0.35">
      <c r="A15" s="217"/>
      <c r="B15" s="3">
        <f>Neu!B16</f>
        <v>0</v>
      </c>
      <c r="C15" s="82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4"/>
      <c r="P15" s="7">
        <f>O16</f>
        <v>0</v>
      </c>
      <c r="Q15" s="75">
        <f>O17</f>
        <v>0</v>
      </c>
      <c r="R15" s="75">
        <f>O18</f>
        <v>0</v>
      </c>
      <c r="S15" s="73">
        <f>O19</f>
        <v>0</v>
      </c>
      <c r="T15" s="73">
        <f>O20</f>
        <v>0</v>
      </c>
      <c r="U15" s="73">
        <f>O21</f>
        <v>0</v>
      </c>
      <c r="V15" s="73">
        <f>O22</f>
        <v>0</v>
      </c>
      <c r="W15" s="6">
        <f>O23</f>
        <v>0</v>
      </c>
    </row>
    <row r="16" spans="1:23" ht="29.15" customHeight="1" x14ac:dyDescent="0.35">
      <c r="A16" s="217"/>
      <c r="B16" s="3">
        <f>Neu!B17</f>
        <v>0</v>
      </c>
      <c r="C16" s="82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4"/>
      <c r="Q16" s="75">
        <f>P17</f>
        <v>0</v>
      </c>
      <c r="R16" s="75">
        <f>P18</f>
        <v>0</v>
      </c>
      <c r="S16" s="73">
        <f>P19</f>
        <v>0</v>
      </c>
      <c r="T16" s="73">
        <f>P20</f>
        <v>0</v>
      </c>
      <c r="U16" s="73">
        <f>P21</f>
        <v>0</v>
      </c>
      <c r="V16" s="73">
        <f>P22</f>
        <v>0</v>
      </c>
      <c r="W16" s="6">
        <f>P23</f>
        <v>0</v>
      </c>
    </row>
    <row r="17" spans="1:23" ht="29.15" customHeight="1" x14ac:dyDescent="0.35">
      <c r="A17" s="217"/>
      <c r="B17" s="3">
        <f>Neu!B18</f>
        <v>0</v>
      </c>
      <c r="C17" s="83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7"/>
      <c r="R17" s="75">
        <f>Q18</f>
        <v>0</v>
      </c>
      <c r="S17" s="73">
        <f>Q19</f>
        <v>0</v>
      </c>
      <c r="T17" s="73">
        <f>Q20</f>
        <v>0</v>
      </c>
      <c r="U17" s="73">
        <f>Q21</f>
        <v>0</v>
      </c>
      <c r="V17" s="73">
        <f>Q22</f>
        <v>0</v>
      </c>
      <c r="W17" s="6">
        <f>Q23</f>
        <v>0</v>
      </c>
    </row>
    <row r="18" spans="1:23" ht="29.15" customHeight="1" x14ac:dyDescent="0.35">
      <c r="B18" s="3">
        <f>Neu!B19</f>
        <v>0</v>
      </c>
      <c r="C18" s="82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4"/>
      <c r="S18" s="73">
        <f>R19</f>
        <v>0</v>
      </c>
      <c r="T18" s="73">
        <f>R20</f>
        <v>0</v>
      </c>
      <c r="U18" s="73">
        <f>R21</f>
        <v>0</v>
      </c>
      <c r="V18" s="73">
        <f>R22</f>
        <v>0</v>
      </c>
      <c r="W18" s="6">
        <f>R23</f>
        <v>0</v>
      </c>
    </row>
    <row r="19" spans="1:23" ht="29.15" customHeight="1" x14ac:dyDescent="0.35">
      <c r="B19" s="3">
        <f>Neu!B20</f>
        <v>0</v>
      </c>
      <c r="C19" s="82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4"/>
      <c r="T19" s="73">
        <f>S20</f>
        <v>0</v>
      </c>
      <c r="U19" s="73">
        <f>S21</f>
        <v>0</v>
      </c>
      <c r="V19" s="73">
        <f>S22</f>
        <v>0</v>
      </c>
      <c r="W19" s="6">
        <f>S23</f>
        <v>0</v>
      </c>
    </row>
    <row r="20" spans="1:23" ht="29.15" customHeight="1" x14ac:dyDescent="0.35">
      <c r="B20" s="3">
        <f>Neu!B21</f>
        <v>0</v>
      </c>
      <c r="C20" s="82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4"/>
      <c r="U20" s="73">
        <f>T21</f>
        <v>0</v>
      </c>
      <c r="V20" s="73">
        <f>T22</f>
        <v>0</v>
      </c>
      <c r="W20" s="6">
        <f>T23</f>
        <v>0</v>
      </c>
    </row>
    <row r="21" spans="1:23" ht="29.15" customHeight="1" x14ac:dyDescent="0.35">
      <c r="B21" s="3">
        <f>Neu!B22</f>
        <v>0</v>
      </c>
      <c r="C21" s="82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4"/>
      <c r="V21" s="73">
        <f>U22</f>
        <v>0</v>
      </c>
      <c r="W21" s="6">
        <f>U23</f>
        <v>0</v>
      </c>
    </row>
    <row r="22" spans="1:23" ht="29.15" customHeight="1" x14ac:dyDescent="0.35">
      <c r="B22" s="3">
        <f>Neu!B23</f>
        <v>0</v>
      </c>
      <c r="C22" s="82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4"/>
      <c r="W22" s="6">
        <f>V23</f>
        <v>0</v>
      </c>
    </row>
    <row r="23" spans="1:23" ht="29.15" customHeight="1" thickBot="1" x14ac:dyDescent="0.4">
      <c r="B23" s="5">
        <f>Neu!B24</f>
        <v>0</v>
      </c>
      <c r="C23" s="84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5"/>
    </row>
  </sheetData>
  <mergeCells count="3">
    <mergeCell ref="A1:B2"/>
    <mergeCell ref="C1:Q1"/>
    <mergeCell ref="A3:A17"/>
  </mergeCells>
  <conditionalFormatting sqref="B3:B23">
    <cfRule type="cellIs" dxfId="3" priority="11" operator="equal">
      <formula>0</formula>
    </cfRule>
  </conditionalFormatting>
  <conditionalFormatting sqref="C2:W2">
    <cfRule type="cellIs" dxfId="2" priority="12" operator="equal">
      <formula>0</formula>
    </cfRule>
  </conditionalFormatting>
  <conditionalFormatting sqref="C3:W23">
    <cfRule type="colorScale" priority="10">
      <colorScale>
        <cfvo type="min"/>
        <cfvo type="max"/>
        <color theme="0"/>
        <color rgb="FFFF0000"/>
      </colorScale>
    </cfRule>
  </conditionalFormatting>
  <conditionalFormatting sqref="D3:W3 E4:W4 F5:W5 G6:W6 H7:W7 I8:W8 J9:W9 K10:W10 L11:W11 M12:W12 N13:W13 O14:W14 P15:W15 Q16:W16 R17:W17 S18:W18 T19:W19 U20:W20 V21:W21 W22">
    <cfRule type="cellIs" dxfId="1" priority="1" operator="equal">
      <formula>0</formula>
    </cfRule>
    <cfRule type="cellIs" dxfId="0" priority="9" operator="equal">
      <formula>0</formula>
    </cfRule>
  </conditionalFormatting>
  <conditionalFormatting sqref="E4:W4 F5:W5 G6:W6 H7:W7 I8:W8 J9:W9 K10:W10 L11:W11 M12:W12 N13:W13 O14:W14 P15:W15 Q16:W16 R17:W17 S18:W18 T19:W19 U20:W20 V21:W21 W22 D3:W3">
    <cfRule type="colorScale" priority="8">
      <colorScale>
        <cfvo type="min"/>
        <cfvo type="max"/>
        <color theme="4" tint="0.79998168889431442"/>
        <color rgb="FFFF0000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4"/>
  <sheetViews>
    <sheetView workbookViewId="0">
      <selection activeCell="B5" sqref="B5"/>
    </sheetView>
  </sheetViews>
  <sheetFormatPr defaultColWidth="9.1796875" defaultRowHeight="14.5" x14ac:dyDescent="0.35"/>
  <cols>
    <col min="1" max="1" width="35.453125" style="21" customWidth="1"/>
    <col min="2" max="2" width="10.81640625" style="22" customWidth="1"/>
    <col min="3" max="3" width="9.1796875" style="22"/>
    <col min="4" max="4" width="17.1796875" style="22" customWidth="1"/>
    <col min="5" max="16384" width="9.1796875" style="22"/>
  </cols>
  <sheetData>
    <row r="1" spans="1:4" x14ac:dyDescent="0.35">
      <c r="A1" s="23"/>
      <c r="B1" s="24" t="s">
        <v>15</v>
      </c>
      <c r="C1" s="24" t="s">
        <v>16</v>
      </c>
      <c r="D1" s="24" t="s">
        <v>17</v>
      </c>
    </row>
    <row r="2" spans="1:4" x14ac:dyDescent="0.35">
      <c r="A2" s="23" t="s">
        <v>18</v>
      </c>
      <c r="B2" s="30">
        <v>0</v>
      </c>
      <c r="C2" s="30">
        <v>200</v>
      </c>
      <c r="D2" s="30">
        <v>10</v>
      </c>
    </row>
    <row r="3" spans="1:4" x14ac:dyDescent="0.35">
      <c r="A3" s="23" t="s">
        <v>20</v>
      </c>
      <c r="B3" s="30">
        <v>0</v>
      </c>
      <c r="C3" s="30">
        <v>200</v>
      </c>
      <c r="D3" s="30">
        <v>10</v>
      </c>
    </row>
    <row r="4" spans="1:4" x14ac:dyDescent="0.35">
      <c r="A4" s="23" t="s">
        <v>19</v>
      </c>
      <c r="B4" s="30">
        <v>0</v>
      </c>
      <c r="C4" s="30">
        <v>200</v>
      </c>
      <c r="D4" s="30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Neu</vt:lpstr>
      <vt:lpstr>rockon.smu</vt:lpstr>
      <vt:lpstr>synapse.smu</vt:lpstr>
      <vt:lpstr>cs_g</vt:lpstr>
      <vt:lpstr>cs_E</vt:lpstr>
      <vt:lpstr>cs_FAT</vt:lpstr>
      <vt:lpstr>es</vt:lpstr>
      <vt:lpstr>noise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Neveu, Curtis L</dc:creator>
  <cp:lastModifiedBy>Uri Dickman</cp:lastModifiedBy>
  <dcterms:created xsi:type="dcterms:W3CDTF">2020-08-05T22:20:23Z</dcterms:created>
  <dcterms:modified xsi:type="dcterms:W3CDTF">2024-11-05T19:05:01Z</dcterms:modified>
</cp:coreProperties>
</file>