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F0544A87-A7D1-4BC7-9ABA-806CF0E1D7DD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Neu" sheetId="3" r:id="rId1"/>
    <sheet name="FOR AVY31.smu" sheetId="22" r:id="rId2"/>
    <sheet name="FOR AVY31P.smu" sheetId="24" r:id="rId3"/>
    <sheet name="FOR AVY63.smu" sheetId="23" r:id="rId4"/>
    <sheet name="For AVY63P.smu" sheetId="25" r:id="rId5"/>
    <sheet name="BMP64_l.smu" sheetId="15" r:id="rId6"/>
    <sheet name="BMP64_r.smu" sheetId="16" r:id="rId7"/>
    <sheet name="BMP2SIMPLE_l.smu" sheetId="13" r:id="rId8"/>
    <sheet name="BMP2SIMPLE_r.smu" sheetId="17" r:id="rId9"/>
    <sheet name="BMP_TONIC_l.smu" sheetId="20" r:id="rId10"/>
    <sheet name="BMP_TONIC_r.smu" sheetId="21" r:id="rId11"/>
    <sheet name="BMP1_l.smu" sheetId="10" r:id="rId12"/>
    <sheet name="BMP1_r.smu" sheetId="18" r:id="rId13"/>
    <sheet name="VC_l.smu" sheetId="11" r:id="rId14"/>
    <sheet name="VC_r.smu" sheetId="19" r:id="rId15"/>
    <sheet name="BMP3SIMPLE.smu" sheetId="14" r:id="rId16"/>
    <sheet name="cs_g" sheetId="1" r:id="rId17"/>
    <sheet name="cs_E" sheetId="2" r:id="rId18"/>
    <sheet name="cs_FAT" sheetId="4" r:id="rId19"/>
    <sheet name="es" sheetId="5" r:id="rId20"/>
    <sheet name="noise" sheetId="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40" i="3" l="1"/>
  <c r="BD39" i="3"/>
  <c r="BD38" i="3"/>
  <c r="BD37" i="3"/>
  <c r="BD36" i="3"/>
  <c r="BD35" i="3"/>
  <c r="BD34" i="3"/>
  <c r="BD33" i="3"/>
  <c r="BD32" i="3"/>
  <c r="BD31" i="3"/>
  <c r="Z37" i="3"/>
  <c r="Z38" i="3"/>
  <c r="Z39" i="3"/>
  <c r="Z40" i="3"/>
  <c r="O37" i="3"/>
  <c r="O38" i="3"/>
  <c r="O39" i="3"/>
  <c r="O40" i="3"/>
  <c r="D38" i="3"/>
  <c r="D39" i="3"/>
  <c r="D40" i="3"/>
  <c r="D37" i="3"/>
  <c r="J9" i="5" l="1"/>
  <c r="K10" i="5"/>
  <c r="N9" i="5"/>
  <c r="I8" i="5"/>
  <c r="L2" i="5" l="1"/>
  <c r="K2" i="5"/>
  <c r="J2" i="5"/>
  <c r="I2" i="5"/>
  <c r="H2" i="5"/>
  <c r="G2" i="5"/>
  <c r="F2" i="5"/>
  <c r="E2" i="5"/>
  <c r="D2" i="5"/>
  <c r="C2" i="5"/>
  <c r="L2" i="4"/>
  <c r="K2" i="4"/>
  <c r="J2" i="4"/>
  <c r="I2" i="4"/>
  <c r="H2" i="4"/>
  <c r="G2" i="4"/>
  <c r="F2" i="4"/>
  <c r="E2" i="4"/>
  <c r="D2" i="4"/>
  <c r="C2" i="4"/>
  <c r="L2" i="2"/>
  <c r="K2" i="2"/>
  <c r="J2" i="2"/>
  <c r="I2" i="2"/>
  <c r="H2" i="2"/>
  <c r="G2" i="2"/>
  <c r="F2" i="2"/>
  <c r="E2" i="2"/>
  <c r="D2" i="2"/>
  <c r="C2" i="2"/>
  <c r="B12" i="5"/>
  <c r="B11" i="5"/>
  <c r="B10" i="5"/>
  <c r="B9" i="5"/>
  <c r="B8" i="5"/>
  <c r="B7" i="5"/>
  <c r="B6" i="5"/>
  <c r="B5" i="5"/>
  <c r="B4" i="5"/>
  <c r="B3" i="5"/>
  <c r="B21" i="4"/>
  <c r="B19" i="4"/>
  <c r="B17" i="4"/>
  <c r="B15" i="4"/>
  <c r="B13" i="4"/>
  <c r="B11" i="4"/>
  <c r="B9" i="4"/>
  <c r="B7" i="4"/>
  <c r="B5" i="4"/>
  <c r="B3" i="4"/>
  <c r="B21" i="2"/>
  <c r="B19" i="2"/>
  <c r="B17" i="2"/>
  <c r="B15" i="2"/>
  <c r="B13" i="2"/>
  <c r="B11" i="2"/>
  <c r="B9" i="2"/>
  <c r="B7" i="2"/>
  <c r="B5" i="2"/>
  <c r="B3" i="2"/>
  <c r="K2" i="1"/>
  <c r="J2" i="1"/>
  <c r="I2" i="1"/>
  <c r="B19" i="1"/>
  <c r="B17" i="1"/>
  <c r="B15" i="1"/>
  <c r="A13" i="3"/>
  <c r="A12" i="3"/>
  <c r="A11" i="3"/>
  <c r="A10" i="3"/>
  <c r="A9" i="3"/>
  <c r="A7" i="3" l="1"/>
  <c r="A8" i="3"/>
  <c r="D3" i="5" l="1"/>
  <c r="A5" i="3" l="1"/>
  <c r="A6" i="3"/>
  <c r="BD51" i="3" l="1"/>
  <c r="BD47" i="3"/>
  <c r="BD48" i="3"/>
  <c r="BD49" i="3"/>
  <c r="BD50" i="3"/>
  <c r="M3" i="5" l="1"/>
  <c r="G3" i="5"/>
  <c r="G4" i="5"/>
  <c r="A4" i="3" l="1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39" i="1"/>
  <c r="B37" i="1"/>
  <c r="B25" i="1"/>
  <c r="B23" i="1"/>
  <c r="B21" i="1"/>
  <c r="B13" i="1"/>
  <c r="B11" i="1"/>
  <c r="B9" i="1"/>
  <c r="B7" i="1"/>
  <c r="B5" i="1"/>
  <c r="B3" i="1"/>
  <c r="W2" i="1"/>
  <c r="U2" i="1"/>
  <c r="T2" i="1"/>
  <c r="N2" i="1"/>
  <c r="M2" i="1"/>
  <c r="L2" i="1"/>
  <c r="H2" i="1"/>
  <c r="G2" i="1"/>
  <c r="F2" i="1"/>
  <c r="E2" i="1"/>
  <c r="D2" i="1"/>
  <c r="C2" i="1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5" i="4"/>
  <c r="Y6" i="4"/>
  <c r="Y7" i="4"/>
  <c r="Y8" i="4"/>
  <c r="Y9" i="4"/>
  <c r="Z45" i="4" l="1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39" i="4"/>
  <c r="B37" i="4"/>
  <c r="B25" i="4"/>
  <c r="B23" i="4"/>
  <c r="W2" i="4"/>
  <c r="U2" i="4"/>
  <c r="T2" i="4"/>
  <c r="N2" i="4"/>
  <c r="M2" i="4"/>
  <c r="B43" i="2"/>
  <c r="B39" i="2"/>
  <c r="B37" i="2"/>
  <c r="B25" i="2"/>
  <c r="B23" i="2"/>
  <c r="W2" i="2"/>
  <c r="U2" i="2"/>
  <c r="T2" i="2"/>
  <c r="N2" i="2"/>
  <c r="M2" i="2"/>
  <c r="W45" i="4" l="1"/>
  <c r="Z43" i="3"/>
  <c r="Z49" i="3"/>
  <c r="Z51" i="3"/>
  <c r="O43" i="3"/>
  <c r="O49" i="3"/>
  <c r="O51" i="3"/>
  <c r="D43" i="3"/>
  <c r="D49" i="3"/>
  <c r="D51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B23" i="5"/>
  <c r="W2" i="5"/>
  <c r="U2" i="5"/>
  <c r="T2" i="5"/>
  <c r="Z42" i="3" l="1"/>
  <c r="Z41" i="3"/>
  <c r="Z36" i="3"/>
  <c r="Z35" i="3"/>
  <c r="Z34" i="3"/>
  <c r="Z33" i="3"/>
  <c r="Z32" i="3"/>
  <c r="Z31" i="3"/>
  <c r="O42" i="3"/>
  <c r="O41" i="3"/>
  <c r="O36" i="3"/>
  <c r="O35" i="3"/>
  <c r="O34" i="3"/>
  <c r="O33" i="3"/>
  <c r="O32" i="3"/>
  <c r="O31" i="3"/>
  <c r="D32" i="3"/>
  <c r="D33" i="3"/>
  <c r="D34" i="3"/>
  <c r="D35" i="3"/>
  <c r="D36" i="3"/>
  <c r="D41" i="3"/>
  <c r="D42" i="3"/>
  <c r="D31" i="3"/>
  <c r="N13" i="5" l="1"/>
  <c r="N12" i="5"/>
  <c r="N11" i="5"/>
  <c r="N10" i="5"/>
  <c r="N8" i="5"/>
  <c r="N7" i="5"/>
  <c r="N6" i="5"/>
  <c r="N5" i="5"/>
  <c r="N4" i="5"/>
  <c r="N3" i="5"/>
  <c r="M12" i="5"/>
  <c r="M11" i="5"/>
  <c r="M10" i="5"/>
  <c r="L10" i="5"/>
  <c r="M9" i="5"/>
  <c r="L9" i="5"/>
  <c r="K9" i="5"/>
  <c r="M8" i="5"/>
  <c r="L8" i="5"/>
  <c r="K8" i="5"/>
  <c r="J8" i="5"/>
  <c r="M7" i="5"/>
  <c r="L7" i="5"/>
  <c r="K7" i="5"/>
  <c r="J7" i="5"/>
  <c r="I7" i="5"/>
  <c r="H7" i="5"/>
  <c r="M6" i="5"/>
  <c r="L6" i="5"/>
  <c r="K6" i="5"/>
  <c r="J6" i="5"/>
  <c r="I6" i="5"/>
  <c r="H6" i="5"/>
  <c r="M5" i="5"/>
  <c r="L5" i="5"/>
  <c r="K5" i="5"/>
  <c r="J5" i="5"/>
  <c r="I5" i="5"/>
  <c r="H5" i="5"/>
  <c r="G5" i="5"/>
  <c r="M4" i="5"/>
  <c r="L4" i="5"/>
  <c r="K4" i="5"/>
  <c r="J4" i="5"/>
  <c r="I4" i="5"/>
  <c r="H4" i="5"/>
  <c r="L3" i="5"/>
  <c r="K3" i="5"/>
  <c r="J3" i="5"/>
  <c r="I3" i="5"/>
  <c r="H3" i="5"/>
  <c r="F3" i="5"/>
  <c r="E3" i="5"/>
  <c r="N2" i="5"/>
  <c r="M2" i="5"/>
</calcChain>
</file>

<file path=xl/sharedStrings.xml><?xml version="1.0" encoding="utf-8"?>
<sst xmlns="http://schemas.openxmlformats.org/spreadsheetml/2006/main" count="2285" uniqueCount="233">
  <si>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</si>
  <si>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</si>
  <si>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</si>
  <si>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</si>
  <si>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</si>
  <si>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</si>
  <si>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</si>
  <si>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</si>
  <si>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</si>
  <si>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</si>
  <si>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</si>
  <si>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</si>
  <si>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</si>
  <si>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</si>
  <si>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</si>
  <si>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</si>
  <si>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</si>
  <si>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</si>
  <si>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</si>
  <si>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</si>
  <si>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</si>
  <si>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</si>
  <si>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</si>
  <si>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</si>
  <si>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</si>
  <si>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</si>
  <si>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</si>
  <si>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</si>
  <si>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</si>
  <si>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</si>
  <si>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</si>
  <si>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</si>
  <si>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</si>
  <si>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</si>
  <si>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</si>
  <si>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</si>
  <si>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</si>
  <si>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</si>
  <si>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</si>
  <si>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</si>
  <si>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</si>
  <si>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</si>
  <si>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</si>
  <si>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</si>
  <si>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</si>
  <si>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</si>
  <si>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</si>
  <si>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</si>
  <si>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</si>
  <si>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</si>
  <si>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</si>
  <si>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</si>
  <si>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</si>
  <si>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</si>
  <si>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</si>
  <si>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</si>
  <si>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</si>
  <si>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</si>
  <si>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</si>
  <si>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</si>
  <si>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</si>
  <si>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</si>
  <si>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</si>
  <si>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</si>
  <si>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</si>
  <si>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</si>
  <si>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</si>
  <si>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</si>
  <si>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</si>
  <si>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</si>
  <si>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</si>
  <si>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</si>
  <si>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</si>
  <si>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</si>
  <si>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</si>
  <si>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</si>
  <si>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</si>
  <si>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</si>
  <si>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</si>
  <si>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</si>
  <si>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</si>
  <si>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</si>
  <si>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</si>
  <si>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</si>
  <si>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</si>
  <si>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</si>
  <si>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</si>
  <si>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</si>
  <si>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</si>
  <si>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</si>
  <si>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</si>
  <si>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</si>
  <si>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</si>
  <si>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</si>
  <si>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</si>
  <si>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</si>
  <si>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</si>
  <si>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</si>
  <si>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</si>
  <si>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</si>
  <si>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</si>
  <si>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</si>
  <si>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</si>
  <si>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</si>
  <si>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</si>
  <si>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</si>
  <si>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</si>
  <si>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</si>
  <si>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</si>
  <si>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</si>
  <si>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</si>
  <si>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</si>
  <si>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</si>
  <si>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</si>
  <si>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</si>
  <si>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</si>
  <si>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</si>
  <si>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</si>
  <si>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</si>
  <si>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</si>
  <si>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</si>
  <si>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</si>
  <si>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</si>
  <si>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</si>
  <si>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</si>
  <si>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</si>
  <si>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</si>
  <si>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</si>
  <si>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</si>
  <si>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</si>
  <si>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</si>
  <si>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</si>
  <si>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</si>
  <si>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</si>
  <si>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</si>
  <si>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</si>
  <si>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</si>
  <si>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</si>
  <si>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</si>
  <si>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</si>
  <si>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</si>
  <si>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</si>
  <si>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</si>
  <si>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</si>
  <si>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</si>
  <si>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</si>
  <si>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</si>
  <si>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</si>
  <si>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</si>
  <si>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</si>
  <si>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</si>
  <si>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</si>
  <si>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</si>
  <si>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</si>
  <si>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</si>
  <si>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</si>
  <si>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green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</si>
  <si>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</si>
  <si>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</si>
  <si>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</si>
  <si>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</si>
  <si>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</si>
  <si>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</si>
  <si>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</si>
  <si>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</si>
  <si>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B63la</t>
  </si>
  <si>
    <t>B63ra</t>
  </si>
  <si>
    <t>B63rs</t>
  </si>
  <si>
    <t>B31rs</t>
  </si>
  <si>
    <t>B31ls</t>
  </si>
  <si>
    <t>Ka</t>
  </si>
  <si>
    <t>Kv</t>
  </si>
  <si>
    <t>K_main</t>
  </si>
  <si>
    <t>blue</t>
  </si>
  <si>
    <t>Initial voltage</t>
  </si>
  <si>
    <t>mV</t>
  </si>
  <si>
    <t>B63ls</t>
  </si>
  <si>
    <t>V.B63ls</t>
  </si>
  <si>
    <t>pink</t>
  </si>
  <si>
    <t>V.B31rs</t>
  </si>
  <si>
    <t>V.B63la</t>
  </si>
  <si>
    <t>yellow</t>
  </si>
  <si>
    <t>cyan</t>
  </si>
  <si>
    <t>Ics.B63la.B31rs.s_exc</t>
  </si>
  <si>
    <t>magenta</t>
  </si>
  <si>
    <t>Ics.B63la.B31rs.f_exc</t>
  </si>
  <si>
    <t>K_main_FALSE</t>
  </si>
  <si>
    <t>SIVD_reg</t>
  </si>
  <si>
    <t>red</t>
  </si>
  <si>
    <t>Ivd.Kv.B31rs</t>
  </si>
  <si>
    <t>orange</t>
  </si>
  <si>
    <t>Ivd.K_main.B31rs</t>
  </si>
  <si>
    <t>Ivd.Ka.B31rs</t>
  </si>
  <si>
    <t>BMP3SIMPLE</t>
  </si>
  <si>
    <t>B64ls</t>
  </si>
  <si>
    <t>B64la</t>
  </si>
  <si>
    <t>V.B64la</t>
  </si>
  <si>
    <t>V.B64ls</t>
  </si>
  <si>
    <t xml:space="preserve">    Ivd.Napp.B64ls</t>
  </si>
  <si>
    <t xml:space="preserve">    Ivd.Ka.B64ls</t>
  </si>
  <si>
    <t xml:space="preserve">    Ivd.Kv.B64ls</t>
  </si>
  <si>
    <t>B64rs</t>
  </si>
  <si>
    <t>B64ra</t>
  </si>
  <si>
    <t>V.B64ra</t>
  </si>
  <si>
    <t>V.B64rs</t>
  </si>
  <si>
    <t xml:space="preserve">    Ivd.Napp.B64rs</t>
  </si>
  <si>
    <t xml:space="preserve">    Ivd.Ka.B64rs</t>
  </si>
  <si>
    <t xml:space="preserve">    Ivd.Kv.B64rs</t>
  </si>
  <si>
    <t>BMP2SIMPLE_l</t>
  </si>
  <si>
    <t>BMP64_l</t>
  </si>
  <si>
    <t>BMP64_r</t>
  </si>
  <si>
    <t>BMP2SIMPLE_r</t>
  </si>
  <si>
    <t>V.B31ls</t>
  </si>
  <si>
    <t>V.B63rs</t>
  </si>
  <si>
    <t>Ics.B63ra.B31ls.s_exc</t>
  </si>
  <si>
    <t>Ivd.Kv.B31ls</t>
  </si>
  <si>
    <t>Ivd.K_main.B31ls</t>
  </si>
  <si>
    <t>Ivd.Ka.B31ls</t>
  </si>
  <si>
    <t>BMP1_l</t>
  </si>
  <si>
    <t>BMP1_r</t>
  </si>
  <si>
    <t>V.B63ra</t>
  </si>
  <si>
    <t>Ics.B63ra.B31ls.f_exc</t>
  </si>
  <si>
    <t>VC_l</t>
  </si>
  <si>
    <t>VC_r</t>
  </si>
  <si>
    <t>Ivd.Na.B31ls</t>
  </si>
  <si>
    <t>BMP_TONIC_r</t>
  </si>
  <si>
    <t>BMP_TONIC_l</t>
  </si>
  <si>
    <t>Ics.B63la.B64ls.s_exc</t>
  </si>
  <si>
    <t>Ics.B63ra.B64rs.s_exc</t>
  </si>
  <si>
    <t>FOR AVY31</t>
  </si>
  <si>
    <t>FOR AVY63</t>
  </si>
  <si>
    <t>FOR AVY63P</t>
  </si>
  <si>
    <t>FOR AVY31P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</si>
</sst>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8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2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42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3" xfId="0" applyFill="1" applyBorder="1"/>
    <xf numFmtId="0" fontId="0" fillId="4" borderId="4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5" xfId="0" applyFill="1" applyBorder="1"/>
    <xf numFmtId="0" fontId="0" fillId="3" borderId="36" xfId="0" applyFill="1" applyBorder="1"/>
    <xf numFmtId="0" fontId="0" fillId="4" borderId="31" xfId="0" applyFill="1" applyBorder="1"/>
    <xf numFmtId="0" fontId="0" fillId="4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8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19" borderId="1" xfId="0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0" fillId="18" borderId="10" xfId="0" applyFill="1" applyBorder="1" applyAlignment="1">
      <alignment horizontal="center"/>
    </xf>
    <xf numFmtId="0" fontId="7" fillId="4" borderId="3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31" xfId="0" applyFont="1" applyFill="1" applyBorder="1"/>
    <xf numFmtId="0" fontId="5" fillId="18" borderId="31" xfId="0" applyFont="1" applyFill="1" applyBorder="1"/>
    <xf numFmtId="0" fontId="1" fillId="18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0" fillId="20" borderId="0" xfId="0" applyFill="1"/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0" fillId="3" borderId="47" xfId="0" applyFill="1" applyBorder="1" applyAlignment="1">
      <alignment horizontal="center" vertical="center"/>
    </xf>
    <xf numFmtId="0" fontId="0" fillId="4" borderId="53" xfId="0" applyFill="1" applyBorder="1"/>
    <xf numFmtId="0" fontId="0" fillId="4" borderId="66" xfId="0" applyFill="1" applyBorder="1"/>
    <xf numFmtId="0" fontId="0" fillId="4" borderId="54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25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12" fillId="4" borderId="50" xfId="0" applyFont="1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68" xfId="0" applyFill="1" applyBorder="1" applyAlignment="1">
      <alignment vertical="center"/>
    </xf>
    <xf numFmtId="0" fontId="0" fillId="3" borderId="70" xfId="0" applyFill="1" applyBorder="1" applyAlignment="1">
      <alignment vertical="center"/>
    </xf>
    <xf numFmtId="0" fontId="0" fillId="14" borderId="1" xfId="0" applyFill="1" applyBorder="1"/>
    <xf numFmtId="0" fontId="0" fillId="20" borderId="74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4" borderId="52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52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0" borderId="31" xfId="0" applyFill="1" applyBorder="1" applyAlignment="1">
      <alignment horizontal="center"/>
    </xf>
    <xf numFmtId="0" fontId="6" fillId="16" borderId="28" xfId="0" applyFont="1" applyFill="1" applyBorder="1" applyAlignment="1">
      <alignment horizontal="center"/>
    </xf>
    <xf numFmtId="0" fontId="6" fillId="16" borderId="29" xfId="0" applyFont="1" applyFill="1" applyBorder="1" applyAlignment="1">
      <alignment horizontal="center"/>
    </xf>
    <xf numFmtId="0" fontId="6" fillId="16" borderId="3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0" fontId="6" fillId="11" borderId="29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13" borderId="28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2" borderId="2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10" borderId="29" xfId="0" applyFont="1" applyFill="1" applyBorder="1" applyAlignment="1">
      <alignment horizontal="center"/>
    </xf>
    <xf numFmtId="0" fontId="6" fillId="10" borderId="30" xfId="0" applyFont="1" applyFill="1" applyBorder="1" applyAlignment="1">
      <alignment horizontal="center"/>
    </xf>
    <xf numFmtId="0" fontId="6" fillId="14" borderId="28" xfId="0" applyFont="1" applyFill="1" applyBorder="1" applyAlignment="1">
      <alignment horizontal="center"/>
    </xf>
    <xf numFmtId="0" fontId="6" fillId="14" borderId="29" xfId="0" applyFont="1" applyFill="1" applyBorder="1" applyAlignment="1">
      <alignment horizontal="center"/>
    </xf>
    <xf numFmtId="0" fontId="6" fillId="14" borderId="30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7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68" xfId="0" applyFill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 vertical="center" textRotation="90"/>
    </xf>
  </cellXfs>
  <cellStyles count="1">
    <cellStyle name="Normal" xfId="0" builtinId="0"/>
  </cellStyles>
  <dxfs count="88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tabSelected="1" topLeftCell="A16" zoomScale="85" zoomScaleNormal="85" workbookViewId="0">
      <selection activeCell="E32" sqref="E32:G32"/>
    </sheetView>
  </sheetViews>
  <sheetFormatPr defaultColWidth="9.1796875" defaultRowHeight="14.5" x14ac:dyDescent="0.35"/>
  <cols>
    <col min="1" max="1" width="9.1796875" style="14"/>
    <col min="2" max="3" width="7.269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7.54296875" style="14" customWidth="1"/>
    <col min="8" max="12" width="6" style="14" customWidth="1"/>
    <col min="13" max="13" width="4.81640625" style="14" customWidth="1"/>
    <col min="14" max="14" width="7.54296875" style="14" customWidth="1"/>
    <col min="15" max="15" width="6.54296875" style="14" customWidth="1"/>
    <col min="16" max="16" width="6.26953125" style="14" customWidth="1"/>
    <col min="17" max="17" width="5.1796875" style="14" customWidth="1"/>
    <col min="18" max="18" width="5.26953125" style="14" customWidth="1"/>
    <col min="19" max="21" width="4.453125" style="14" customWidth="1"/>
    <col min="22" max="22" width="3.7265625" style="14" customWidth="1"/>
    <col min="23" max="23" width="4.1796875" style="14" customWidth="1"/>
    <col min="24" max="24" width="7" style="14" customWidth="1"/>
    <col min="25" max="25" width="7.54296875" style="14" customWidth="1"/>
    <col min="26" max="26" width="6.54296875" style="14" customWidth="1"/>
    <col min="27" max="27" width="5.1796875" style="14" customWidth="1"/>
    <col min="28" max="28" width="6.26953125" style="14" customWidth="1"/>
    <col min="29" max="29" width="3.26953125" style="14" customWidth="1"/>
    <col min="30" max="30" width="3.453125" style="14" customWidth="1"/>
    <col min="31" max="33" width="2.81640625" style="14" customWidth="1"/>
    <col min="34" max="36" width="5.26953125" style="14" customWidth="1"/>
    <col min="37" max="37" width="5.179687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5" width="6.54296875" style="14" customWidth="1"/>
    <col min="56" max="56" width="8.7265625" style="14" customWidth="1"/>
    <col min="57" max="57" width="6.5429687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94" width="3.54296875" style="14" customWidth="1"/>
    <col min="95" max="95" width="5.1796875" style="14" customWidth="1"/>
    <col min="96" max="103" width="3.26953125" style="14" customWidth="1"/>
    <col min="104" max="104" width="7.81640625" style="14" customWidth="1"/>
    <col min="105" max="106" width="3.81640625" style="14" customWidth="1"/>
    <col min="107" max="114" width="2.26953125" style="14" customWidth="1"/>
    <col min="115" max="133" width="2.54296875" style="14" hidden="1" customWidth="1"/>
    <col min="134" max="222" width="0.81640625" style="14" hidden="1" customWidth="1"/>
    <col min="223" max="229" width="4.81640625" style="14" customWidth="1"/>
    <col min="230" max="231" width="6.1796875" style="14" customWidth="1"/>
    <col min="232" max="242" width="4.453125" style="14" customWidth="1"/>
    <col min="243" max="243" width="6.1796875" style="14" customWidth="1"/>
    <col min="244" max="246" width="3.7265625" style="14" customWidth="1"/>
    <col min="247" max="249" width="1.1796875" style="14" customWidth="1"/>
    <col min="250" max="276" width="1.54296875" style="14" hidden="1" customWidth="1"/>
    <col min="277" max="277" width="1.7265625" style="14" hidden="1" customWidth="1"/>
    <col min="278" max="303" width="1.26953125" style="14" hidden="1" customWidth="1"/>
    <col min="304" max="310" width="0" style="14" hidden="1" customWidth="1"/>
    <col min="311" max="16384" width="9.1796875" style="14"/>
  </cols>
  <sheetData>
    <row r="1" spans="1:303" s="138" customFormat="1" ht="18.5" x14ac:dyDescent="0.45">
      <c r="D1" s="139" t="s">
        <v>86</v>
      </c>
      <c r="E1" s="201" t="s">
        <v>87</v>
      </c>
      <c r="F1" s="202"/>
      <c r="G1" s="227" t="s">
        <v>89</v>
      </c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9"/>
      <c r="AH1" s="206" t="s">
        <v>170</v>
      </c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8"/>
      <c r="BI1" s="224" t="s">
        <v>171</v>
      </c>
      <c r="BJ1" s="225"/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25"/>
      <c r="CA1" s="225"/>
      <c r="CB1" s="225"/>
      <c r="CC1" s="225"/>
      <c r="CD1" s="225"/>
      <c r="CE1" s="225"/>
      <c r="CF1" s="225"/>
      <c r="CG1" s="225"/>
      <c r="CH1" s="225"/>
      <c r="CI1" s="226"/>
      <c r="CJ1" s="209" t="s">
        <v>172</v>
      </c>
      <c r="CK1" s="210"/>
      <c r="CL1" s="210"/>
      <c r="CM1" s="210"/>
      <c r="CN1" s="210"/>
      <c r="CO1" s="210"/>
      <c r="CP1" s="210"/>
      <c r="CQ1" s="210"/>
      <c r="CR1" s="210"/>
      <c r="CS1" s="210"/>
      <c r="CT1" s="210"/>
      <c r="CU1" s="210"/>
      <c r="CV1" s="210"/>
      <c r="CW1" s="210"/>
      <c r="CX1" s="210"/>
      <c r="CY1" s="210"/>
      <c r="CZ1" s="210"/>
      <c r="DA1" s="210"/>
      <c r="DB1" s="210"/>
      <c r="DC1" s="210"/>
      <c r="DD1" s="210"/>
      <c r="DE1" s="210"/>
      <c r="DF1" s="210"/>
      <c r="DG1" s="210"/>
      <c r="DH1" s="210"/>
      <c r="DI1" s="210"/>
      <c r="DJ1" s="211"/>
      <c r="DK1" s="203" t="s">
        <v>186</v>
      </c>
      <c r="DL1" s="204"/>
      <c r="DM1" s="204"/>
      <c r="DN1" s="204"/>
      <c r="DO1" s="204"/>
      <c r="DP1" s="204"/>
      <c r="DQ1" s="204"/>
      <c r="DR1" s="204"/>
      <c r="DS1" s="204"/>
      <c r="DT1" s="204"/>
      <c r="DU1" s="204"/>
      <c r="DV1" s="204"/>
      <c r="DW1" s="204"/>
      <c r="DX1" s="204"/>
      <c r="DY1" s="204"/>
      <c r="DZ1" s="204"/>
      <c r="EA1" s="204"/>
      <c r="EB1" s="204"/>
      <c r="EC1" s="204"/>
      <c r="ED1" s="204"/>
      <c r="EE1" s="204"/>
      <c r="EF1" s="204"/>
      <c r="EG1" s="204"/>
      <c r="EH1" s="204"/>
      <c r="EI1" s="204"/>
      <c r="EJ1" s="204"/>
      <c r="EK1" s="205"/>
      <c r="EL1" s="221" t="s">
        <v>154</v>
      </c>
      <c r="EM1" s="222"/>
      <c r="EN1" s="222"/>
      <c r="EO1" s="222"/>
      <c r="EP1" s="222"/>
      <c r="EQ1" s="222"/>
      <c r="ER1" s="222"/>
      <c r="ES1" s="222"/>
      <c r="ET1" s="222"/>
      <c r="EU1" s="222"/>
      <c r="EV1" s="222"/>
      <c r="EW1" s="222"/>
      <c r="EX1" s="222"/>
      <c r="EY1" s="222"/>
      <c r="EZ1" s="222"/>
      <c r="FA1" s="222"/>
      <c r="FB1" s="222"/>
      <c r="FC1" s="222"/>
      <c r="FD1" s="222"/>
      <c r="FE1" s="222"/>
      <c r="FF1" s="222"/>
      <c r="FG1" s="222"/>
      <c r="FH1" s="222"/>
      <c r="FI1" s="222"/>
      <c r="FJ1" s="222"/>
      <c r="FK1" s="222"/>
      <c r="FL1" s="223"/>
      <c r="FM1" s="215" t="s">
        <v>115</v>
      </c>
      <c r="FN1" s="216"/>
      <c r="FO1" s="216"/>
      <c r="FP1" s="216"/>
      <c r="FQ1" s="216"/>
      <c r="FR1" s="216"/>
      <c r="FS1" s="216"/>
      <c r="FT1" s="216"/>
      <c r="FU1" s="216"/>
      <c r="FV1" s="216"/>
      <c r="FW1" s="216"/>
      <c r="FX1" s="216"/>
      <c r="FY1" s="216"/>
      <c r="FZ1" s="216"/>
      <c r="GA1" s="216"/>
      <c r="GB1" s="216"/>
      <c r="GC1" s="216"/>
      <c r="GD1" s="216"/>
      <c r="GE1" s="216"/>
      <c r="GF1" s="216"/>
      <c r="GG1" s="216"/>
      <c r="GH1" s="216"/>
      <c r="GI1" s="216"/>
      <c r="GJ1" s="216"/>
      <c r="GK1" s="216"/>
      <c r="GL1" s="216"/>
      <c r="GM1" s="217"/>
      <c r="GN1" s="230" t="s">
        <v>155</v>
      </c>
      <c r="GO1" s="231"/>
      <c r="GP1" s="231"/>
      <c r="GQ1" s="231"/>
      <c r="GR1" s="231"/>
      <c r="GS1" s="231"/>
      <c r="GT1" s="231"/>
      <c r="GU1" s="231"/>
      <c r="GV1" s="231"/>
      <c r="GW1" s="231"/>
      <c r="GX1" s="231"/>
      <c r="GY1" s="231"/>
      <c r="GZ1" s="231"/>
      <c r="HA1" s="231"/>
      <c r="HB1" s="231"/>
      <c r="HC1" s="231"/>
      <c r="HD1" s="231"/>
      <c r="HE1" s="231"/>
      <c r="HF1" s="231"/>
      <c r="HG1" s="231"/>
      <c r="HH1" s="231"/>
      <c r="HI1" s="231"/>
      <c r="HJ1" s="231"/>
      <c r="HK1" s="231"/>
      <c r="HL1" s="231"/>
      <c r="HM1" s="231"/>
      <c r="HN1" s="232"/>
      <c r="HO1" s="218" t="s">
        <v>135</v>
      </c>
      <c r="HP1" s="219"/>
      <c r="HQ1" s="219"/>
      <c r="HR1" s="219"/>
      <c r="HS1" s="219"/>
      <c r="HT1" s="219"/>
      <c r="HU1" s="219"/>
      <c r="HV1" s="219"/>
      <c r="HW1" s="219"/>
      <c r="HX1" s="219"/>
      <c r="HY1" s="219"/>
      <c r="HZ1" s="219"/>
      <c r="IA1" s="219"/>
      <c r="IB1" s="219"/>
      <c r="IC1" s="219"/>
      <c r="ID1" s="219"/>
      <c r="IE1" s="219"/>
      <c r="IF1" s="219"/>
      <c r="IG1" s="219"/>
      <c r="IH1" s="219"/>
      <c r="II1" s="219"/>
      <c r="IJ1" s="219"/>
      <c r="IK1" s="219"/>
      <c r="IL1" s="219"/>
      <c r="IM1" s="219"/>
      <c r="IN1" s="219"/>
      <c r="IO1" s="220"/>
      <c r="IP1" s="212" t="s">
        <v>141</v>
      </c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4"/>
      <c r="JQ1" s="193" t="s">
        <v>157</v>
      </c>
      <c r="JR1" s="194"/>
      <c r="JS1" s="194"/>
      <c r="JT1" s="194"/>
      <c r="JU1" s="194"/>
      <c r="JV1" s="194"/>
      <c r="JW1" s="194"/>
      <c r="JX1" s="194"/>
      <c r="JY1" s="194"/>
      <c r="JZ1" s="194"/>
      <c r="KA1" s="194"/>
      <c r="KB1" s="194"/>
      <c r="KC1" s="194"/>
      <c r="KD1" s="194"/>
      <c r="KE1" s="194"/>
      <c r="KF1" s="194"/>
      <c r="KG1" s="194"/>
      <c r="KH1" s="194"/>
      <c r="KI1" s="194"/>
      <c r="KJ1" s="194"/>
      <c r="KK1" s="194"/>
      <c r="KL1" s="194"/>
      <c r="KM1" s="194"/>
      <c r="KN1" s="194"/>
      <c r="KO1" s="194"/>
      <c r="KP1" s="194"/>
      <c r="KQ1" s="195"/>
    </row>
    <row r="2" spans="1:303" ht="15" thickBot="1" x14ac:dyDescent="0.4">
      <c r="E2" s="196" t="s">
        <v>88</v>
      </c>
      <c r="F2" s="200"/>
      <c r="G2" s="196" t="s">
        <v>88</v>
      </c>
      <c r="H2" s="197"/>
      <c r="I2" s="198"/>
      <c r="J2" s="199" t="s">
        <v>50</v>
      </c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8"/>
      <c r="V2" s="199" t="s">
        <v>51</v>
      </c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200"/>
      <c r="AH2" s="196" t="s">
        <v>88</v>
      </c>
      <c r="AI2" s="197"/>
      <c r="AJ2" s="198"/>
      <c r="AK2" s="199" t="s">
        <v>50</v>
      </c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8"/>
      <c r="AW2" s="199" t="s">
        <v>51</v>
      </c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200"/>
      <c r="BI2" s="196" t="s">
        <v>88</v>
      </c>
      <c r="BJ2" s="197"/>
      <c r="BK2" s="198"/>
      <c r="BL2" s="199" t="s">
        <v>50</v>
      </c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8"/>
      <c r="BX2" s="199" t="s">
        <v>51</v>
      </c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200"/>
      <c r="CJ2" s="196" t="s">
        <v>88</v>
      </c>
      <c r="CK2" s="197"/>
      <c r="CL2" s="198"/>
      <c r="CM2" s="199" t="s">
        <v>50</v>
      </c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8"/>
      <c r="CY2" s="199" t="s">
        <v>51</v>
      </c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200"/>
      <c r="DK2" s="196" t="s">
        <v>88</v>
      </c>
      <c r="DL2" s="197"/>
      <c r="DM2" s="198"/>
      <c r="DN2" s="199" t="s">
        <v>50</v>
      </c>
      <c r="DO2" s="197"/>
      <c r="DP2" s="197"/>
      <c r="DQ2" s="197"/>
      <c r="DR2" s="197"/>
      <c r="DS2" s="197"/>
      <c r="DT2" s="197"/>
      <c r="DU2" s="197"/>
      <c r="DV2" s="197"/>
      <c r="DW2" s="197"/>
      <c r="DX2" s="197"/>
      <c r="DY2" s="198"/>
      <c r="DZ2" s="199" t="s">
        <v>51</v>
      </c>
      <c r="EA2" s="197"/>
      <c r="EB2" s="197"/>
      <c r="EC2" s="197"/>
      <c r="ED2" s="197"/>
      <c r="EE2" s="197"/>
      <c r="EF2" s="197"/>
      <c r="EG2" s="197"/>
      <c r="EH2" s="197"/>
      <c r="EI2" s="197"/>
      <c r="EJ2" s="197"/>
      <c r="EK2" s="200"/>
      <c r="EL2" s="196" t="s">
        <v>88</v>
      </c>
      <c r="EM2" s="197"/>
      <c r="EN2" s="198"/>
      <c r="EO2" s="199" t="s">
        <v>50</v>
      </c>
      <c r="EP2" s="197"/>
      <c r="EQ2" s="197"/>
      <c r="ER2" s="197"/>
      <c r="ES2" s="197"/>
      <c r="ET2" s="197"/>
      <c r="EU2" s="197"/>
      <c r="EV2" s="197"/>
      <c r="EW2" s="197"/>
      <c r="EX2" s="197"/>
      <c r="EY2" s="197"/>
      <c r="EZ2" s="198"/>
      <c r="FA2" s="199" t="s">
        <v>51</v>
      </c>
      <c r="FB2" s="197"/>
      <c r="FC2" s="197"/>
      <c r="FD2" s="197"/>
      <c r="FE2" s="197"/>
      <c r="FF2" s="197"/>
      <c r="FG2" s="197"/>
      <c r="FH2" s="197"/>
      <c r="FI2" s="197"/>
      <c r="FJ2" s="197"/>
      <c r="FK2" s="197"/>
      <c r="FL2" s="200"/>
      <c r="FM2" s="196" t="s">
        <v>88</v>
      </c>
      <c r="FN2" s="197"/>
      <c r="FO2" s="198"/>
      <c r="FP2" s="199" t="s">
        <v>50</v>
      </c>
      <c r="FQ2" s="197"/>
      <c r="FR2" s="197"/>
      <c r="FS2" s="197"/>
      <c r="FT2" s="197"/>
      <c r="FU2" s="197"/>
      <c r="FV2" s="197"/>
      <c r="FW2" s="197"/>
      <c r="FX2" s="197"/>
      <c r="FY2" s="197"/>
      <c r="FZ2" s="197"/>
      <c r="GA2" s="198"/>
      <c r="GB2" s="199" t="s">
        <v>51</v>
      </c>
      <c r="GC2" s="197"/>
      <c r="GD2" s="197"/>
      <c r="GE2" s="197"/>
      <c r="GF2" s="197"/>
      <c r="GG2" s="197"/>
      <c r="GH2" s="197"/>
      <c r="GI2" s="197"/>
      <c r="GJ2" s="197"/>
      <c r="GK2" s="197"/>
      <c r="GL2" s="197"/>
      <c r="GM2" s="200"/>
      <c r="GN2" s="196" t="s">
        <v>88</v>
      </c>
      <c r="GO2" s="197"/>
      <c r="GP2" s="198"/>
      <c r="GQ2" s="199" t="s">
        <v>50</v>
      </c>
      <c r="GR2" s="197"/>
      <c r="GS2" s="197"/>
      <c r="GT2" s="197"/>
      <c r="GU2" s="197"/>
      <c r="GV2" s="197"/>
      <c r="GW2" s="197"/>
      <c r="GX2" s="197"/>
      <c r="GY2" s="197"/>
      <c r="GZ2" s="197"/>
      <c r="HA2" s="197"/>
      <c r="HB2" s="198"/>
      <c r="HC2" s="199" t="s">
        <v>51</v>
      </c>
      <c r="HD2" s="197"/>
      <c r="HE2" s="197"/>
      <c r="HF2" s="197"/>
      <c r="HG2" s="197"/>
      <c r="HH2" s="197"/>
      <c r="HI2" s="197"/>
      <c r="HJ2" s="197"/>
      <c r="HK2" s="197"/>
      <c r="HL2" s="197"/>
      <c r="HM2" s="197"/>
      <c r="HN2" s="200"/>
      <c r="HO2" s="196" t="s">
        <v>88</v>
      </c>
      <c r="HP2" s="197"/>
      <c r="HQ2" s="198"/>
      <c r="HR2" s="199" t="s">
        <v>50</v>
      </c>
      <c r="HS2" s="197"/>
      <c r="HT2" s="197"/>
      <c r="HU2" s="197"/>
      <c r="HV2" s="197"/>
      <c r="HW2" s="197"/>
      <c r="HX2" s="197"/>
      <c r="HY2" s="197"/>
      <c r="HZ2" s="197"/>
      <c r="IA2" s="197"/>
      <c r="IB2" s="197"/>
      <c r="IC2" s="198"/>
      <c r="ID2" s="199" t="s">
        <v>51</v>
      </c>
      <c r="IE2" s="197"/>
      <c r="IF2" s="197"/>
      <c r="IG2" s="197"/>
      <c r="IH2" s="197"/>
      <c r="II2" s="197"/>
      <c r="IJ2" s="197"/>
      <c r="IK2" s="197"/>
      <c r="IL2" s="197"/>
      <c r="IM2" s="197"/>
      <c r="IN2" s="197"/>
      <c r="IO2" s="200"/>
      <c r="IP2" s="196" t="s">
        <v>88</v>
      </c>
      <c r="IQ2" s="197"/>
      <c r="IR2" s="198"/>
      <c r="IS2" s="199" t="s">
        <v>50</v>
      </c>
      <c r="IT2" s="197"/>
      <c r="IU2" s="197"/>
      <c r="IV2" s="197"/>
      <c r="IW2" s="197"/>
      <c r="IX2" s="197"/>
      <c r="IY2" s="197"/>
      <c r="IZ2" s="197"/>
      <c r="JA2" s="197"/>
      <c r="JB2" s="197"/>
      <c r="JC2" s="197"/>
      <c r="JD2" s="198"/>
      <c r="JE2" s="199" t="s">
        <v>51</v>
      </c>
      <c r="JF2" s="197"/>
      <c r="JG2" s="197"/>
      <c r="JH2" s="197"/>
      <c r="JI2" s="197"/>
      <c r="JJ2" s="197"/>
      <c r="JK2" s="197"/>
      <c r="JL2" s="197"/>
      <c r="JM2" s="197"/>
      <c r="JN2" s="197"/>
      <c r="JO2" s="197"/>
      <c r="JP2" s="200"/>
      <c r="JQ2" s="196" t="s">
        <v>88</v>
      </c>
      <c r="JR2" s="197"/>
      <c r="JS2" s="198"/>
      <c r="JT2" s="199" t="s">
        <v>50</v>
      </c>
      <c r="JU2" s="197"/>
      <c r="JV2" s="197"/>
      <c r="JW2" s="197"/>
      <c r="JX2" s="197"/>
      <c r="JY2" s="197"/>
      <c r="JZ2" s="197"/>
      <c r="KA2" s="197"/>
      <c r="KB2" s="197"/>
      <c r="KC2" s="197"/>
      <c r="KD2" s="197"/>
      <c r="KE2" s="198"/>
      <c r="KF2" s="199" t="s">
        <v>51</v>
      </c>
      <c r="KG2" s="197"/>
      <c r="KH2" s="197"/>
      <c r="KI2" s="197"/>
      <c r="KJ2" s="197"/>
      <c r="KK2" s="197"/>
      <c r="KL2" s="197"/>
      <c r="KM2" s="197"/>
      <c r="KN2" s="197"/>
      <c r="KO2" s="197"/>
      <c r="KP2" s="197"/>
      <c r="KQ2" s="200"/>
    </row>
    <row r="3" spans="1:303" ht="15" thickBot="1" x14ac:dyDescent="0.4">
      <c r="B3" s="84" t="s">
        <v>0</v>
      </c>
      <c r="C3" s="85" t="s">
        <v>1</v>
      </c>
      <c r="D3" s="52" t="s">
        <v>132</v>
      </c>
      <c r="E3" s="88" t="s">
        <v>2</v>
      </c>
      <c r="F3" s="89" t="s">
        <v>3</v>
      </c>
      <c r="G3" s="90" t="s">
        <v>2</v>
      </c>
      <c r="H3" s="91" t="s">
        <v>10</v>
      </c>
      <c r="I3" s="91" t="s">
        <v>3</v>
      </c>
      <c r="J3" s="91" t="s">
        <v>93</v>
      </c>
      <c r="K3" s="91" t="s">
        <v>8</v>
      </c>
      <c r="L3" s="91" t="s">
        <v>9</v>
      </c>
      <c r="M3" s="91" t="s">
        <v>10</v>
      </c>
      <c r="N3" s="91" t="s">
        <v>90</v>
      </c>
      <c r="O3" s="91" t="s">
        <v>91</v>
      </c>
      <c r="P3" s="91" t="s">
        <v>95</v>
      </c>
      <c r="Q3" s="91" t="s">
        <v>96</v>
      </c>
      <c r="R3" s="91" t="s">
        <v>97</v>
      </c>
      <c r="S3" s="91" t="s">
        <v>98</v>
      </c>
      <c r="T3" s="91" t="s">
        <v>99</v>
      </c>
      <c r="U3" s="91" t="s">
        <v>100</v>
      </c>
      <c r="V3" s="91" t="s">
        <v>94</v>
      </c>
      <c r="W3" s="91" t="s">
        <v>8</v>
      </c>
      <c r="X3" s="91" t="s">
        <v>9</v>
      </c>
      <c r="Y3" s="91" t="s">
        <v>10</v>
      </c>
      <c r="Z3" s="91" t="s">
        <v>90</v>
      </c>
      <c r="AA3" s="91" t="s">
        <v>91</v>
      </c>
      <c r="AB3" s="91" t="s">
        <v>95</v>
      </c>
      <c r="AC3" s="91" t="s">
        <v>96</v>
      </c>
      <c r="AD3" s="91" t="s">
        <v>97</v>
      </c>
      <c r="AE3" s="91" t="s">
        <v>98</v>
      </c>
      <c r="AF3" s="91" t="s">
        <v>99</v>
      </c>
      <c r="AG3" s="92" t="s">
        <v>100</v>
      </c>
      <c r="AH3" s="90" t="s">
        <v>2</v>
      </c>
      <c r="AI3" s="91" t="s">
        <v>10</v>
      </c>
      <c r="AJ3" s="91" t="s">
        <v>3</v>
      </c>
      <c r="AK3" s="91" t="s">
        <v>93</v>
      </c>
      <c r="AL3" s="91" t="s">
        <v>8</v>
      </c>
      <c r="AM3" s="91" t="s">
        <v>9</v>
      </c>
      <c r="AN3" s="91" t="s">
        <v>10</v>
      </c>
      <c r="AO3" s="91" t="s">
        <v>90</v>
      </c>
      <c r="AP3" s="91" t="s">
        <v>91</v>
      </c>
      <c r="AQ3" s="91" t="s">
        <v>95</v>
      </c>
      <c r="AR3" s="91" t="s">
        <v>96</v>
      </c>
      <c r="AS3" s="91" t="s">
        <v>97</v>
      </c>
      <c r="AT3" s="91" t="s">
        <v>98</v>
      </c>
      <c r="AU3" s="91" t="s">
        <v>99</v>
      </c>
      <c r="AV3" s="91" t="s">
        <v>100</v>
      </c>
      <c r="AW3" s="91" t="s">
        <v>94</v>
      </c>
      <c r="AX3" s="91" t="s">
        <v>8</v>
      </c>
      <c r="AY3" s="91" t="s">
        <v>9</v>
      </c>
      <c r="AZ3" s="91" t="s">
        <v>10</v>
      </c>
      <c r="BA3" s="91" t="s">
        <v>90</v>
      </c>
      <c r="BB3" s="91" t="s">
        <v>91</v>
      </c>
      <c r="BC3" s="91" t="s">
        <v>95</v>
      </c>
      <c r="BD3" s="91" t="s">
        <v>96</v>
      </c>
      <c r="BE3" s="91" t="s">
        <v>97</v>
      </c>
      <c r="BF3" s="91" t="s">
        <v>98</v>
      </c>
      <c r="BG3" s="91" t="s">
        <v>99</v>
      </c>
      <c r="BH3" s="92" t="s">
        <v>100</v>
      </c>
      <c r="BI3" s="90" t="s">
        <v>2</v>
      </c>
      <c r="BJ3" s="91" t="s">
        <v>10</v>
      </c>
      <c r="BK3" s="91" t="s">
        <v>3</v>
      </c>
      <c r="BL3" s="91" t="s">
        <v>93</v>
      </c>
      <c r="BM3" s="91" t="s">
        <v>8</v>
      </c>
      <c r="BN3" s="91" t="s">
        <v>9</v>
      </c>
      <c r="BO3" s="91" t="s">
        <v>10</v>
      </c>
      <c r="BP3" s="91" t="s">
        <v>90</v>
      </c>
      <c r="BQ3" s="91" t="s">
        <v>91</v>
      </c>
      <c r="BR3" s="91" t="s">
        <v>95</v>
      </c>
      <c r="BS3" s="91" t="s">
        <v>96</v>
      </c>
      <c r="BT3" s="91" t="s">
        <v>97</v>
      </c>
      <c r="BU3" s="91" t="s">
        <v>98</v>
      </c>
      <c r="BV3" s="91" t="s">
        <v>99</v>
      </c>
      <c r="BW3" s="91" t="s">
        <v>100</v>
      </c>
      <c r="BX3" s="91" t="s">
        <v>94</v>
      </c>
      <c r="BY3" s="91" t="s">
        <v>8</v>
      </c>
      <c r="BZ3" s="91" t="s">
        <v>9</v>
      </c>
      <c r="CA3" s="91" t="s">
        <v>10</v>
      </c>
      <c r="CB3" s="91" t="s">
        <v>90</v>
      </c>
      <c r="CC3" s="91" t="s">
        <v>91</v>
      </c>
      <c r="CD3" s="91" t="s">
        <v>95</v>
      </c>
      <c r="CE3" s="91" t="s">
        <v>96</v>
      </c>
      <c r="CF3" s="91" t="s">
        <v>97</v>
      </c>
      <c r="CG3" s="91" t="s">
        <v>98</v>
      </c>
      <c r="CH3" s="91" t="s">
        <v>99</v>
      </c>
      <c r="CI3" s="92" t="s">
        <v>100</v>
      </c>
      <c r="CJ3" s="90" t="s">
        <v>2</v>
      </c>
      <c r="CK3" s="91" t="s">
        <v>10</v>
      </c>
      <c r="CL3" s="91" t="s">
        <v>3</v>
      </c>
      <c r="CM3" s="91" t="s">
        <v>93</v>
      </c>
      <c r="CN3" s="91" t="s">
        <v>8</v>
      </c>
      <c r="CO3" s="91" t="s">
        <v>9</v>
      </c>
      <c r="CP3" s="91" t="s">
        <v>10</v>
      </c>
      <c r="CQ3" s="91" t="s">
        <v>90</v>
      </c>
      <c r="CR3" s="91" t="s">
        <v>91</v>
      </c>
      <c r="CS3" s="91" t="s">
        <v>95</v>
      </c>
      <c r="CT3" s="91" t="s">
        <v>96</v>
      </c>
      <c r="CU3" s="91" t="s">
        <v>97</v>
      </c>
      <c r="CV3" s="91" t="s">
        <v>98</v>
      </c>
      <c r="CW3" s="91" t="s">
        <v>99</v>
      </c>
      <c r="CX3" s="91" t="s">
        <v>100</v>
      </c>
      <c r="CY3" s="91" t="s">
        <v>94</v>
      </c>
      <c r="CZ3" s="91" t="s">
        <v>8</v>
      </c>
      <c r="DA3" s="91" t="s">
        <v>9</v>
      </c>
      <c r="DB3" s="91" t="s">
        <v>10</v>
      </c>
      <c r="DC3" s="91" t="s">
        <v>90</v>
      </c>
      <c r="DD3" s="91" t="s">
        <v>91</v>
      </c>
      <c r="DE3" s="91" t="s">
        <v>95</v>
      </c>
      <c r="DF3" s="91" t="s">
        <v>96</v>
      </c>
      <c r="DG3" s="91" t="s">
        <v>97</v>
      </c>
      <c r="DH3" s="91" t="s">
        <v>98</v>
      </c>
      <c r="DI3" s="91" t="s">
        <v>99</v>
      </c>
      <c r="DJ3" s="92" t="s">
        <v>100</v>
      </c>
      <c r="DK3" s="90" t="s">
        <v>2</v>
      </c>
      <c r="DL3" s="91" t="s">
        <v>10</v>
      </c>
      <c r="DM3" s="91" t="s">
        <v>3</v>
      </c>
      <c r="DN3" s="91" t="s">
        <v>93</v>
      </c>
      <c r="DO3" s="91" t="s">
        <v>8</v>
      </c>
      <c r="DP3" s="91" t="s">
        <v>9</v>
      </c>
      <c r="DQ3" s="91" t="s">
        <v>10</v>
      </c>
      <c r="DR3" s="91" t="s">
        <v>90</v>
      </c>
      <c r="DS3" s="91" t="s">
        <v>91</v>
      </c>
      <c r="DT3" s="91" t="s">
        <v>95</v>
      </c>
      <c r="DU3" s="91" t="s">
        <v>96</v>
      </c>
      <c r="DV3" s="91" t="s">
        <v>97</v>
      </c>
      <c r="DW3" s="91" t="s">
        <v>98</v>
      </c>
      <c r="DX3" s="91" t="s">
        <v>99</v>
      </c>
      <c r="DY3" s="91" t="s">
        <v>100</v>
      </c>
      <c r="DZ3" s="91" t="s">
        <v>94</v>
      </c>
      <c r="EA3" s="91" t="s">
        <v>8</v>
      </c>
      <c r="EB3" s="91" t="s">
        <v>9</v>
      </c>
      <c r="EC3" s="91" t="s">
        <v>10</v>
      </c>
      <c r="ED3" s="91" t="s">
        <v>90</v>
      </c>
      <c r="EE3" s="91" t="s">
        <v>91</v>
      </c>
      <c r="EF3" s="91" t="s">
        <v>95</v>
      </c>
      <c r="EG3" s="91" t="s">
        <v>96</v>
      </c>
      <c r="EH3" s="91" t="s">
        <v>97</v>
      </c>
      <c r="EI3" s="91" t="s">
        <v>98</v>
      </c>
      <c r="EJ3" s="91" t="s">
        <v>99</v>
      </c>
      <c r="EK3" s="92" t="s">
        <v>100</v>
      </c>
      <c r="EL3" s="90" t="s">
        <v>2</v>
      </c>
      <c r="EM3" s="91" t="s">
        <v>10</v>
      </c>
      <c r="EN3" s="91" t="s">
        <v>3</v>
      </c>
      <c r="EO3" s="91" t="s">
        <v>93</v>
      </c>
      <c r="EP3" s="91" t="s">
        <v>8</v>
      </c>
      <c r="EQ3" s="91" t="s">
        <v>9</v>
      </c>
      <c r="ER3" s="91" t="s">
        <v>10</v>
      </c>
      <c r="ES3" s="91" t="s">
        <v>90</v>
      </c>
      <c r="ET3" s="91" t="s">
        <v>91</v>
      </c>
      <c r="EU3" s="91" t="s">
        <v>95</v>
      </c>
      <c r="EV3" s="91" t="s">
        <v>96</v>
      </c>
      <c r="EW3" s="91" t="s">
        <v>97</v>
      </c>
      <c r="EX3" s="91" t="s">
        <v>98</v>
      </c>
      <c r="EY3" s="91" t="s">
        <v>99</v>
      </c>
      <c r="EZ3" s="91" t="s">
        <v>100</v>
      </c>
      <c r="FA3" s="91" t="s">
        <v>94</v>
      </c>
      <c r="FB3" s="91" t="s">
        <v>8</v>
      </c>
      <c r="FC3" s="91" t="s">
        <v>9</v>
      </c>
      <c r="FD3" s="91" t="s">
        <v>10</v>
      </c>
      <c r="FE3" s="91" t="s">
        <v>90</v>
      </c>
      <c r="FF3" s="91" t="s">
        <v>91</v>
      </c>
      <c r="FG3" s="91" t="s">
        <v>95</v>
      </c>
      <c r="FH3" s="91" t="s">
        <v>96</v>
      </c>
      <c r="FI3" s="91" t="s">
        <v>97</v>
      </c>
      <c r="FJ3" s="91" t="s">
        <v>98</v>
      </c>
      <c r="FK3" s="91" t="s">
        <v>99</v>
      </c>
      <c r="FL3" s="92" t="s">
        <v>100</v>
      </c>
      <c r="FM3" s="90" t="s">
        <v>2</v>
      </c>
      <c r="FN3" s="91" t="s">
        <v>10</v>
      </c>
      <c r="FO3" s="91" t="s">
        <v>3</v>
      </c>
      <c r="FP3" s="91" t="s">
        <v>93</v>
      </c>
      <c r="FQ3" s="91" t="s">
        <v>8</v>
      </c>
      <c r="FR3" s="91" t="s">
        <v>9</v>
      </c>
      <c r="FS3" s="91" t="s">
        <v>10</v>
      </c>
      <c r="FT3" s="91" t="s">
        <v>90</v>
      </c>
      <c r="FU3" s="91" t="s">
        <v>91</v>
      </c>
      <c r="FV3" s="91" t="s">
        <v>95</v>
      </c>
      <c r="FW3" s="91" t="s">
        <v>96</v>
      </c>
      <c r="FX3" s="91" t="s">
        <v>97</v>
      </c>
      <c r="FY3" s="91" t="s">
        <v>98</v>
      </c>
      <c r="FZ3" s="91" t="s">
        <v>99</v>
      </c>
      <c r="GA3" s="91" t="s">
        <v>100</v>
      </c>
      <c r="GB3" s="91" t="s">
        <v>94</v>
      </c>
      <c r="GC3" s="91" t="s">
        <v>8</v>
      </c>
      <c r="GD3" s="91" t="s">
        <v>9</v>
      </c>
      <c r="GE3" s="91" t="s">
        <v>10</v>
      </c>
      <c r="GF3" s="91" t="s">
        <v>90</v>
      </c>
      <c r="GG3" s="91" t="s">
        <v>91</v>
      </c>
      <c r="GH3" s="91" t="s">
        <v>95</v>
      </c>
      <c r="GI3" s="91" t="s">
        <v>96</v>
      </c>
      <c r="GJ3" s="91" t="s">
        <v>97</v>
      </c>
      <c r="GK3" s="91" t="s">
        <v>98</v>
      </c>
      <c r="GL3" s="91" t="s">
        <v>99</v>
      </c>
      <c r="GM3" s="92" t="s">
        <v>100</v>
      </c>
      <c r="GN3" s="90" t="s">
        <v>2</v>
      </c>
      <c r="GO3" s="91" t="s">
        <v>10</v>
      </c>
      <c r="GP3" s="91" t="s">
        <v>3</v>
      </c>
      <c r="GQ3" s="91" t="s">
        <v>93</v>
      </c>
      <c r="GR3" s="91" t="s">
        <v>8</v>
      </c>
      <c r="GS3" s="91" t="s">
        <v>9</v>
      </c>
      <c r="GT3" s="91" t="s">
        <v>10</v>
      </c>
      <c r="GU3" s="91" t="s">
        <v>90</v>
      </c>
      <c r="GV3" s="91" t="s">
        <v>91</v>
      </c>
      <c r="GW3" s="91" t="s">
        <v>95</v>
      </c>
      <c r="GX3" s="91" t="s">
        <v>96</v>
      </c>
      <c r="GY3" s="91" t="s">
        <v>97</v>
      </c>
      <c r="GZ3" s="91" t="s">
        <v>98</v>
      </c>
      <c r="HA3" s="91" t="s">
        <v>99</v>
      </c>
      <c r="HB3" s="91" t="s">
        <v>100</v>
      </c>
      <c r="HC3" s="91" t="s">
        <v>94</v>
      </c>
      <c r="HD3" s="91" t="s">
        <v>8</v>
      </c>
      <c r="HE3" s="91" t="s">
        <v>9</v>
      </c>
      <c r="HF3" s="91" t="s">
        <v>10</v>
      </c>
      <c r="HG3" s="91" t="s">
        <v>90</v>
      </c>
      <c r="HH3" s="91" t="s">
        <v>91</v>
      </c>
      <c r="HI3" s="91" t="s">
        <v>95</v>
      </c>
      <c r="HJ3" s="91" t="s">
        <v>96</v>
      </c>
      <c r="HK3" s="91" t="s">
        <v>97</v>
      </c>
      <c r="HL3" s="91" t="s">
        <v>98</v>
      </c>
      <c r="HM3" s="91" t="s">
        <v>99</v>
      </c>
      <c r="HN3" s="92" t="s">
        <v>100</v>
      </c>
      <c r="HO3" s="90" t="s">
        <v>2</v>
      </c>
      <c r="HP3" s="91" t="s">
        <v>10</v>
      </c>
      <c r="HQ3" s="91" t="s">
        <v>3</v>
      </c>
      <c r="HR3" s="91" t="s">
        <v>93</v>
      </c>
      <c r="HS3" s="91" t="s">
        <v>8</v>
      </c>
      <c r="HT3" s="91" t="s">
        <v>9</v>
      </c>
      <c r="HU3" s="91" t="s">
        <v>10</v>
      </c>
      <c r="HV3" s="91" t="s">
        <v>90</v>
      </c>
      <c r="HW3" s="91" t="s">
        <v>91</v>
      </c>
      <c r="HX3" s="91" t="s">
        <v>95</v>
      </c>
      <c r="HY3" s="91" t="s">
        <v>96</v>
      </c>
      <c r="HZ3" s="91" t="s">
        <v>97</v>
      </c>
      <c r="IA3" s="91" t="s">
        <v>98</v>
      </c>
      <c r="IB3" s="91" t="s">
        <v>99</v>
      </c>
      <c r="IC3" s="91" t="s">
        <v>100</v>
      </c>
      <c r="ID3" s="91" t="s">
        <v>94</v>
      </c>
      <c r="IE3" s="91" t="s">
        <v>8</v>
      </c>
      <c r="IF3" s="91" t="s">
        <v>9</v>
      </c>
      <c r="IG3" s="91" t="s">
        <v>10</v>
      </c>
      <c r="IH3" s="91" t="s">
        <v>90</v>
      </c>
      <c r="II3" s="91" t="s">
        <v>91</v>
      </c>
      <c r="IJ3" s="91" t="s">
        <v>95</v>
      </c>
      <c r="IK3" s="91" t="s">
        <v>96</v>
      </c>
      <c r="IL3" s="91" t="s">
        <v>97</v>
      </c>
      <c r="IM3" s="91" t="s">
        <v>98</v>
      </c>
      <c r="IN3" s="91" t="s">
        <v>99</v>
      </c>
      <c r="IO3" s="92" t="s">
        <v>100</v>
      </c>
      <c r="IP3" s="90" t="s">
        <v>2</v>
      </c>
      <c r="IQ3" s="91" t="s">
        <v>10</v>
      </c>
      <c r="IR3" s="91" t="s">
        <v>3</v>
      </c>
      <c r="IS3" s="91" t="s">
        <v>93</v>
      </c>
      <c r="IT3" s="91" t="s">
        <v>8</v>
      </c>
      <c r="IU3" s="91" t="s">
        <v>9</v>
      </c>
      <c r="IV3" s="91" t="s">
        <v>10</v>
      </c>
      <c r="IW3" s="91" t="s">
        <v>90</v>
      </c>
      <c r="IX3" s="91" t="s">
        <v>91</v>
      </c>
      <c r="IY3" s="91" t="s">
        <v>95</v>
      </c>
      <c r="IZ3" s="91" t="s">
        <v>96</v>
      </c>
      <c r="JA3" s="91" t="s">
        <v>97</v>
      </c>
      <c r="JB3" s="91" t="s">
        <v>98</v>
      </c>
      <c r="JC3" s="91" t="s">
        <v>99</v>
      </c>
      <c r="JD3" s="91" t="s">
        <v>100</v>
      </c>
      <c r="JE3" s="91" t="s">
        <v>94</v>
      </c>
      <c r="JF3" s="91" t="s">
        <v>8</v>
      </c>
      <c r="JG3" s="91" t="s">
        <v>9</v>
      </c>
      <c r="JH3" s="91" t="s">
        <v>10</v>
      </c>
      <c r="JI3" s="91" t="s">
        <v>90</v>
      </c>
      <c r="JJ3" s="91" t="s">
        <v>91</v>
      </c>
      <c r="JK3" s="91" t="s">
        <v>95</v>
      </c>
      <c r="JL3" s="91" t="s">
        <v>96</v>
      </c>
      <c r="JM3" s="91" t="s">
        <v>97</v>
      </c>
      <c r="JN3" s="91" t="s">
        <v>98</v>
      </c>
      <c r="JO3" s="91" t="s">
        <v>99</v>
      </c>
      <c r="JP3" s="92" t="s">
        <v>100</v>
      </c>
      <c r="JQ3" s="90" t="s">
        <v>2</v>
      </c>
      <c r="JR3" s="91" t="s">
        <v>10</v>
      </c>
      <c r="JS3" s="91" t="s">
        <v>3</v>
      </c>
      <c r="JT3" s="91" t="s">
        <v>93</v>
      </c>
      <c r="JU3" s="91" t="s">
        <v>8</v>
      </c>
      <c r="JV3" s="91" t="s">
        <v>9</v>
      </c>
      <c r="JW3" s="91" t="s">
        <v>10</v>
      </c>
      <c r="JX3" s="91" t="s">
        <v>90</v>
      </c>
      <c r="JY3" s="91" t="s">
        <v>91</v>
      </c>
      <c r="JZ3" s="91" t="s">
        <v>95</v>
      </c>
      <c r="KA3" s="91" t="s">
        <v>96</v>
      </c>
      <c r="KB3" s="91" t="s">
        <v>97</v>
      </c>
      <c r="KC3" s="91" t="s">
        <v>98</v>
      </c>
      <c r="KD3" s="91" t="s">
        <v>99</v>
      </c>
      <c r="KE3" s="91" t="s">
        <v>100</v>
      </c>
      <c r="KF3" s="91" t="s">
        <v>94</v>
      </c>
      <c r="KG3" s="91" t="s">
        <v>8</v>
      </c>
      <c r="KH3" s="91" t="s">
        <v>9</v>
      </c>
      <c r="KI3" s="91" t="s">
        <v>10</v>
      </c>
      <c r="KJ3" s="91" t="s">
        <v>90</v>
      </c>
      <c r="KK3" s="91" t="s">
        <v>91</v>
      </c>
      <c r="KL3" s="91" t="s">
        <v>95</v>
      </c>
      <c r="KM3" s="91" t="s">
        <v>96</v>
      </c>
      <c r="KN3" s="91" t="s">
        <v>97</v>
      </c>
      <c r="KO3" s="91" t="s">
        <v>98</v>
      </c>
      <c r="KP3" s="91" t="s">
        <v>99</v>
      </c>
      <c r="KQ3" s="92" t="s">
        <v>100</v>
      </c>
    </row>
    <row r="4" spans="1:303" x14ac:dyDescent="0.35">
      <c r="A4" s="83" t="str">
        <f>Neu!B4</f>
        <v>B63ls</v>
      </c>
      <c r="B4" s="146" t="s">
        <v>176</v>
      </c>
      <c r="C4" s="137"/>
      <c r="D4" s="140">
        <v>3.0000000000000001E-3</v>
      </c>
      <c r="E4" s="87">
        <v>2.5000000000000001E-2</v>
      </c>
      <c r="F4" s="17">
        <v>-60</v>
      </c>
      <c r="G4" s="87">
        <v>7.5</v>
      </c>
      <c r="H4" s="16">
        <v>1</v>
      </c>
      <c r="I4" s="16">
        <v>50</v>
      </c>
      <c r="J4" s="16">
        <v>0</v>
      </c>
      <c r="K4" s="16">
        <v>-42.1</v>
      </c>
      <c r="L4" s="150">
        <v>4.8</v>
      </c>
      <c r="M4" s="16">
        <v>3</v>
      </c>
      <c r="N4" s="148">
        <v>1.5E-3</v>
      </c>
      <c r="O4" s="148">
        <v>4.4999999999999999E-4</v>
      </c>
      <c r="P4" s="16">
        <v>-32.700000000000003</v>
      </c>
      <c r="Q4" s="16">
        <v>1.85</v>
      </c>
      <c r="R4" s="16">
        <v>1</v>
      </c>
      <c r="S4" s="16"/>
      <c r="T4" s="16"/>
      <c r="U4" s="16"/>
      <c r="V4" s="16">
        <v>0</v>
      </c>
      <c r="W4" s="62">
        <v>-51.5</v>
      </c>
      <c r="X4" s="16">
        <v>9.1999999999999993</v>
      </c>
      <c r="Y4" s="16">
        <v>1</v>
      </c>
      <c r="Z4" s="16">
        <v>0.01</v>
      </c>
      <c r="AA4" s="16">
        <v>2.3999999999999998E-3</v>
      </c>
      <c r="AB4" s="16">
        <v>-39.200000000000003</v>
      </c>
      <c r="AC4" s="16">
        <v>3.5</v>
      </c>
      <c r="AD4" s="16">
        <v>1</v>
      </c>
      <c r="AE4" s="16"/>
      <c r="AF4" s="16"/>
      <c r="AG4" s="17"/>
      <c r="AH4" s="87">
        <v>50</v>
      </c>
      <c r="AI4" s="150">
        <v>4</v>
      </c>
      <c r="AJ4" s="16">
        <v>-70</v>
      </c>
      <c r="AK4" s="16">
        <v>0</v>
      </c>
      <c r="AL4" s="16">
        <v>-26.4</v>
      </c>
      <c r="AM4" s="150">
        <v>8.8000000000000007</v>
      </c>
      <c r="AN4" s="150">
        <v>1</v>
      </c>
      <c r="AO4" s="16">
        <v>2.7E-2</v>
      </c>
      <c r="AP4" s="16">
        <v>2.16E-3</v>
      </c>
      <c r="AQ4" s="16">
        <v>-24</v>
      </c>
      <c r="AR4" s="16">
        <v>11.7</v>
      </c>
      <c r="AS4" s="16">
        <v>1</v>
      </c>
      <c r="AT4" s="16"/>
      <c r="AU4" s="16"/>
      <c r="AV4" s="16"/>
      <c r="AW4" s="16">
        <v>0.15</v>
      </c>
      <c r="AX4" s="16">
        <v>-16.399999999999999</v>
      </c>
      <c r="AY4" s="16">
        <v>1.5</v>
      </c>
      <c r="AZ4" s="16">
        <v>2</v>
      </c>
      <c r="BA4" s="16">
        <v>0.2</v>
      </c>
      <c r="BB4" s="16">
        <v>0.02</v>
      </c>
      <c r="BC4" s="16">
        <v>-24</v>
      </c>
      <c r="BD4" s="16">
        <v>8.3000000000000007</v>
      </c>
      <c r="BE4" s="16">
        <v>1</v>
      </c>
      <c r="BF4" s="16"/>
      <c r="BG4" s="16"/>
      <c r="BH4" s="17"/>
      <c r="BI4" s="87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7"/>
      <c r="CJ4" s="87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7"/>
      <c r="DK4" s="87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7"/>
      <c r="EL4" s="87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7"/>
      <c r="FM4" s="87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7"/>
      <c r="GN4" s="87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7"/>
      <c r="HO4" s="87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7"/>
      <c r="IP4" s="87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7"/>
      <c r="JQ4" s="87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7"/>
    </row>
    <row r="5" spans="1:303" x14ac:dyDescent="0.35">
      <c r="A5" s="83" t="str">
        <f>Neu!B5</f>
        <v>B63la</v>
      </c>
      <c r="B5" s="147" t="s">
        <v>165</v>
      </c>
      <c r="C5" s="137"/>
      <c r="D5" s="140">
        <v>3.0000000000000001E-3</v>
      </c>
      <c r="E5" s="87">
        <v>1.1999999999999999E-3</v>
      </c>
      <c r="F5" s="17">
        <v>-60</v>
      </c>
      <c r="G5" s="41">
        <v>7.5</v>
      </c>
      <c r="H5" s="62">
        <v>1</v>
      </c>
      <c r="I5" s="62">
        <v>50</v>
      </c>
      <c r="J5" s="62">
        <v>0</v>
      </c>
      <c r="K5" s="16">
        <v>-42.1</v>
      </c>
      <c r="L5" s="149">
        <v>4.8</v>
      </c>
      <c r="M5" s="62">
        <v>3</v>
      </c>
      <c r="N5" s="62">
        <v>1.5E-3</v>
      </c>
      <c r="O5" s="148">
        <v>4.4999999999999999E-4</v>
      </c>
      <c r="P5" s="16">
        <v>-32.700000000000003</v>
      </c>
      <c r="Q5" s="16">
        <v>1.85</v>
      </c>
      <c r="R5" s="16">
        <v>1</v>
      </c>
      <c r="S5" s="16"/>
      <c r="T5" s="16"/>
      <c r="U5" s="16"/>
      <c r="V5" s="16">
        <v>0</v>
      </c>
      <c r="W5" s="62">
        <v>-51.5</v>
      </c>
      <c r="X5" s="16">
        <v>9.1999999999999993</v>
      </c>
      <c r="Y5" s="16">
        <v>1</v>
      </c>
      <c r="Z5" s="16">
        <v>0.01</v>
      </c>
      <c r="AA5" s="16">
        <v>2.3999999999999998E-3</v>
      </c>
      <c r="AB5" s="16">
        <v>-39.200000000000003</v>
      </c>
      <c r="AC5" s="16">
        <v>3.5</v>
      </c>
      <c r="AD5" s="16">
        <v>1</v>
      </c>
      <c r="AE5" s="62"/>
      <c r="AF5" s="62"/>
      <c r="AG5" s="46"/>
      <c r="AH5" s="62">
        <v>60</v>
      </c>
      <c r="AI5" s="149">
        <v>4</v>
      </c>
      <c r="AJ5" s="62">
        <v>-70</v>
      </c>
      <c r="AK5" s="62">
        <v>0</v>
      </c>
      <c r="AL5" s="62">
        <v>-26.4</v>
      </c>
      <c r="AM5" s="149">
        <v>8.8000000000000007</v>
      </c>
      <c r="AN5" s="149">
        <v>1</v>
      </c>
      <c r="AO5" s="62">
        <v>2.7E-2</v>
      </c>
      <c r="AP5" s="62">
        <v>2.16E-3</v>
      </c>
      <c r="AQ5" s="62">
        <v>-24</v>
      </c>
      <c r="AR5" s="62">
        <v>11.7</v>
      </c>
      <c r="AS5" s="62">
        <v>1</v>
      </c>
      <c r="AT5" s="62"/>
      <c r="AU5" s="62"/>
      <c r="AV5" s="62"/>
      <c r="AW5" s="62">
        <v>0.15</v>
      </c>
      <c r="AX5" s="62">
        <v>-16.399999999999999</v>
      </c>
      <c r="AY5" s="62">
        <v>1.5</v>
      </c>
      <c r="AZ5" s="62">
        <v>2</v>
      </c>
      <c r="BA5" s="62">
        <v>0.2</v>
      </c>
      <c r="BB5" s="62">
        <v>0.02</v>
      </c>
      <c r="BC5" s="62">
        <v>-24</v>
      </c>
      <c r="BD5" s="62">
        <v>8.3000000000000007</v>
      </c>
      <c r="BE5" s="62">
        <v>1</v>
      </c>
      <c r="BF5" s="62"/>
      <c r="BG5" s="62"/>
      <c r="BH5" s="62"/>
      <c r="BI5" s="175"/>
      <c r="BJ5" s="16"/>
      <c r="BK5" s="16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18"/>
      <c r="CJ5" s="41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18"/>
      <c r="DK5" s="41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18"/>
      <c r="EL5" s="87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7"/>
      <c r="FM5" s="41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18"/>
      <c r="GN5" s="41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18"/>
      <c r="HO5" s="41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18"/>
      <c r="IP5" s="41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18"/>
      <c r="JQ5" s="41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18"/>
    </row>
    <row r="6" spans="1:303" x14ac:dyDescent="0.35">
      <c r="A6" s="83" t="str">
        <f>Neu!B6</f>
        <v>B31rs</v>
      </c>
      <c r="B6" s="147" t="s">
        <v>168</v>
      </c>
      <c r="C6" s="137"/>
      <c r="D6" s="18">
        <v>1.0999999999999999E-2</v>
      </c>
      <c r="E6" s="41">
        <v>0.37</v>
      </c>
      <c r="F6" s="17">
        <v>-60</v>
      </c>
      <c r="G6" s="183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51"/>
      <c r="AF6" s="151"/>
      <c r="AG6" s="151"/>
      <c r="AH6" s="176">
        <v>9.5</v>
      </c>
      <c r="AI6" s="176">
        <v>1</v>
      </c>
      <c r="AJ6" s="176">
        <v>-85</v>
      </c>
      <c r="AK6" s="177">
        <v>0</v>
      </c>
      <c r="AL6" s="177">
        <v>-14</v>
      </c>
      <c r="AM6" s="177">
        <v>20</v>
      </c>
      <c r="AN6" s="177">
        <v>3</v>
      </c>
      <c r="AO6" s="176">
        <v>0.02</v>
      </c>
      <c r="AP6" s="176">
        <v>2.7500000000000002E-4</v>
      </c>
      <c r="AQ6" s="176">
        <v>-88</v>
      </c>
      <c r="AR6" s="176">
        <v>30</v>
      </c>
      <c r="AS6" s="176">
        <v>1</v>
      </c>
      <c r="AT6" s="176">
        <v>-50</v>
      </c>
      <c r="AU6" s="176">
        <v>-5</v>
      </c>
      <c r="AV6" s="176">
        <v>1</v>
      </c>
      <c r="AW6" s="176">
        <v>0</v>
      </c>
      <c r="AX6" s="176">
        <v>-30</v>
      </c>
      <c r="AY6" s="176">
        <v>11</v>
      </c>
      <c r="AZ6" s="176">
        <v>1</v>
      </c>
      <c r="BA6" s="176">
        <v>0.33</v>
      </c>
      <c r="BB6" s="176">
        <v>8.0000000000000002E-3</v>
      </c>
      <c r="BC6" s="176">
        <v>-80</v>
      </c>
      <c r="BD6" s="176">
        <v>70</v>
      </c>
      <c r="BE6" s="176">
        <v>1</v>
      </c>
      <c r="BF6" s="176">
        <v>-73</v>
      </c>
      <c r="BG6" s="176">
        <v>-9</v>
      </c>
      <c r="BH6" s="176">
        <v>1</v>
      </c>
      <c r="BI6" s="151">
        <v>15</v>
      </c>
      <c r="BJ6" s="151">
        <v>1</v>
      </c>
      <c r="BK6" s="151">
        <v>-70</v>
      </c>
      <c r="BL6" s="151">
        <v>0</v>
      </c>
      <c r="BM6" s="151">
        <v>6</v>
      </c>
      <c r="BN6" s="151">
        <v>14</v>
      </c>
      <c r="BO6" s="151">
        <v>1</v>
      </c>
      <c r="BP6" s="151">
        <v>1.4E-2</v>
      </c>
      <c r="BQ6" s="151">
        <v>3.0000000000000001E-3</v>
      </c>
      <c r="BR6" s="151">
        <v>20</v>
      </c>
      <c r="BS6" s="151">
        <v>7</v>
      </c>
      <c r="BT6" s="151">
        <v>1</v>
      </c>
      <c r="BU6" s="151">
        <v>-15</v>
      </c>
      <c r="BV6" s="151">
        <v>-6</v>
      </c>
      <c r="BW6" s="151">
        <v>1</v>
      </c>
      <c r="BX6" s="151">
        <v>0</v>
      </c>
      <c r="BY6" s="151">
        <v>-31</v>
      </c>
      <c r="BZ6" s="151">
        <v>7</v>
      </c>
      <c r="CA6" s="151">
        <v>1</v>
      </c>
      <c r="CB6" s="151">
        <v>0.875</v>
      </c>
      <c r="CC6" s="151">
        <v>0.11</v>
      </c>
      <c r="CD6" s="151">
        <v>-15</v>
      </c>
      <c r="CE6" s="151">
        <v>6</v>
      </c>
      <c r="CF6" s="151">
        <v>1</v>
      </c>
      <c r="CG6" s="151">
        <v>-73</v>
      </c>
      <c r="CH6" s="151">
        <v>-9</v>
      </c>
      <c r="CI6" s="151">
        <v>1</v>
      </c>
      <c r="CJ6" s="151">
        <v>5</v>
      </c>
      <c r="CK6" s="151">
        <v>1</v>
      </c>
      <c r="CL6" s="151">
        <v>-35</v>
      </c>
      <c r="CM6" s="151">
        <v>0</v>
      </c>
      <c r="CN6" s="151">
        <v>19</v>
      </c>
      <c r="CO6" s="151">
        <v>11</v>
      </c>
      <c r="CP6" s="151">
        <v>1</v>
      </c>
      <c r="CQ6" s="151">
        <v>1.4E-2</v>
      </c>
      <c r="CR6" s="151">
        <v>3.0000000000000001E-3</v>
      </c>
      <c r="CS6" s="151">
        <v>20</v>
      </c>
      <c r="CT6" s="151">
        <v>7</v>
      </c>
      <c r="CU6" s="151">
        <v>1</v>
      </c>
      <c r="CV6" s="151">
        <v>-15</v>
      </c>
      <c r="CW6" s="151">
        <v>-6</v>
      </c>
      <c r="CX6" s="151">
        <v>1</v>
      </c>
      <c r="CY6" s="151">
        <v>0</v>
      </c>
      <c r="CZ6" s="151">
        <v>1000</v>
      </c>
      <c r="DA6" s="151">
        <v>7</v>
      </c>
      <c r="DB6" s="151">
        <v>1</v>
      </c>
      <c r="DC6" s="177"/>
      <c r="DD6" s="177"/>
      <c r="DE6" s="177"/>
      <c r="DF6" s="177"/>
      <c r="DG6" s="177"/>
      <c r="DH6" s="177"/>
      <c r="DI6" s="177"/>
      <c r="DJ6" s="188"/>
      <c r="DK6" s="151">
        <v>200</v>
      </c>
      <c r="DL6" s="151">
        <v>1</v>
      </c>
      <c r="DM6" s="151">
        <v>-35</v>
      </c>
      <c r="DN6" s="151">
        <v>0</v>
      </c>
      <c r="DO6" s="151">
        <v>-20</v>
      </c>
      <c r="DP6" s="151">
        <v>2</v>
      </c>
      <c r="DQ6" s="151">
        <v>1</v>
      </c>
      <c r="DR6" s="151">
        <v>1.4E-2</v>
      </c>
      <c r="DS6" s="151">
        <v>3.0000000000000001E-3</v>
      </c>
      <c r="DT6" s="151">
        <v>20</v>
      </c>
      <c r="DU6" s="151">
        <v>7</v>
      </c>
      <c r="DV6" s="151">
        <v>1</v>
      </c>
      <c r="DW6" s="151">
        <v>-15</v>
      </c>
      <c r="DX6" s="151">
        <v>-6</v>
      </c>
      <c r="DY6" s="151">
        <v>1</v>
      </c>
      <c r="DZ6" s="151">
        <v>0</v>
      </c>
      <c r="EA6" s="151">
        <v>1000</v>
      </c>
      <c r="EB6" s="151">
        <v>7</v>
      </c>
      <c r="EC6" s="151">
        <v>1</v>
      </c>
      <c r="ED6" s="177"/>
      <c r="EE6" s="177"/>
      <c r="EF6" s="177"/>
      <c r="EG6" s="177"/>
      <c r="EH6" s="177"/>
      <c r="EI6" s="177"/>
      <c r="EJ6" s="177"/>
      <c r="EK6" s="188"/>
      <c r="EL6" s="189"/>
      <c r="EM6" s="190"/>
      <c r="EN6" s="190"/>
      <c r="EO6" s="190"/>
      <c r="EP6" s="190"/>
      <c r="EQ6" s="190"/>
      <c r="ER6" s="190"/>
      <c r="ES6" s="190"/>
      <c r="ET6" s="190"/>
      <c r="EU6" s="190"/>
      <c r="EV6" s="190"/>
      <c r="EW6" s="190"/>
      <c r="EX6" s="190"/>
      <c r="EY6" s="190"/>
      <c r="EZ6" s="190"/>
      <c r="FA6" s="190"/>
      <c r="FB6" s="190"/>
      <c r="FC6" s="190"/>
      <c r="FD6" s="190"/>
      <c r="FE6" s="190"/>
      <c r="FF6" s="190"/>
      <c r="FG6" s="190"/>
      <c r="FH6" s="190"/>
      <c r="FI6" s="190"/>
      <c r="FJ6" s="190"/>
      <c r="FK6" s="190"/>
      <c r="FL6" s="191"/>
      <c r="FM6" s="192"/>
      <c r="FN6" s="177"/>
      <c r="FO6" s="177"/>
      <c r="FP6" s="177"/>
      <c r="FQ6" s="177"/>
      <c r="FR6" s="177"/>
      <c r="FS6" s="177"/>
      <c r="FT6" s="177"/>
      <c r="FU6" s="177"/>
      <c r="FV6" s="177"/>
      <c r="FW6" s="177"/>
      <c r="FX6" s="177"/>
      <c r="FY6" s="177"/>
      <c r="FZ6" s="177"/>
      <c r="GA6" s="177"/>
      <c r="GB6" s="177"/>
      <c r="GC6" s="177"/>
      <c r="GD6" s="177"/>
      <c r="GE6" s="177"/>
      <c r="GF6" s="177"/>
      <c r="GG6" s="177"/>
      <c r="GH6" s="177"/>
      <c r="GI6" s="177"/>
      <c r="GJ6" s="177"/>
      <c r="GK6" s="177"/>
      <c r="GL6" s="177"/>
      <c r="GM6" s="188"/>
      <c r="GN6" s="192"/>
      <c r="GO6" s="177"/>
      <c r="GP6" s="177"/>
      <c r="GQ6" s="177"/>
      <c r="GR6" s="177"/>
      <c r="GS6" s="177"/>
      <c r="GT6" s="177"/>
      <c r="GU6" s="177"/>
      <c r="GV6" s="177"/>
      <c r="GW6" s="177"/>
      <c r="GX6" s="177"/>
      <c r="GY6" s="177"/>
      <c r="GZ6" s="177"/>
      <c r="HA6" s="177"/>
      <c r="HB6" s="177"/>
      <c r="HC6" s="177"/>
      <c r="HD6" s="177"/>
      <c r="HE6" s="177"/>
      <c r="HF6" s="177"/>
      <c r="HG6" s="177"/>
      <c r="HH6" s="177"/>
      <c r="HI6" s="177"/>
      <c r="HJ6" s="177"/>
      <c r="HK6" s="177"/>
      <c r="HL6" s="177"/>
      <c r="HM6" s="177"/>
      <c r="HN6" s="188"/>
      <c r="HO6" s="192"/>
      <c r="HP6" s="177"/>
      <c r="HQ6" s="177"/>
      <c r="HR6" s="177"/>
      <c r="HS6" s="177"/>
      <c r="HT6" s="177"/>
      <c r="HU6" s="177"/>
      <c r="HV6" s="177"/>
      <c r="HW6" s="177"/>
      <c r="HX6" s="177"/>
      <c r="HY6" s="177"/>
      <c r="HZ6" s="177"/>
      <c r="IA6" s="177"/>
      <c r="IB6" s="177"/>
      <c r="IC6" s="177"/>
      <c r="ID6" s="177"/>
      <c r="IE6" s="177"/>
      <c r="IF6" s="177"/>
      <c r="IG6" s="177"/>
      <c r="IH6" s="177"/>
      <c r="II6" s="177"/>
      <c r="IJ6" s="177"/>
      <c r="IK6" s="177"/>
      <c r="IL6" s="62"/>
      <c r="IM6" s="62"/>
      <c r="IN6" s="62"/>
      <c r="IO6" s="18"/>
      <c r="IP6" s="41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18"/>
      <c r="JQ6" s="41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18"/>
    </row>
    <row r="7" spans="1:303" x14ac:dyDescent="0.35">
      <c r="A7" s="83" t="str">
        <f>Neu!B7</f>
        <v>B64ls</v>
      </c>
      <c r="B7" s="146" t="s">
        <v>194</v>
      </c>
      <c r="C7" s="137"/>
      <c r="D7" s="174">
        <v>3.0000000000000001E-3</v>
      </c>
      <c r="E7" s="178">
        <v>0.05</v>
      </c>
      <c r="F7" s="179">
        <v>-60</v>
      </c>
      <c r="G7" s="185">
        <v>0.9</v>
      </c>
      <c r="H7" s="16">
        <v>1</v>
      </c>
      <c r="I7" s="16">
        <v>50</v>
      </c>
      <c r="J7" s="16">
        <v>0</v>
      </c>
      <c r="K7" s="16">
        <v>-42.1</v>
      </c>
      <c r="L7" s="171">
        <v>4.8</v>
      </c>
      <c r="M7" s="16">
        <v>3</v>
      </c>
      <c r="N7" s="148">
        <v>1.5E-3</v>
      </c>
      <c r="O7" s="148">
        <v>4.4999999999999999E-4</v>
      </c>
      <c r="P7" s="16">
        <v>-32.700000000000003</v>
      </c>
      <c r="Q7" s="16">
        <v>1.85</v>
      </c>
      <c r="R7" s="16">
        <v>1</v>
      </c>
      <c r="S7" s="16"/>
      <c r="T7" s="16"/>
      <c r="U7" s="16"/>
      <c r="V7" s="16">
        <v>0</v>
      </c>
      <c r="W7" s="62">
        <v>-51.5</v>
      </c>
      <c r="X7" s="16">
        <v>9.1999999999999993</v>
      </c>
      <c r="Y7" s="16">
        <v>1</v>
      </c>
      <c r="Z7" s="16">
        <v>0.01</v>
      </c>
      <c r="AA7" s="16">
        <v>2.3999999999999998E-3</v>
      </c>
      <c r="AB7" s="16">
        <v>-39.200000000000003</v>
      </c>
      <c r="AC7" s="16">
        <v>3.5</v>
      </c>
      <c r="AD7" s="16">
        <v>1</v>
      </c>
      <c r="AE7" s="16"/>
      <c r="AF7" s="16"/>
      <c r="AG7" s="17"/>
      <c r="AH7" s="87">
        <v>3</v>
      </c>
      <c r="AI7" s="172">
        <v>4</v>
      </c>
      <c r="AJ7" s="16">
        <v>-70</v>
      </c>
      <c r="AK7" s="16">
        <v>0</v>
      </c>
      <c r="AL7" s="172">
        <v>-33</v>
      </c>
      <c r="AM7" s="172">
        <v>8.8000000000000007</v>
      </c>
      <c r="AN7" s="172">
        <v>1</v>
      </c>
      <c r="AO7" s="16">
        <v>2.7E-2</v>
      </c>
      <c r="AP7" s="16">
        <v>3.0000000000000001E-3</v>
      </c>
      <c r="AQ7" s="16">
        <v>-24</v>
      </c>
      <c r="AR7" s="16">
        <v>11.7</v>
      </c>
      <c r="AS7" s="16">
        <v>1</v>
      </c>
      <c r="AT7" s="16"/>
      <c r="AU7" s="16"/>
      <c r="AV7" s="16"/>
      <c r="AW7" s="16">
        <v>0.15</v>
      </c>
      <c r="AX7" s="16">
        <v>-16.399999999999999</v>
      </c>
      <c r="AY7" s="16">
        <v>1.5</v>
      </c>
      <c r="AZ7" s="16">
        <v>2</v>
      </c>
      <c r="BA7" s="16">
        <v>0.2</v>
      </c>
      <c r="BB7" s="16">
        <v>0.02</v>
      </c>
      <c r="BC7" s="16">
        <v>-24</v>
      </c>
      <c r="BD7" s="16">
        <v>8.3000000000000007</v>
      </c>
      <c r="BE7" s="16">
        <v>1</v>
      </c>
      <c r="BF7" s="16"/>
      <c r="BG7" s="16"/>
      <c r="BH7" s="17"/>
      <c r="BI7" s="87">
        <v>70</v>
      </c>
      <c r="BJ7" s="150">
        <v>4</v>
      </c>
      <c r="BK7" s="16">
        <v>-70</v>
      </c>
      <c r="BL7" s="16">
        <v>0</v>
      </c>
      <c r="BM7" s="16">
        <v>-19</v>
      </c>
      <c r="BN7" s="150">
        <v>8.8000000000000007</v>
      </c>
      <c r="BO7" s="150">
        <v>1</v>
      </c>
      <c r="BP7" s="16">
        <v>0.27</v>
      </c>
      <c r="BQ7" s="16">
        <v>2.1600000000000001E-2</v>
      </c>
      <c r="BR7" s="16">
        <v>-24</v>
      </c>
      <c r="BS7" s="16">
        <v>11.7</v>
      </c>
      <c r="BT7" s="16">
        <v>1</v>
      </c>
      <c r="BU7" s="16"/>
      <c r="BV7" s="16"/>
      <c r="BW7" s="16"/>
      <c r="BX7" s="16">
        <v>0.15</v>
      </c>
      <c r="BY7" s="16">
        <v>-16.399999999999999</v>
      </c>
      <c r="BZ7" s="16">
        <v>1.5</v>
      </c>
      <c r="CA7" s="16">
        <v>2</v>
      </c>
      <c r="CB7" s="16">
        <v>2</v>
      </c>
      <c r="CC7" s="16">
        <v>0.2</v>
      </c>
      <c r="CD7" s="16">
        <v>-24</v>
      </c>
      <c r="CE7" s="16">
        <v>8.3000000000000007</v>
      </c>
      <c r="CF7" s="16">
        <v>1</v>
      </c>
      <c r="CG7" s="173"/>
      <c r="CH7" s="173"/>
      <c r="CI7" s="174"/>
      <c r="CJ7" s="87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7"/>
      <c r="DK7" s="87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7"/>
      <c r="EL7" s="87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7"/>
      <c r="FM7" s="87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7"/>
      <c r="GN7" s="87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7"/>
      <c r="HO7" s="154">
        <v>4.5999999999999996</v>
      </c>
      <c r="HP7" s="186">
        <v>3</v>
      </c>
      <c r="HQ7" s="154">
        <v>50</v>
      </c>
      <c r="HR7" s="154">
        <v>0</v>
      </c>
      <c r="HS7" s="154">
        <v>-48</v>
      </c>
      <c r="HT7" s="154">
        <v>4</v>
      </c>
      <c r="HU7" s="154">
        <v>2</v>
      </c>
      <c r="HV7" s="154">
        <v>0.16</v>
      </c>
      <c r="HW7" s="154">
        <v>1.4999999999999999E-4</v>
      </c>
      <c r="HX7" s="154">
        <v>-30</v>
      </c>
      <c r="HY7" s="154">
        <v>4</v>
      </c>
      <c r="HZ7" s="154">
        <v>4</v>
      </c>
      <c r="IA7" s="154">
        <v>-50</v>
      </c>
      <c r="IB7" s="154">
        <v>-4</v>
      </c>
      <c r="IC7" s="154">
        <v>4</v>
      </c>
      <c r="ID7" s="16">
        <v>0</v>
      </c>
      <c r="IE7" s="187">
        <v>-57</v>
      </c>
      <c r="IF7" s="16">
        <v>5</v>
      </c>
      <c r="IG7" s="16">
        <v>2</v>
      </c>
      <c r="IH7" s="150">
        <v>2</v>
      </c>
      <c r="II7" s="150">
        <v>0.2</v>
      </c>
      <c r="IJ7" s="16">
        <v>-44</v>
      </c>
      <c r="IK7" s="16">
        <v>-3</v>
      </c>
      <c r="IL7" s="16">
        <v>4</v>
      </c>
      <c r="IM7" s="173"/>
      <c r="IN7" s="173"/>
      <c r="IO7" s="174"/>
      <c r="IP7" s="87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7"/>
      <c r="JQ7" s="87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7"/>
    </row>
    <row r="8" spans="1:303" x14ac:dyDescent="0.35">
      <c r="A8" s="83" t="str">
        <f>Neu!B8</f>
        <v>B64la</v>
      </c>
      <c r="B8" s="146" t="s">
        <v>195</v>
      </c>
      <c r="C8" s="137"/>
      <c r="D8" s="140">
        <v>3.0000000000000001E-3</v>
      </c>
      <c r="E8" s="87">
        <v>0.03</v>
      </c>
      <c r="F8" s="17">
        <v>-60</v>
      </c>
      <c r="G8" s="185">
        <v>4</v>
      </c>
      <c r="H8" s="16">
        <v>1</v>
      </c>
      <c r="I8" s="16">
        <v>50</v>
      </c>
      <c r="J8" s="16">
        <v>0</v>
      </c>
      <c r="K8" s="16">
        <v>-42.1</v>
      </c>
      <c r="L8" s="171">
        <v>4.8</v>
      </c>
      <c r="M8" s="16">
        <v>3</v>
      </c>
      <c r="N8" s="148">
        <v>1.5E-3</v>
      </c>
      <c r="O8" s="148">
        <v>4.4999999999999999E-4</v>
      </c>
      <c r="P8" s="16">
        <v>-32.700000000000003</v>
      </c>
      <c r="Q8" s="16">
        <v>1.85</v>
      </c>
      <c r="R8" s="16">
        <v>1</v>
      </c>
      <c r="S8" s="16"/>
      <c r="T8" s="16"/>
      <c r="U8" s="16"/>
      <c r="V8" s="16">
        <v>0</v>
      </c>
      <c r="W8" s="62">
        <v>-51.5</v>
      </c>
      <c r="X8" s="16">
        <v>9.1999999999999993</v>
      </c>
      <c r="Y8" s="16">
        <v>1</v>
      </c>
      <c r="Z8" s="16">
        <v>0.01</v>
      </c>
      <c r="AA8" s="16">
        <v>2.3999999999999998E-3</v>
      </c>
      <c r="AB8" s="16">
        <v>-39.200000000000003</v>
      </c>
      <c r="AC8" s="16">
        <v>3.5</v>
      </c>
      <c r="AD8" s="16">
        <v>1</v>
      </c>
      <c r="AE8" s="16"/>
      <c r="AF8" s="16"/>
      <c r="AG8" s="17"/>
      <c r="AH8" s="87">
        <v>19</v>
      </c>
      <c r="AI8" s="172">
        <v>4</v>
      </c>
      <c r="AJ8" s="16">
        <v>-70</v>
      </c>
      <c r="AK8" s="16">
        <v>0</v>
      </c>
      <c r="AL8" s="172">
        <v>-33</v>
      </c>
      <c r="AM8" s="172">
        <v>8.8000000000000007</v>
      </c>
      <c r="AN8" s="172">
        <v>1</v>
      </c>
      <c r="AO8" s="16">
        <v>2.7E-2</v>
      </c>
      <c r="AP8" s="16">
        <v>3.0000000000000001E-3</v>
      </c>
      <c r="AQ8" s="16">
        <v>-24</v>
      </c>
      <c r="AR8" s="16">
        <v>11.7</v>
      </c>
      <c r="AS8" s="16">
        <v>1</v>
      </c>
      <c r="AT8" s="16"/>
      <c r="AU8" s="16"/>
      <c r="AV8" s="16"/>
      <c r="AW8" s="16">
        <v>0.15</v>
      </c>
      <c r="AX8" s="16">
        <v>-16.399999999999999</v>
      </c>
      <c r="AY8" s="16">
        <v>1.5</v>
      </c>
      <c r="AZ8" s="16">
        <v>2</v>
      </c>
      <c r="BA8" s="16">
        <v>0.2</v>
      </c>
      <c r="BB8" s="16">
        <v>0.02</v>
      </c>
      <c r="BC8" s="16">
        <v>-24</v>
      </c>
      <c r="BD8" s="16">
        <v>8.3000000000000007</v>
      </c>
      <c r="BE8" s="16">
        <v>1</v>
      </c>
      <c r="BF8" s="62"/>
      <c r="BG8" s="62"/>
      <c r="BH8" s="18"/>
      <c r="BI8" s="87"/>
      <c r="BJ8" s="16"/>
      <c r="BK8" s="16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18"/>
      <c r="CJ8" s="41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18"/>
      <c r="DK8" s="41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18"/>
      <c r="EL8" s="87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7"/>
      <c r="FM8" s="41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18"/>
      <c r="GN8" s="41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18"/>
      <c r="HO8" s="154">
        <v>0.01</v>
      </c>
      <c r="HP8" s="186">
        <v>3</v>
      </c>
      <c r="HQ8" s="154">
        <v>50</v>
      </c>
      <c r="HR8" s="154">
        <v>0</v>
      </c>
      <c r="HS8" s="154">
        <v>-48</v>
      </c>
      <c r="HT8" s="154">
        <v>4</v>
      </c>
      <c r="HU8" s="154">
        <v>2</v>
      </c>
      <c r="HV8" s="154">
        <v>5.0000000000000001E-3</v>
      </c>
      <c r="HW8" s="154">
        <v>0.04</v>
      </c>
      <c r="HX8" s="154">
        <v>-56</v>
      </c>
      <c r="HY8" s="154">
        <v>-3</v>
      </c>
      <c r="HZ8" s="154">
        <v>4</v>
      </c>
      <c r="IA8" s="154">
        <v>-30</v>
      </c>
      <c r="IB8" s="154">
        <v>-3</v>
      </c>
      <c r="IC8" s="154">
        <v>4</v>
      </c>
      <c r="ID8" s="16">
        <v>0</v>
      </c>
      <c r="IE8" s="187">
        <v>-56</v>
      </c>
      <c r="IF8" s="16">
        <v>5</v>
      </c>
      <c r="IG8" s="16">
        <v>2</v>
      </c>
      <c r="IH8" s="150">
        <v>3</v>
      </c>
      <c r="II8" s="150">
        <v>0.05</v>
      </c>
      <c r="IJ8" s="16">
        <v>-40</v>
      </c>
      <c r="IK8" s="16">
        <v>-2</v>
      </c>
      <c r="IL8" s="16">
        <v>4</v>
      </c>
      <c r="IM8" s="62"/>
      <c r="IN8" s="62"/>
      <c r="IO8" s="18"/>
      <c r="IP8" s="41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18"/>
      <c r="JQ8" s="41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18"/>
    </row>
    <row r="9" spans="1:303" x14ac:dyDescent="0.35">
      <c r="A9" s="83" t="str">
        <f>Neu!B9</f>
        <v>B63rs</v>
      </c>
      <c r="B9" s="146" t="s">
        <v>167</v>
      </c>
      <c r="C9" s="182"/>
      <c r="D9" s="140">
        <v>3.0000000000000001E-3</v>
      </c>
      <c r="E9" s="87">
        <v>2.5000000000000001E-2</v>
      </c>
      <c r="F9" s="17">
        <v>-60</v>
      </c>
      <c r="G9" s="87">
        <v>7.5</v>
      </c>
      <c r="H9" s="16">
        <v>1</v>
      </c>
      <c r="I9" s="16">
        <v>50</v>
      </c>
      <c r="J9" s="16">
        <v>0</v>
      </c>
      <c r="K9" s="16">
        <v>-42.1</v>
      </c>
      <c r="L9" s="150">
        <v>4.8</v>
      </c>
      <c r="M9" s="16">
        <v>3</v>
      </c>
      <c r="N9" s="148">
        <v>1.5E-3</v>
      </c>
      <c r="O9" s="148">
        <v>4.4999999999999999E-4</v>
      </c>
      <c r="P9" s="16">
        <v>-32.700000000000003</v>
      </c>
      <c r="Q9" s="16">
        <v>1.85</v>
      </c>
      <c r="R9" s="16">
        <v>1</v>
      </c>
      <c r="S9" s="16"/>
      <c r="T9" s="16"/>
      <c r="U9" s="16"/>
      <c r="V9" s="16">
        <v>0</v>
      </c>
      <c r="W9" s="62">
        <v>-51.5</v>
      </c>
      <c r="X9" s="16">
        <v>9.1999999999999993</v>
      </c>
      <c r="Y9" s="16">
        <v>1</v>
      </c>
      <c r="Z9" s="16">
        <v>0.01</v>
      </c>
      <c r="AA9" s="16">
        <v>2.3999999999999998E-3</v>
      </c>
      <c r="AB9" s="16">
        <v>-39.200000000000003</v>
      </c>
      <c r="AC9" s="16">
        <v>3.5</v>
      </c>
      <c r="AD9" s="16">
        <v>1</v>
      </c>
      <c r="AE9" s="16"/>
      <c r="AF9" s="16"/>
      <c r="AG9" s="17"/>
      <c r="AH9" s="87">
        <v>50</v>
      </c>
      <c r="AI9" s="150">
        <v>4</v>
      </c>
      <c r="AJ9" s="16">
        <v>-70</v>
      </c>
      <c r="AK9" s="16">
        <v>0</v>
      </c>
      <c r="AL9" s="16">
        <v>-26.4</v>
      </c>
      <c r="AM9" s="150">
        <v>8.8000000000000007</v>
      </c>
      <c r="AN9" s="150">
        <v>1</v>
      </c>
      <c r="AO9" s="16">
        <v>2.7E-2</v>
      </c>
      <c r="AP9" s="16">
        <v>2.16E-3</v>
      </c>
      <c r="AQ9" s="16">
        <v>-24</v>
      </c>
      <c r="AR9" s="16">
        <v>11.7</v>
      </c>
      <c r="AS9" s="16">
        <v>1</v>
      </c>
      <c r="AT9" s="16"/>
      <c r="AU9" s="16"/>
      <c r="AV9" s="16"/>
      <c r="AW9" s="16">
        <v>0.15</v>
      </c>
      <c r="AX9" s="16">
        <v>-16.399999999999999</v>
      </c>
      <c r="AY9" s="16">
        <v>1.5</v>
      </c>
      <c r="AZ9" s="16">
        <v>2</v>
      </c>
      <c r="BA9" s="16">
        <v>0.2</v>
      </c>
      <c r="BB9" s="16">
        <v>0.02</v>
      </c>
      <c r="BC9" s="16">
        <v>-24</v>
      </c>
      <c r="BD9" s="16">
        <v>8.3000000000000007</v>
      </c>
      <c r="BE9" s="16">
        <v>1</v>
      </c>
      <c r="BF9" s="16"/>
      <c r="BG9" s="16"/>
      <c r="BH9" s="17"/>
      <c r="BI9" s="87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7"/>
      <c r="CJ9" s="87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7"/>
      <c r="DK9" s="87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7"/>
      <c r="EL9" s="87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7"/>
      <c r="FM9" s="87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7"/>
      <c r="GN9" s="87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7"/>
      <c r="HO9" s="87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7"/>
      <c r="IP9" s="87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7"/>
      <c r="JQ9" s="87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7"/>
    </row>
    <row r="10" spans="1:303" x14ac:dyDescent="0.35">
      <c r="A10" s="83" t="str">
        <f>Neu!B10</f>
        <v>B63ra</v>
      </c>
      <c r="B10" s="147" t="s">
        <v>166</v>
      </c>
      <c r="C10" s="182"/>
      <c r="D10" s="140">
        <v>3.0000000000000001E-3</v>
      </c>
      <c r="E10" s="87">
        <v>1.1999999999999999E-3</v>
      </c>
      <c r="F10" s="17">
        <v>-60</v>
      </c>
      <c r="G10" s="41">
        <v>7.5</v>
      </c>
      <c r="H10" s="62">
        <v>1</v>
      </c>
      <c r="I10" s="62">
        <v>50</v>
      </c>
      <c r="J10" s="62">
        <v>0</v>
      </c>
      <c r="K10" s="16">
        <v>-42.1</v>
      </c>
      <c r="L10" s="149">
        <v>4.8</v>
      </c>
      <c r="M10" s="62">
        <v>3</v>
      </c>
      <c r="N10" s="62">
        <v>1.5E-3</v>
      </c>
      <c r="O10" s="148">
        <v>4.4999999999999999E-4</v>
      </c>
      <c r="P10" s="16">
        <v>-32.700000000000003</v>
      </c>
      <c r="Q10" s="16">
        <v>1.85</v>
      </c>
      <c r="R10" s="16">
        <v>1</v>
      </c>
      <c r="S10" s="16"/>
      <c r="T10" s="16"/>
      <c r="U10" s="16"/>
      <c r="V10" s="16">
        <v>0</v>
      </c>
      <c r="W10" s="62">
        <v>-51.5</v>
      </c>
      <c r="X10" s="16">
        <v>9.1999999999999993</v>
      </c>
      <c r="Y10" s="16">
        <v>1</v>
      </c>
      <c r="Z10" s="16">
        <v>0.01</v>
      </c>
      <c r="AA10" s="16">
        <v>2.3999999999999998E-3</v>
      </c>
      <c r="AB10" s="16">
        <v>-39.200000000000003</v>
      </c>
      <c r="AC10" s="16">
        <v>3.5</v>
      </c>
      <c r="AD10" s="16">
        <v>1</v>
      </c>
      <c r="AE10" s="62"/>
      <c r="AF10" s="62"/>
      <c r="AG10" s="46"/>
      <c r="AH10" s="62">
        <v>60</v>
      </c>
      <c r="AI10" s="149">
        <v>4</v>
      </c>
      <c r="AJ10" s="62">
        <v>-70</v>
      </c>
      <c r="AK10" s="62">
        <v>0</v>
      </c>
      <c r="AL10" s="62">
        <v>-26.4</v>
      </c>
      <c r="AM10" s="149">
        <v>8.8000000000000007</v>
      </c>
      <c r="AN10" s="149">
        <v>1</v>
      </c>
      <c r="AO10" s="62">
        <v>2.7E-2</v>
      </c>
      <c r="AP10" s="62">
        <v>2.16E-3</v>
      </c>
      <c r="AQ10" s="62">
        <v>-24</v>
      </c>
      <c r="AR10" s="62">
        <v>11.7</v>
      </c>
      <c r="AS10" s="62">
        <v>1</v>
      </c>
      <c r="AT10" s="62"/>
      <c r="AU10" s="62"/>
      <c r="AV10" s="62"/>
      <c r="AW10" s="62">
        <v>0.15</v>
      </c>
      <c r="AX10" s="62">
        <v>-16.399999999999999</v>
      </c>
      <c r="AY10" s="62">
        <v>1.5</v>
      </c>
      <c r="AZ10" s="62">
        <v>2</v>
      </c>
      <c r="BA10" s="62">
        <v>0.2</v>
      </c>
      <c r="BB10" s="62">
        <v>0.02</v>
      </c>
      <c r="BC10" s="62">
        <v>-24</v>
      </c>
      <c r="BD10" s="62">
        <v>8.3000000000000007</v>
      </c>
      <c r="BE10" s="62">
        <v>1</v>
      </c>
      <c r="BF10" s="62"/>
      <c r="BG10" s="62"/>
      <c r="BH10" s="62"/>
      <c r="BI10" s="175"/>
      <c r="BJ10" s="16"/>
      <c r="BK10" s="16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18"/>
      <c r="CJ10" s="41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18"/>
      <c r="DK10" s="41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18"/>
      <c r="EL10" s="87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7"/>
      <c r="FM10" s="41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18"/>
      <c r="GN10" s="41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18"/>
      <c r="HO10" s="41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18"/>
      <c r="IP10" s="41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18"/>
      <c r="JQ10" s="41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18"/>
    </row>
    <row r="11" spans="1:303" x14ac:dyDescent="0.35">
      <c r="A11" s="83" t="str">
        <f>Neu!B11</f>
        <v>B31ls</v>
      </c>
      <c r="B11" s="147" t="s">
        <v>169</v>
      </c>
      <c r="C11" s="182"/>
      <c r="D11" s="18">
        <v>1.0999999999999999E-2</v>
      </c>
      <c r="E11" s="41">
        <v>0.37</v>
      </c>
      <c r="F11" s="17">
        <v>-60</v>
      </c>
      <c r="G11" s="183">
        <v>0.8</v>
      </c>
      <c r="H11" s="184">
        <v>3</v>
      </c>
      <c r="I11" s="184">
        <v>-2</v>
      </c>
      <c r="J11" s="184">
        <v>0</v>
      </c>
      <c r="K11" s="184">
        <v>-50</v>
      </c>
      <c r="L11" s="184">
        <v>4</v>
      </c>
      <c r="M11" s="184">
        <v>1</v>
      </c>
      <c r="N11" s="184">
        <v>1.6</v>
      </c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51"/>
      <c r="AF11" s="151"/>
      <c r="AG11" s="151"/>
      <c r="AH11" s="176">
        <v>9.5</v>
      </c>
      <c r="AI11" s="176">
        <v>1</v>
      </c>
      <c r="AJ11" s="176">
        <v>-85</v>
      </c>
      <c r="AK11" s="177">
        <v>0</v>
      </c>
      <c r="AL11" s="177">
        <v>-14</v>
      </c>
      <c r="AM11" s="177">
        <v>20</v>
      </c>
      <c r="AN11" s="177">
        <v>3</v>
      </c>
      <c r="AO11" s="176">
        <v>0.02</v>
      </c>
      <c r="AP11" s="176">
        <v>2.7500000000000002E-4</v>
      </c>
      <c r="AQ11" s="176">
        <v>-88</v>
      </c>
      <c r="AR11" s="176">
        <v>30</v>
      </c>
      <c r="AS11" s="176">
        <v>1</v>
      </c>
      <c r="AT11" s="176">
        <v>-50</v>
      </c>
      <c r="AU11" s="176">
        <v>-5</v>
      </c>
      <c r="AV11" s="176">
        <v>1</v>
      </c>
      <c r="AW11" s="176">
        <v>0</v>
      </c>
      <c r="AX11" s="176">
        <v>-30</v>
      </c>
      <c r="AY11" s="176">
        <v>11</v>
      </c>
      <c r="AZ11" s="176">
        <v>1</v>
      </c>
      <c r="BA11" s="176">
        <v>0.33</v>
      </c>
      <c r="BB11" s="176">
        <v>8.0000000000000002E-3</v>
      </c>
      <c r="BC11" s="176">
        <v>-80</v>
      </c>
      <c r="BD11" s="176">
        <v>70</v>
      </c>
      <c r="BE11" s="176">
        <v>1</v>
      </c>
      <c r="BF11" s="176">
        <v>-73</v>
      </c>
      <c r="BG11" s="176">
        <v>-9</v>
      </c>
      <c r="BH11" s="176">
        <v>1</v>
      </c>
      <c r="BI11" s="151">
        <v>15</v>
      </c>
      <c r="BJ11" s="151">
        <v>1</v>
      </c>
      <c r="BK11" s="151">
        <v>-70</v>
      </c>
      <c r="BL11" s="151">
        <v>0</v>
      </c>
      <c r="BM11" s="151">
        <v>6</v>
      </c>
      <c r="BN11" s="151">
        <v>14</v>
      </c>
      <c r="BO11" s="151">
        <v>1</v>
      </c>
      <c r="BP11" s="151">
        <v>1.4E-2</v>
      </c>
      <c r="BQ11" s="151">
        <v>3.0000000000000001E-3</v>
      </c>
      <c r="BR11" s="151">
        <v>20</v>
      </c>
      <c r="BS11" s="151">
        <v>7</v>
      </c>
      <c r="BT11" s="151">
        <v>1</v>
      </c>
      <c r="BU11" s="151">
        <v>-15</v>
      </c>
      <c r="BV11" s="151">
        <v>-6</v>
      </c>
      <c r="BW11" s="151">
        <v>1</v>
      </c>
      <c r="BX11" s="151">
        <v>0</v>
      </c>
      <c r="BY11" s="151">
        <v>-31</v>
      </c>
      <c r="BZ11" s="151">
        <v>7</v>
      </c>
      <c r="CA11" s="151">
        <v>1</v>
      </c>
      <c r="CB11" s="151">
        <v>0.875</v>
      </c>
      <c r="CC11" s="151">
        <v>0.11</v>
      </c>
      <c r="CD11" s="151">
        <v>-15</v>
      </c>
      <c r="CE11" s="151">
        <v>6</v>
      </c>
      <c r="CF11" s="151">
        <v>1</v>
      </c>
      <c r="CG11" s="151">
        <v>-73</v>
      </c>
      <c r="CH11" s="151">
        <v>-9</v>
      </c>
      <c r="CI11" s="151">
        <v>1</v>
      </c>
      <c r="CJ11" s="151">
        <v>5</v>
      </c>
      <c r="CK11" s="151">
        <v>1</v>
      </c>
      <c r="CL11" s="151">
        <v>-35</v>
      </c>
      <c r="CM11" s="151">
        <v>0</v>
      </c>
      <c r="CN11" s="151">
        <v>19</v>
      </c>
      <c r="CO11" s="151">
        <v>11</v>
      </c>
      <c r="CP11" s="151">
        <v>1</v>
      </c>
      <c r="CQ11" s="151">
        <v>1.4E-2</v>
      </c>
      <c r="CR11" s="151">
        <v>3.0000000000000001E-3</v>
      </c>
      <c r="CS11" s="151">
        <v>20</v>
      </c>
      <c r="CT11" s="151">
        <v>7</v>
      </c>
      <c r="CU11" s="151">
        <v>1</v>
      </c>
      <c r="CV11" s="151">
        <v>-15</v>
      </c>
      <c r="CW11" s="151">
        <v>-6</v>
      </c>
      <c r="CX11" s="151">
        <v>1</v>
      </c>
      <c r="CY11" s="151">
        <v>0</v>
      </c>
      <c r="CZ11" s="151">
        <v>1000</v>
      </c>
      <c r="DA11" s="151">
        <v>7</v>
      </c>
      <c r="DB11" s="151">
        <v>1</v>
      </c>
      <c r="DC11" s="177"/>
      <c r="DD11" s="177"/>
      <c r="DE11" s="177"/>
      <c r="DF11" s="177"/>
      <c r="DG11" s="177"/>
      <c r="DH11" s="177"/>
      <c r="DI11" s="177"/>
      <c r="DJ11" s="188"/>
      <c r="DK11" s="151">
        <v>200</v>
      </c>
      <c r="DL11" s="151">
        <v>1</v>
      </c>
      <c r="DM11" s="151">
        <v>-35</v>
      </c>
      <c r="DN11" s="151">
        <v>0</v>
      </c>
      <c r="DO11" s="151">
        <v>-20</v>
      </c>
      <c r="DP11" s="151">
        <v>2</v>
      </c>
      <c r="DQ11" s="151">
        <v>1</v>
      </c>
      <c r="DR11" s="151">
        <v>1.4E-2</v>
      </c>
      <c r="DS11" s="151">
        <v>3.0000000000000001E-3</v>
      </c>
      <c r="DT11" s="151">
        <v>20</v>
      </c>
      <c r="DU11" s="151">
        <v>7</v>
      </c>
      <c r="DV11" s="151">
        <v>1</v>
      </c>
      <c r="DW11" s="151">
        <v>-15</v>
      </c>
      <c r="DX11" s="151">
        <v>-6</v>
      </c>
      <c r="DY11" s="151">
        <v>1</v>
      </c>
      <c r="DZ11" s="151">
        <v>0</v>
      </c>
      <c r="EA11" s="151">
        <v>1000</v>
      </c>
      <c r="EB11" s="151">
        <v>7</v>
      </c>
      <c r="EC11" s="151">
        <v>1</v>
      </c>
      <c r="ED11" s="177"/>
      <c r="EE11" s="177"/>
      <c r="EF11" s="177"/>
      <c r="EG11" s="177"/>
      <c r="EH11" s="177"/>
      <c r="EI11" s="177"/>
      <c r="EJ11" s="177"/>
      <c r="EK11" s="188"/>
      <c r="EL11" s="189"/>
      <c r="EM11" s="190"/>
      <c r="EN11" s="190"/>
      <c r="EO11" s="190"/>
      <c r="EP11" s="190"/>
      <c r="EQ11" s="190"/>
      <c r="ER11" s="190"/>
      <c r="ES11" s="190"/>
      <c r="ET11" s="190"/>
      <c r="EU11" s="190"/>
      <c r="EV11" s="190"/>
      <c r="EW11" s="190"/>
      <c r="EX11" s="190"/>
      <c r="EY11" s="190"/>
      <c r="EZ11" s="190"/>
      <c r="FA11" s="190"/>
      <c r="FB11" s="190"/>
      <c r="FC11" s="190"/>
      <c r="FD11" s="190"/>
      <c r="FE11" s="190"/>
      <c r="FF11" s="190"/>
      <c r="FG11" s="190"/>
      <c r="FH11" s="190"/>
      <c r="FI11" s="190"/>
      <c r="FJ11" s="190"/>
      <c r="FK11" s="190"/>
      <c r="FL11" s="191"/>
      <c r="FM11" s="192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88"/>
      <c r="GN11" s="192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88"/>
      <c r="HO11" s="192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62"/>
      <c r="IN11" s="62"/>
      <c r="IO11" s="18"/>
      <c r="IP11" s="41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18"/>
      <c r="JQ11" s="41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18"/>
    </row>
    <row r="12" spans="1:303" x14ac:dyDescent="0.35">
      <c r="A12" s="83" t="str">
        <f>Neu!B12</f>
        <v>B64rs</v>
      </c>
      <c r="B12" s="146" t="s">
        <v>201</v>
      </c>
      <c r="C12" s="137"/>
      <c r="D12" s="174">
        <v>3.0000000000000001E-3</v>
      </c>
      <c r="E12" s="178">
        <v>0.05</v>
      </c>
      <c r="F12" s="179">
        <v>-60</v>
      </c>
      <c r="G12" s="185">
        <v>0.9</v>
      </c>
      <c r="H12" s="16">
        <v>1</v>
      </c>
      <c r="I12" s="16">
        <v>50</v>
      </c>
      <c r="J12" s="16">
        <v>0</v>
      </c>
      <c r="K12" s="16">
        <v>-42.1</v>
      </c>
      <c r="L12" s="171">
        <v>4.8</v>
      </c>
      <c r="M12" s="16">
        <v>3</v>
      </c>
      <c r="N12" s="148">
        <v>1.5E-3</v>
      </c>
      <c r="O12" s="148">
        <v>4.4999999999999999E-4</v>
      </c>
      <c r="P12" s="16">
        <v>-32.700000000000003</v>
      </c>
      <c r="Q12" s="16">
        <v>1.85</v>
      </c>
      <c r="R12" s="16">
        <v>1</v>
      </c>
      <c r="S12" s="16"/>
      <c r="T12" s="16"/>
      <c r="U12" s="16"/>
      <c r="V12" s="16">
        <v>0</v>
      </c>
      <c r="W12" s="62">
        <v>-51.5</v>
      </c>
      <c r="X12" s="16">
        <v>9.1999999999999993</v>
      </c>
      <c r="Y12" s="16">
        <v>1</v>
      </c>
      <c r="Z12" s="16">
        <v>0.01</v>
      </c>
      <c r="AA12" s="16">
        <v>2.3999999999999998E-3</v>
      </c>
      <c r="AB12" s="16">
        <v>-39.200000000000003</v>
      </c>
      <c r="AC12" s="16">
        <v>3.5</v>
      </c>
      <c r="AD12" s="16">
        <v>1</v>
      </c>
      <c r="AE12" s="16"/>
      <c r="AF12" s="16"/>
      <c r="AG12" s="17"/>
      <c r="AH12" s="87">
        <v>3</v>
      </c>
      <c r="AI12" s="172">
        <v>4</v>
      </c>
      <c r="AJ12" s="16">
        <v>-70</v>
      </c>
      <c r="AK12" s="16">
        <v>0</v>
      </c>
      <c r="AL12" s="172">
        <v>-33</v>
      </c>
      <c r="AM12" s="172">
        <v>8.8000000000000007</v>
      </c>
      <c r="AN12" s="172">
        <v>1</v>
      </c>
      <c r="AO12" s="16">
        <v>2.7E-2</v>
      </c>
      <c r="AP12" s="16">
        <v>3.0000000000000001E-3</v>
      </c>
      <c r="AQ12" s="16">
        <v>-24</v>
      </c>
      <c r="AR12" s="16">
        <v>11.7</v>
      </c>
      <c r="AS12" s="16">
        <v>1</v>
      </c>
      <c r="AT12" s="16"/>
      <c r="AU12" s="16"/>
      <c r="AV12" s="16"/>
      <c r="AW12" s="16">
        <v>0.15</v>
      </c>
      <c r="AX12" s="16">
        <v>-16.399999999999999</v>
      </c>
      <c r="AY12" s="16">
        <v>1.5</v>
      </c>
      <c r="AZ12" s="16">
        <v>2</v>
      </c>
      <c r="BA12" s="16">
        <v>0.2</v>
      </c>
      <c r="BB12" s="16">
        <v>0.02</v>
      </c>
      <c r="BC12" s="16">
        <v>-24</v>
      </c>
      <c r="BD12" s="16">
        <v>8.3000000000000007</v>
      </c>
      <c r="BE12" s="16">
        <v>1</v>
      </c>
      <c r="BF12" s="16"/>
      <c r="BG12" s="16"/>
      <c r="BH12" s="17"/>
      <c r="BI12" s="87">
        <v>70</v>
      </c>
      <c r="BJ12" s="150">
        <v>4</v>
      </c>
      <c r="BK12" s="16">
        <v>-70</v>
      </c>
      <c r="BL12" s="16">
        <v>0</v>
      </c>
      <c r="BM12" s="16">
        <v>-19</v>
      </c>
      <c r="BN12" s="150">
        <v>8.8000000000000007</v>
      </c>
      <c r="BO12" s="150">
        <v>1</v>
      </c>
      <c r="BP12" s="16">
        <v>0.27</v>
      </c>
      <c r="BQ12" s="16">
        <v>2.1600000000000001E-2</v>
      </c>
      <c r="BR12" s="16">
        <v>-24</v>
      </c>
      <c r="BS12" s="16">
        <v>11.7</v>
      </c>
      <c r="BT12" s="16">
        <v>1</v>
      </c>
      <c r="BU12" s="16"/>
      <c r="BV12" s="16"/>
      <c r="BW12" s="16"/>
      <c r="BX12" s="16">
        <v>0.15</v>
      </c>
      <c r="BY12" s="16">
        <v>-16.399999999999999</v>
      </c>
      <c r="BZ12" s="16">
        <v>1.5</v>
      </c>
      <c r="CA12" s="16">
        <v>2</v>
      </c>
      <c r="CB12" s="16">
        <v>2</v>
      </c>
      <c r="CC12" s="16">
        <v>0.2</v>
      </c>
      <c r="CD12" s="16">
        <v>-24</v>
      </c>
      <c r="CE12" s="16">
        <v>8.3000000000000007</v>
      </c>
      <c r="CF12" s="16">
        <v>1</v>
      </c>
      <c r="CG12" s="173"/>
      <c r="CH12" s="173"/>
      <c r="CI12" s="174"/>
      <c r="CJ12" s="87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7"/>
      <c r="DK12" s="87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7"/>
      <c r="EL12" s="87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7"/>
      <c r="FM12" s="87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7"/>
      <c r="GN12" s="87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7"/>
      <c r="HO12" s="154">
        <v>4.5999999999999996</v>
      </c>
      <c r="HP12" s="186">
        <v>3</v>
      </c>
      <c r="HQ12" s="154">
        <v>50</v>
      </c>
      <c r="HR12" s="154">
        <v>0</v>
      </c>
      <c r="HS12" s="154">
        <v>-48</v>
      </c>
      <c r="HT12" s="154">
        <v>4</v>
      </c>
      <c r="HU12" s="154">
        <v>2</v>
      </c>
      <c r="HV12" s="154">
        <v>0.16</v>
      </c>
      <c r="HW12" s="154">
        <v>1.4999999999999999E-4</v>
      </c>
      <c r="HX12" s="154">
        <v>-30</v>
      </c>
      <c r="HY12" s="154">
        <v>4</v>
      </c>
      <c r="HZ12" s="154">
        <v>4</v>
      </c>
      <c r="IA12" s="154">
        <v>-50</v>
      </c>
      <c r="IB12" s="154">
        <v>-4</v>
      </c>
      <c r="IC12" s="154">
        <v>4</v>
      </c>
      <c r="ID12" s="16">
        <v>0</v>
      </c>
      <c r="IE12" s="187">
        <v>-57</v>
      </c>
      <c r="IF12" s="16">
        <v>5</v>
      </c>
      <c r="IG12" s="16">
        <v>2</v>
      </c>
      <c r="IH12" s="150">
        <v>2</v>
      </c>
      <c r="II12" s="150">
        <v>0.2</v>
      </c>
      <c r="IJ12" s="16">
        <v>-44</v>
      </c>
      <c r="IK12" s="16">
        <v>-3</v>
      </c>
      <c r="IL12" s="16">
        <v>4</v>
      </c>
      <c r="IM12" s="173"/>
      <c r="IN12" s="173"/>
      <c r="IO12" s="174"/>
      <c r="IP12" s="87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7"/>
      <c r="JQ12" s="87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7"/>
    </row>
    <row r="13" spans="1:303" x14ac:dyDescent="0.35">
      <c r="A13" s="83" t="str">
        <f>Neu!B13</f>
        <v>B64ra</v>
      </c>
      <c r="B13" s="146" t="s">
        <v>202</v>
      </c>
      <c r="C13" s="137"/>
      <c r="D13" s="140">
        <v>3.0000000000000001E-3</v>
      </c>
      <c r="E13" s="87">
        <v>0.01</v>
      </c>
      <c r="F13" s="17">
        <v>-60</v>
      </c>
      <c r="G13" s="185">
        <v>4</v>
      </c>
      <c r="H13" s="16">
        <v>1</v>
      </c>
      <c r="I13" s="16">
        <v>50</v>
      </c>
      <c r="J13" s="16">
        <v>0</v>
      </c>
      <c r="K13" s="16">
        <v>-42.1</v>
      </c>
      <c r="L13" s="171">
        <v>4.8</v>
      </c>
      <c r="M13" s="16">
        <v>3</v>
      </c>
      <c r="N13" s="148">
        <v>1.5E-3</v>
      </c>
      <c r="O13" s="148">
        <v>4.4999999999999999E-4</v>
      </c>
      <c r="P13" s="16">
        <v>-32.700000000000003</v>
      </c>
      <c r="Q13" s="16">
        <v>1.85</v>
      </c>
      <c r="R13" s="16">
        <v>1</v>
      </c>
      <c r="S13" s="16"/>
      <c r="T13" s="16"/>
      <c r="U13" s="16"/>
      <c r="V13" s="16">
        <v>0</v>
      </c>
      <c r="W13" s="62">
        <v>-51.5</v>
      </c>
      <c r="X13" s="16">
        <v>9.1999999999999993</v>
      </c>
      <c r="Y13" s="16">
        <v>1</v>
      </c>
      <c r="Z13" s="16">
        <v>0.01</v>
      </c>
      <c r="AA13" s="16">
        <v>2.3999999999999998E-3</v>
      </c>
      <c r="AB13" s="16">
        <v>-39.200000000000003</v>
      </c>
      <c r="AC13" s="16">
        <v>3.5</v>
      </c>
      <c r="AD13" s="16">
        <v>1</v>
      </c>
      <c r="AE13" s="16"/>
      <c r="AF13" s="16"/>
      <c r="AG13" s="17"/>
      <c r="AH13" s="87">
        <v>19</v>
      </c>
      <c r="AI13" s="172">
        <v>4</v>
      </c>
      <c r="AJ13" s="16">
        <v>-70</v>
      </c>
      <c r="AK13" s="16">
        <v>0</v>
      </c>
      <c r="AL13" s="172">
        <v>-33</v>
      </c>
      <c r="AM13" s="172">
        <v>8.8000000000000007</v>
      </c>
      <c r="AN13" s="172">
        <v>1</v>
      </c>
      <c r="AO13" s="16">
        <v>2.7E-2</v>
      </c>
      <c r="AP13" s="16">
        <v>3.0000000000000001E-3</v>
      </c>
      <c r="AQ13" s="16">
        <v>-24</v>
      </c>
      <c r="AR13" s="16">
        <v>11.7</v>
      </c>
      <c r="AS13" s="16">
        <v>1</v>
      </c>
      <c r="AT13" s="16"/>
      <c r="AU13" s="16"/>
      <c r="AV13" s="16"/>
      <c r="AW13" s="16">
        <v>0.15</v>
      </c>
      <c r="AX13" s="16">
        <v>-16.399999999999999</v>
      </c>
      <c r="AY13" s="16">
        <v>1.5</v>
      </c>
      <c r="AZ13" s="16">
        <v>2</v>
      </c>
      <c r="BA13" s="16">
        <v>0.2</v>
      </c>
      <c r="BB13" s="16">
        <v>0.02</v>
      </c>
      <c r="BC13" s="16">
        <v>-24</v>
      </c>
      <c r="BD13" s="16">
        <v>8.3000000000000007</v>
      </c>
      <c r="BE13" s="16">
        <v>1</v>
      </c>
      <c r="BF13" s="62"/>
      <c r="BG13" s="62"/>
      <c r="BH13" s="18"/>
      <c r="BI13" s="87"/>
      <c r="BJ13" s="16"/>
      <c r="BK13" s="16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18"/>
      <c r="CJ13" s="41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18"/>
      <c r="DK13" s="41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18"/>
      <c r="EL13" s="87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7"/>
      <c r="FM13" s="41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18"/>
      <c r="GN13" s="41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18"/>
      <c r="HO13" s="154">
        <v>0.01</v>
      </c>
      <c r="HP13" s="186">
        <v>3</v>
      </c>
      <c r="HQ13" s="154">
        <v>50</v>
      </c>
      <c r="HR13" s="154">
        <v>0</v>
      </c>
      <c r="HS13" s="154">
        <v>-48</v>
      </c>
      <c r="HT13" s="154">
        <v>4</v>
      </c>
      <c r="HU13" s="154">
        <v>2</v>
      </c>
      <c r="HV13" s="154">
        <v>5.0000000000000001E-3</v>
      </c>
      <c r="HW13" s="154">
        <v>0.04</v>
      </c>
      <c r="HX13" s="154">
        <v>-56</v>
      </c>
      <c r="HY13" s="154">
        <v>-3</v>
      </c>
      <c r="HZ13" s="154">
        <v>4</v>
      </c>
      <c r="IA13" s="154">
        <v>-30</v>
      </c>
      <c r="IB13" s="154">
        <v>-3</v>
      </c>
      <c r="IC13" s="154">
        <v>4</v>
      </c>
      <c r="ID13" s="16">
        <v>0</v>
      </c>
      <c r="IE13" s="187">
        <v>-56</v>
      </c>
      <c r="IF13" s="16">
        <v>5</v>
      </c>
      <c r="IG13" s="16">
        <v>2</v>
      </c>
      <c r="IH13" s="150">
        <v>3</v>
      </c>
      <c r="II13" s="150">
        <v>0.05</v>
      </c>
      <c r="IJ13" s="16">
        <v>-40</v>
      </c>
      <c r="IK13" s="16">
        <v>-2</v>
      </c>
      <c r="IL13" s="16">
        <v>4</v>
      </c>
      <c r="IM13" s="62"/>
      <c r="IN13" s="62"/>
      <c r="IO13" s="18"/>
      <c r="IP13" s="41"/>
      <c r="IQ13" s="62"/>
      <c r="IR13" s="62"/>
      <c r="IS13" s="62"/>
      <c r="IT13" s="62"/>
      <c r="IU13" s="62"/>
      <c r="IV13" s="62"/>
      <c r="IW13" s="62"/>
      <c r="IX13" s="62"/>
      <c r="IY13" s="62"/>
      <c r="IZ13" s="62"/>
      <c r="JA13" s="62"/>
      <c r="JB13" s="62"/>
      <c r="JC13" s="62"/>
      <c r="JD13" s="62"/>
      <c r="JE13" s="62"/>
      <c r="JF13" s="62"/>
      <c r="JG13" s="62"/>
      <c r="JH13" s="62"/>
      <c r="JI13" s="62"/>
      <c r="JJ13" s="62"/>
      <c r="JK13" s="62"/>
      <c r="JL13" s="62"/>
      <c r="JM13" s="62"/>
      <c r="JN13" s="62"/>
      <c r="JO13" s="62"/>
      <c r="JP13" s="18"/>
      <c r="JQ13" s="41"/>
      <c r="JR13" s="62"/>
      <c r="JS13" s="62"/>
      <c r="JT13" s="62"/>
      <c r="JU13" s="62"/>
      <c r="JV13" s="62"/>
      <c r="JW13" s="62"/>
      <c r="JX13" s="62"/>
      <c r="JY13" s="62"/>
      <c r="JZ13" s="62"/>
      <c r="KA13" s="62"/>
      <c r="KB13" s="62"/>
      <c r="KC13" s="62"/>
      <c r="KD13" s="62"/>
      <c r="KE13" s="62"/>
      <c r="KF13" s="62"/>
      <c r="KG13" s="62"/>
      <c r="KH13" s="62"/>
      <c r="KI13" s="62"/>
      <c r="KJ13" s="62"/>
      <c r="KK13" s="62"/>
      <c r="KL13" s="62"/>
      <c r="KM13" s="62"/>
      <c r="KN13" s="62"/>
      <c r="KO13" s="62"/>
      <c r="KP13" s="62"/>
      <c r="KQ13" s="18"/>
    </row>
    <row r="14" spans="1:303" customFormat="1" x14ac:dyDescent="0.35">
      <c r="CM14" s="153"/>
      <c r="CN14" s="153"/>
      <c r="CO14" s="153"/>
      <c r="CP14" s="153"/>
      <c r="CQ14" s="153"/>
      <c r="CR14" s="153"/>
      <c r="CS14" s="153"/>
    </row>
    <row r="15" spans="1:303" customFormat="1" x14ac:dyDescent="0.35">
      <c r="G15" s="183"/>
      <c r="CM15" s="153"/>
      <c r="CN15" s="153"/>
      <c r="CO15" s="153"/>
      <c r="CP15" s="153"/>
      <c r="CQ15" s="153"/>
      <c r="CR15" s="153"/>
      <c r="CS15" s="153"/>
    </row>
    <row r="16" spans="1:303" customFormat="1" x14ac:dyDescent="0.35">
      <c r="CM16" s="153"/>
      <c r="CN16" s="153"/>
      <c r="CO16" s="153"/>
      <c r="CP16" s="153"/>
      <c r="CQ16" s="153"/>
      <c r="CR16" s="153"/>
      <c r="CS16" s="153"/>
    </row>
    <row r="17" spans="1:303" customFormat="1" ht="21" x14ac:dyDescent="0.5">
      <c r="C17" s="158"/>
      <c r="D17" s="152"/>
      <c r="E17" s="152"/>
      <c r="F17" s="152"/>
      <c r="G17" s="152"/>
      <c r="H17" s="152"/>
      <c r="J17" s="152"/>
      <c r="K17" s="152"/>
      <c r="M17" s="152"/>
      <c r="N17" s="152"/>
      <c r="CM17" s="153"/>
      <c r="CN17" s="153"/>
      <c r="CO17" s="153"/>
      <c r="CP17" s="153"/>
      <c r="CQ17" s="153"/>
      <c r="CR17" s="153"/>
      <c r="CS17" s="153"/>
    </row>
    <row r="18" spans="1:303" x14ac:dyDescent="0.35">
      <c r="A18" s="67"/>
      <c r="B18" s="153"/>
      <c r="C18"/>
      <c r="D18" s="154"/>
      <c r="E18" s="170"/>
      <c r="F18" s="154"/>
      <c r="G18" s="154"/>
      <c r="H18" s="154"/>
      <c r="I18" s="154"/>
      <c r="J18" s="154"/>
      <c r="K18" s="154"/>
      <c r="L18" s="154"/>
      <c r="M18" s="154"/>
      <c r="N18" s="156"/>
      <c r="O18" s="156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5"/>
      <c r="AJ18" s="154"/>
      <c r="AK18" s="154"/>
      <c r="AL18" s="154"/>
      <c r="AM18" s="155"/>
      <c r="AN18" s="155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  <c r="GD18" s="154"/>
      <c r="GE18" s="154"/>
      <c r="GF18" s="154"/>
      <c r="GG18" s="154"/>
      <c r="GH18" s="154"/>
      <c r="GI18" s="154"/>
      <c r="GJ18" s="154"/>
      <c r="GK18" s="154"/>
      <c r="GL18" s="154"/>
      <c r="GM18" s="154"/>
      <c r="GN18" s="154"/>
      <c r="GO18" s="154"/>
      <c r="GP18" s="154"/>
      <c r="GQ18" s="154"/>
      <c r="GR18" s="154"/>
      <c r="GS18" s="154"/>
      <c r="GT18" s="154"/>
      <c r="GU18" s="154"/>
      <c r="GV18" s="154"/>
      <c r="GW18" s="154"/>
      <c r="GX18" s="154"/>
      <c r="GY18" s="154"/>
      <c r="GZ18" s="154"/>
      <c r="HA18" s="154"/>
      <c r="HB18" s="154"/>
      <c r="HC18" s="154"/>
      <c r="HD18" s="154"/>
      <c r="HE18" s="154"/>
      <c r="HF18" s="154"/>
      <c r="HG18" s="154"/>
      <c r="HH18" s="154"/>
      <c r="HI18" s="154"/>
      <c r="HJ18" s="154"/>
      <c r="HK18" s="154"/>
      <c r="HL18" s="154"/>
      <c r="HM18" s="154"/>
      <c r="HN18" s="154"/>
      <c r="HO18" s="154"/>
      <c r="HP18" s="154"/>
      <c r="HQ18" s="154"/>
      <c r="HR18" s="154"/>
      <c r="HS18" s="154"/>
      <c r="HT18" s="154"/>
      <c r="HU18" s="154"/>
      <c r="HV18" s="154"/>
      <c r="HW18" s="154"/>
      <c r="HX18" s="154"/>
      <c r="HY18" s="154"/>
      <c r="HZ18" s="154"/>
      <c r="IA18" s="154"/>
      <c r="IB18" s="154"/>
      <c r="IC18" s="154"/>
      <c r="ID18" s="154"/>
      <c r="IE18" s="154"/>
      <c r="IF18" s="154"/>
      <c r="IG18" s="154"/>
      <c r="IH18" s="154"/>
      <c r="II18" s="154"/>
      <c r="IJ18" s="154"/>
      <c r="IK18" s="154"/>
      <c r="IL18" s="154"/>
      <c r="IM18" s="154"/>
      <c r="IN18" s="154"/>
      <c r="IO18" s="154"/>
      <c r="IP18" s="154"/>
      <c r="IQ18" s="154"/>
      <c r="IR18" s="154"/>
      <c r="IS18" s="154"/>
      <c r="IT18" s="154"/>
      <c r="IU18" s="154"/>
      <c r="IV18" s="154"/>
      <c r="IW18" s="154"/>
      <c r="IX18" s="154"/>
      <c r="IY18" s="154"/>
      <c r="IZ18" s="154"/>
      <c r="JA18" s="154"/>
      <c r="JB18" s="154"/>
      <c r="JC18" s="154"/>
      <c r="JD18" s="154"/>
      <c r="JE18" s="154"/>
      <c r="JF18" s="154"/>
      <c r="JG18" s="154"/>
      <c r="JH18" s="154"/>
      <c r="JI18" s="154"/>
      <c r="JJ18" s="154"/>
      <c r="JK18" s="154"/>
      <c r="JL18" s="154"/>
      <c r="JM18" s="154"/>
      <c r="JN18" s="154"/>
      <c r="JO18" s="154"/>
      <c r="JP18" s="154"/>
      <c r="JQ18" s="154"/>
      <c r="JR18" s="154"/>
      <c r="JS18" s="154"/>
      <c r="JT18" s="154"/>
      <c r="JU18" s="154"/>
      <c r="JV18" s="154"/>
      <c r="JW18" s="154"/>
      <c r="JX18" s="154"/>
      <c r="JY18" s="154"/>
      <c r="JZ18" s="154"/>
      <c r="KA18" s="154"/>
      <c r="KB18" s="154"/>
      <c r="KC18" s="154"/>
      <c r="KD18" s="154"/>
      <c r="KE18" s="154"/>
      <c r="KF18" s="154"/>
      <c r="KG18" s="154"/>
      <c r="KH18" s="154"/>
      <c r="KI18" s="154"/>
      <c r="KJ18" s="154"/>
      <c r="KK18" s="154"/>
      <c r="KL18" s="154"/>
      <c r="KM18" s="154"/>
      <c r="KN18" s="154"/>
      <c r="KO18" s="154"/>
      <c r="KP18" s="154"/>
      <c r="KQ18" s="154"/>
    </row>
    <row r="19" spans="1:303" x14ac:dyDescent="0.35">
      <c r="A19" s="67"/>
      <c r="B19" s="157"/>
      <c r="C19"/>
      <c r="D19" s="154"/>
      <c r="E19" s="170"/>
      <c r="F19" s="154"/>
      <c r="G19" s="154"/>
      <c r="H19" s="154"/>
      <c r="I19" s="154"/>
      <c r="J19" s="154"/>
      <c r="K19" s="16"/>
      <c r="L19" s="155"/>
      <c r="M19" s="154"/>
      <c r="N19" s="154"/>
      <c r="O19" s="156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5"/>
      <c r="AJ19" s="154"/>
      <c r="AK19" s="154"/>
      <c r="AL19" s="154"/>
      <c r="AM19" s="155"/>
      <c r="AN19" s="155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54"/>
      <c r="EC19" s="154"/>
      <c r="ED19" s="154"/>
      <c r="EE19" s="154"/>
      <c r="EF19" s="154"/>
      <c r="EG19" s="154"/>
      <c r="EH19" s="154"/>
      <c r="EI19" s="154"/>
      <c r="EJ19" s="154"/>
      <c r="EK19" s="154"/>
      <c r="EL19" s="154"/>
      <c r="EM19" s="154"/>
      <c r="EN19" s="154"/>
      <c r="EO19" s="154"/>
      <c r="EP19" s="154"/>
      <c r="EQ19" s="154"/>
      <c r="ER19" s="154"/>
      <c r="ES19" s="154"/>
      <c r="ET19" s="154"/>
      <c r="EU19" s="154"/>
      <c r="EV19" s="154"/>
      <c r="EW19" s="154"/>
      <c r="EX19" s="154"/>
      <c r="EY19" s="154"/>
      <c r="EZ19" s="154"/>
      <c r="FA19" s="154"/>
      <c r="FB19" s="154"/>
      <c r="FC19" s="154"/>
      <c r="FD19" s="154"/>
      <c r="FE19" s="154"/>
      <c r="FF19" s="154"/>
      <c r="FG19" s="154"/>
      <c r="FH19" s="154"/>
      <c r="FI19" s="154"/>
      <c r="FJ19" s="154"/>
      <c r="FK19" s="154"/>
      <c r="FL19" s="154"/>
      <c r="FM19" s="154"/>
      <c r="FN19" s="154"/>
      <c r="FO19" s="154"/>
      <c r="FP19" s="154"/>
      <c r="FQ19" s="154"/>
      <c r="FR19" s="154"/>
      <c r="FS19" s="154"/>
      <c r="FT19" s="154"/>
      <c r="FU19" s="154"/>
      <c r="FV19" s="154"/>
      <c r="FW19" s="154"/>
      <c r="FX19" s="154"/>
      <c r="FY19" s="154"/>
      <c r="FZ19" s="154"/>
      <c r="GA19" s="154"/>
      <c r="GB19" s="154"/>
      <c r="GC19" s="154"/>
      <c r="GD19" s="154"/>
      <c r="GE19" s="154"/>
      <c r="GF19" s="154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54"/>
      <c r="HA19" s="154"/>
      <c r="HB19" s="154"/>
      <c r="HC19" s="154"/>
      <c r="HD19" s="154"/>
      <c r="HE19" s="154"/>
      <c r="HF19" s="154"/>
      <c r="HG19" s="154"/>
      <c r="HH19" s="154"/>
      <c r="HI19" s="154"/>
      <c r="HJ19" s="154"/>
      <c r="HK19" s="154"/>
      <c r="HL19" s="154"/>
      <c r="HM19" s="154"/>
      <c r="HN19" s="154"/>
      <c r="HO19" s="154"/>
      <c r="HP19" s="154"/>
      <c r="HQ19" s="154"/>
      <c r="HR19" s="154"/>
      <c r="HS19" s="154"/>
      <c r="HT19" s="154"/>
      <c r="HU19" s="154"/>
      <c r="HV19" s="154"/>
      <c r="HW19" s="154"/>
      <c r="HX19" s="154"/>
      <c r="HY19" s="154"/>
      <c r="HZ19" s="154"/>
      <c r="IA19" s="154"/>
      <c r="IB19" s="154"/>
      <c r="IC19" s="154"/>
      <c r="ID19" s="154"/>
      <c r="IE19" s="154"/>
      <c r="IF19" s="154"/>
      <c r="IG19" s="154"/>
      <c r="IH19" s="154"/>
      <c r="II19" s="154"/>
      <c r="IJ19" s="154"/>
      <c r="IK19" s="154"/>
      <c r="IL19" s="154"/>
      <c r="IM19" s="154"/>
      <c r="IN19" s="154"/>
      <c r="IO19" s="154"/>
      <c r="IP19" s="154"/>
      <c r="IQ19" s="154"/>
      <c r="IR19" s="154"/>
      <c r="IS19" s="154"/>
      <c r="IT19" s="154"/>
      <c r="IU19" s="154"/>
      <c r="IV19" s="154"/>
      <c r="IW19" s="154"/>
      <c r="IX19" s="154"/>
      <c r="IY19" s="154"/>
      <c r="IZ19" s="154"/>
      <c r="JA19" s="154"/>
      <c r="JB19" s="154"/>
      <c r="JC19" s="154"/>
      <c r="JD19" s="154"/>
      <c r="JE19" s="154"/>
      <c r="JF19" s="154"/>
      <c r="JG19" s="154"/>
      <c r="JH19" s="154"/>
      <c r="JI19" s="154"/>
      <c r="JJ19" s="154"/>
      <c r="JK19" s="154"/>
      <c r="JL19" s="154"/>
      <c r="JM19" s="154"/>
      <c r="JN19" s="154"/>
      <c r="JO19" s="154"/>
      <c r="JP19" s="154"/>
      <c r="JQ19" s="154"/>
      <c r="JR19" s="154"/>
      <c r="JS19" s="154"/>
      <c r="JT19" s="154"/>
      <c r="JU19" s="154"/>
      <c r="JV19" s="154"/>
      <c r="JW19" s="154"/>
      <c r="JX19" s="154"/>
      <c r="JY19" s="154"/>
      <c r="JZ19" s="154"/>
      <c r="KA19" s="154"/>
      <c r="KB19" s="154"/>
      <c r="KC19" s="154"/>
      <c r="KD19" s="154"/>
      <c r="KE19" s="154"/>
      <c r="KF19" s="154"/>
      <c r="KG19" s="154"/>
      <c r="KH19" s="154"/>
      <c r="KI19" s="154"/>
      <c r="KJ19" s="154"/>
      <c r="KK19" s="154"/>
      <c r="KL19" s="154"/>
      <c r="KM19" s="154"/>
      <c r="KN19" s="154"/>
      <c r="KO19" s="154"/>
      <c r="KP19" s="154"/>
      <c r="KQ19" s="154"/>
    </row>
    <row r="20" spans="1:303" x14ac:dyDescent="0.35">
      <c r="A20" s="67"/>
      <c r="B20" s="157"/>
      <c r="C20"/>
      <c r="D20" s="154"/>
      <c r="E20" s="154"/>
      <c r="F20" s="154"/>
      <c r="G20" s="154"/>
      <c r="H20" s="154"/>
      <c r="I20" s="154"/>
      <c r="J20" s="154"/>
      <c r="K20" s="154"/>
      <c r="L20" s="155"/>
      <c r="M20" s="155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54"/>
      <c r="EC20" s="154"/>
      <c r="ED20" s="154"/>
      <c r="EE20" s="154"/>
      <c r="EF20" s="154"/>
      <c r="EG20" s="154"/>
      <c r="EH20" s="154"/>
      <c r="EI20" s="154"/>
      <c r="EJ20" s="154"/>
      <c r="EK20" s="154"/>
      <c r="EL20" s="154"/>
      <c r="EM20" s="154"/>
      <c r="EN20" s="154"/>
      <c r="EO20" s="154"/>
      <c r="EP20" s="154"/>
      <c r="EQ20" s="154"/>
      <c r="ER20" s="154"/>
      <c r="ES20" s="154"/>
      <c r="ET20" s="154"/>
      <c r="EU20" s="154"/>
      <c r="EV20" s="154"/>
      <c r="EW20" s="154"/>
      <c r="EX20" s="154"/>
      <c r="EY20" s="154"/>
      <c r="EZ20" s="154"/>
      <c r="FA20" s="154"/>
      <c r="FB20" s="154"/>
      <c r="FC20" s="154"/>
      <c r="FD20" s="154"/>
      <c r="FE20" s="154"/>
      <c r="FF20" s="154"/>
      <c r="FG20" s="154"/>
      <c r="FH20" s="154"/>
      <c r="FI20" s="154"/>
      <c r="FJ20" s="154"/>
      <c r="FK20" s="154"/>
      <c r="FL20" s="154"/>
      <c r="FM20" s="154"/>
      <c r="FN20" s="154"/>
      <c r="FO20" s="154"/>
      <c r="FP20" s="154"/>
      <c r="FQ20" s="154"/>
      <c r="FR20" s="154"/>
      <c r="FS20" s="154"/>
      <c r="FT20" s="154"/>
      <c r="FU20" s="154"/>
      <c r="FV20" s="154"/>
      <c r="FW20" s="154"/>
      <c r="FX20" s="154"/>
      <c r="FY20" s="154"/>
      <c r="FZ20" s="154"/>
      <c r="GA20" s="154"/>
      <c r="GB20" s="154"/>
      <c r="GC20" s="154"/>
      <c r="GD20" s="154"/>
      <c r="GE20" s="154"/>
      <c r="GF20" s="154"/>
      <c r="GG20" s="154"/>
      <c r="GH20" s="154"/>
      <c r="GI20" s="154"/>
      <c r="GJ20" s="154"/>
      <c r="GK20" s="154"/>
      <c r="GL20" s="154"/>
      <c r="GM20" s="154"/>
      <c r="GN20" s="154"/>
      <c r="GO20" s="154"/>
      <c r="GP20" s="154"/>
      <c r="GQ20" s="154"/>
      <c r="GR20" s="154"/>
      <c r="GS20" s="154"/>
      <c r="GT20" s="154"/>
      <c r="GU20" s="154"/>
      <c r="GV20" s="154"/>
      <c r="GW20" s="154"/>
      <c r="GX20" s="154"/>
      <c r="GY20" s="154"/>
      <c r="GZ20" s="154"/>
      <c r="HA20" s="154"/>
      <c r="HB20" s="154"/>
      <c r="HC20" s="154"/>
      <c r="HD20" s="154"/>
      <c r="HE20" s="154"/>
      <c r="HF20" s="154"/>
      <c r="HG20" s="154"/>
      <c r="HH20" s="154"/>
      <c r="HI20" s="154"/>
      <c r="HJ20" s="154"/>
      <c r="HK20" s="154"/>
      <c r="HL20" s="154"/>
      <c r="HM20" s="154"/>
      <c r="HN20" s="154"/>
      <c r="HO20" s="154"/>
      <c r="HP20" s="154"/>
      <c r="HQ20" s="154"/>
      <c r="HR20" s="154"/>
      <c r="HS20" s="154"/>
      <c r="HT20" s="154"/>
      <c r="HU20" s="154"/>
      <c r="HV20" s="154"/>
      <c r="HW20" s="154"/>
      <c r="HX20" s="154"/>
      <c r="HY20" s="154"/>
      <c r="HZ20" s="154"/>
      <c r="IA20" s="154"/>
      <c r="IB20" s="154"/>
      <c r="IC20" s="154"/>
      <c r="ID20" s="154"/>
      <c r="IE20" s="154"/>
      <c r="IF20" s="154"/>
      <c r="IG20" s="154"/>
      <c r="IH20" s="154"/>
      <c r="II20" s="154"/>
      <c r="IJ20" s="154"/>
      <c r="IK20" s="154"/>
      <c r="IL20" s="154"/>
      <c r="IM20" s="154"/>
      <c r="IN20" s="154"/>
      <c r="IO20" s="154"/>
      <c r="IP20" s="154"/>
      <c r="IQ20" s="154"/>
      <c r="IR20" s="154"/>
      <c r="IS20" s="154"/>
      <c r="IT20" s="154"/>
      <c r="IU20" s="154"/>
      <c r="IV20" s="154"/>
      <c r="IW20" s="154"/>
      <c r="IX20" s="154"/>
      <c r="IY20" s="154"/>
      <c r="IZ20" s="154"/>
      <c r="JA20" s="154"/>
      <c r="JB20" s="154"/>
      <c r="JC20" s="154"/>
      <c r="JD20" s="154"/>
      <c r="JE20" s="154"/>
      <c r="JF20" s="154"/>
      <c r="JG20" s="154"/>
      <c r="JH20" s="154"/>
      <c r="JI20" s="154"/>
      <c r="JJ20" s="154"/>
      <c r="JK20" s="154"/>
      <c r="JL20" s="154"/>
      <c r="JM20" s="154"/>
      <c r="JN20" s="154"/>
      <c r="JO20" s="154"/>
      <c r="JP20" s="154"/>
      <c r="JQ20" s="154"/>
      <c r="JR20" s="154"/>
      <c r="JS20" s="154"/>
      <c r="JT20" s="154"/>
      <c r="JU20" s="154"/>
      <c r="JV20" s="154"/>
      <c r="JW20" s="154"/>
      <c r="JX20" s="154"/>
      <c r="JY20" s="154"/>
      <c r="JZ20" s="154"/>
      <c r="KA20" s="154"/>
      <c r="KB20" s="154"/>
      <c r="KC20" s="154"/>
      <c r="KD20" s="154"/>
      <c r="KE20" s="154"/>
      <c r="KF20" s="154"/>
      <c r="KG20" s="154"/>
      <c r="KH20" s="154"/>
      <c r="KI20" s="154"/>
      <c r="KJ20" s="154"/>
      <c r="KK20" s="154"/>
      <c r="KL20" s="154"/>
      <c r="KM20" s="154"/>
      <c r="KN20" s="154"/>
      <c r="KO20" s="154"/>
      <c r="KP20" s="154"/>
      <c r="KQ20" s="154"/>
    </row>
    <row r="21" spans="1:303" customFormat="1" x14ac:dyDescent="0.35">
      <c r="D21" s="166"/>
      <c r="F21" s="167"/>
      <c r="G21" s="165"/>
      <c r="H21" s="165"/>
    </row>
    <row r="22" spans="1:303" customFormat="1" x14ac:dyDescent="0.35"/>
    <row r="23" spans="1:303" customFormat="1" x14ac:dyDescent="0.35"/>
    <row r="24" spans="1:303" ht="15" thickBot="1" x14ac:dyDescent="0.4">
      <c r="A24" s="159"/>
      <c r="B24" s="160"/>
      <c r="C24" s="161"/>
      <c r="D24" s="162"/>
      <c r="E24" s="163"/>
      <c r="F24" s="162"/>
      <c r="G24" s="163"/>
      <c r="H24" s="164"/>
      <c r="I24" s="164"/>
      <c r="J24" s="164"/>
      <c r="K24" s="164"/>
      <c r="L24" s="164"/>
      <c r="M24" s="164"/>
      <c r="N24" s="164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43"/>
      <c r="AH24" s="42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43"/>
      <c r="BI24" s="42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43"/>
      <c r="CJ24" s="42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43"/>
      <c r="DK24" s="42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43"/>
      <c r="EL24" s="42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43"/>
      <c r="FM24" s="42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43"/>
      <c r="GN24" s="42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43"/>
      <c r="HO24" s="42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43"/>
      <c r="IP24" s="42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43"/>
      <c r="JQ24" s="42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43"/>
    </row>
    <row r="25" spans="1:303" x14ac:dyDescent="0.35">
      <c r="A25" s="61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I25" s="36"/>
      <c r="DC25" s="36"/>
      <c r="DD25" s="36"/>
      <c r="DE25" s="36"/>
      <c r="DF25" s="36"/>
      <c r="DG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FE25" s="36"/>
      <c r="FF25" s="36"/>
      <c r="FG25" s="36"/>
      <c r="FH25" s="36"/>
      <c r="FI25" s="36"/>
      <c r="FL25" s="36"/>
      <c r="GL25" s="36"/>
      <c r="HM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X25" s="14">
        <v>4</v>
      </c>
    </row>
    <row r="26" spans="1:303" x14ac:dyDescent="0.35"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I26" s="36"/>
      <c r="DC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FE26" s="36"/>
      <c r="FL26" s="36"/>
      <c r="GL26" s="36"/>
      <c r="HM26" s="36"/>
      <c r="HV26" s="36"/>
      <c r="HW26" s="36"/>
      <c r="HX26" s="36"/>
      <c r="HY26" s="36"/>
      <c r="HZ26" s="36"/>
      <c r="IA26" s="36"/>
      <c r="IB26" s="36"/>
      <c r="IC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</row>
    <row r="27" spans="1:303" x14ac:dyDescent="0.35"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DC27" s="36"/>
      <c r="DD27" s="36"/>
      <c r="DE27" s="36"/>
      <c r="DF27" s="36"/>
      <c r="DG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FE27" s="36"/>
      <c r="FF27" s="36"/>
      <c r="FG27" s="36"/>
      <c r="FH27" s="36"/>
      <c r="FI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GL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HM27" s="36"/>
      <c r="HO27" s="36"/>
      <c r="HP27" s="36"/>
      <c r="HQ27" s="36"/>
      <c r="HR27" s="36"/>
      <c r="HS27" s="36"/>
      <c r="HT27" s="36"/>
      <c r="HU27" s="36"/>
      <c r="ID27" s="36"/>
      <c r="IE27" s="36"/>
      <c r="IF27" s="36"/>
      <c r="IG27" s="36"/>
      <c r="IH27" s="36"/>
      <c r="IW27" s="36"/>
      <c r="IX27" s="36"/>
      <c r="IY27" s="36"/>
      <c r="IZ27" s="36"/>
      <c r="JA27" s="36"/>
      <c r="JB27" s="36"/>
      <c r="JC27" s="36"/>
      <c r="JD27" s="36"/>
    </row>
    <row r="28" spans="1:303" x14ac:dyDescent="0.35"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</row>
    <row r="29" spans="1:303" ht="15" thickBot="1" x14ac:dyDescent="0.4">
      <c r="D29" s="54" t="s">
        <v>105</v>
      </c>
      <c r="O29" s="54" t="s">
        <v>106</v>
      </c>
      <c r="Z29" s="54" t="s">
        <v>107</v>
      </c>
      <c r="BD29" s="54" t="s">
        <v>174</v>
      </c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HO29" s="36"/>
    </row>
    <row r="30" spans="1:303" ht="15" thickBot="1" x14ac:dyDescent="0.4">
      <c r="D30" s="69" t="s">
        <v>0</v>
      </c>
      <c r="E30" s="50" t="s">
        <v>101</v>
      </c>
      <c r="F30" s="51" t="s">
        <v>102</v>
      </c>
      <c r="G30" s="52" t="s">
        <v>103</v>
      </c>
      <c r="H30" s="50" t="s">
        <v>101</v>
      </c>
      <c r="I30" s="51" t="s">
        <v>102</v>
      </c>
      <c r="J30" s="52" t="s">
        <v>103</v>
      </c>
      <c r="K30" s="50" t="s">
        <v>101</v>
      </c>
      <c r="L30" s="51" t="s">
        <v>102</v>
      </c>
      <c r="M30" s="52" t="s">
        <v>103</v>
      </c>
      <c r="O30" s="53" t="s">
        <v>0</v>
      </c>
      <c r="P30" s="50" t="s">
        <v>104</v>
      </c>
      <c r="Q30" s="52" t="s">
        <v>101</v>
      </c>
      <c r="R30" s="50" t="s">
        <v>104</v>
      </c>
      <c r="S30" s="52" t="s">
        <v>101</v>
      </c>
      <c r="T30" s="50" t="s">
        <v>104</v>
      </c>
      <c r="U30" s="52" t="s">
        <v>101</v>
      </c>
      <c r="V30" s="50" t="s">
        <v>104</v>
      </c>
      <c r="W30" s="52" t="s">
        <v>101</v>
      </c>
      <c r="X30" s="36"/>
      <c r="Z30" s="15" t="s">
        <v>0</v>
      </c>
      <c r="AA30" s="50" t="s">
        <v>101</v>
      </c>
      <c r="AB30" s="51" t="s">
        <v>104</v>
      </c>
      <c r="AC30" s="51" t="s">
        <v>119</v>
      </c>
      <c r="AD30" s="51" t="s">
        <v>118</v>
      </c>
      <c r="AE30" s="51" t="s">
        <v>116</v>
      </c>
      <c r="AF30" s="51" t="s">
        <v>117</v>
      </c>
      <c r="AG30" s="52" t="s">
        <v>113</v>
      </c>
      <c r="AH30" s="50" t="s">
        <v>101</v>
      </c>
      <c r="AI30" s="51" t="s">
        <v>104</v>
      </c>
      <c r="AJ30" s="51" t="s">
        <v>119</v>
      </c>
      <c r="AK30" s="51" t="s">
        <v>118</v>
      </c>
      <c r="AL30" s="51" t="s">
        <v>116</v>
      </c>
      <c r="AM30" s="51" t="s">
        <v>117</v>
      </c>
      <c r="AN30" s="52" t="s">
        <v>113</v>
      </c>
      <c r="AO30" s="50" t="s">
        <v>101</v>
      </c>
      <c r="AP30" s="51" t="s">
        <v>104</v>
      </c>
      <c r="AQ30" s="51" t="s">
        <v>119</v>
      </c>
      <c r="AR30" s="51" t="s">
        <v>118</v>
      </c>
      <c r="AS30" s="51" t="s">
        <v>116</v>
      </c>
      <c r="AT30" s="51" t="s">
        <v>117</v>
      </c>
      <c r="AU30" s="52" t="s">
        <v>113</v>
      </c>
      <c r="AV30" s="50" t="s">
        <v>101</v>
      </c>
      <c r="AW30" s="51" t="s">
        <v>104</v>
      </c>
      <c r="AX30" s="51" t="s">
        <v>119</v>
      </c>
      <c r="AY30" s="51" t="s">
        <v>118</v>
      </c>
      <c r="AZ30" s="51" t="s">
        <v>116</v>
      </c>
      <c r="BA30" s="51" t="s">
        <v>117</v>
      </c>
      <c r="BB30" s="52" t="s">
        <v>113</v>
      </c>
      <c r="BD30" s="69" t="s">
        <v>0</v>
      </c>
      <c r="BE30" s="50" t="s">
        <v>175</v>
      </c>
      <c r="DN30" s="36"/>
      <c r="DO30" s="36"/>
      <c r="DP30" s="36"/>
      <c r="DQ30" s="36"/>
      <c r="DR30" s="36"/>
      <c r="DS30" s="36"/>
      <c r="DT30" s="36"/>
      <c r="DU30" s="36"/>
      <c r="DV30" s="36"/>
      <c r="HO30" s="36"/>
    </row>
    <row r="31" spans="1:303" x14ac:dyDescent="0.35">
      <c r="D31" s="2" t="str">
        <f>Neu!$B4</f>
        <v>B63ls</v>
      </c>
      <c r="E31" s="19"/>
      <c r="F31" s="62"/>
      <c r="G31" s="62"/>
      <c r="H31" s="41"/>
      <c r="I31" s="62"/>
      <c r="J31" s="18"/>
      <c r="K31" s="41"/>
      <c r="L31" s="62"/>
      <c r="M31" s="18"/>
      <c r="O31" s="2" t="str">
        <f>Neu!$B4</f>
        <v>B63ls</v>
      </c>
      <c r="P31" s="19"/>
      <c r="Q31" s="19"/>
      <c r="R31" s="41"/>
      <c r="S31" s="41"/>
      <c r="T31" s="41"/>
      <c r="U31" s="18"/>
      <c r="V31" s="41"/>
      <c r="W31" s="18"/>
      <c r="Z31" s="2" t="str">
        <f>Neu!$B4</f>
        <v>B63ls</v>
      </c>
      <c r="AA31" s="19"/>
      <c r="AB31" s="19"/>
      <c r="AC31" s="62"/>
      <c r="AD31" s="32"/>
      <c r="AE31" s="62"/>
      <c r="AF31" s="62"/>
      <c r="AG31" s="18"/>
      <c r="AH31" s="41"/>
      <c r="AI31" s="41"/>
      <c r="AJ31" s="62"/>
      <c r="AK31" s="32"/>
      <c r="AL31" s="62"/>
      <c r="AM31" s="62"/>
      <c r="AN31" s="18"/>
      <c r="AO31" s="19"/>
      <c r="AP31" s="19"/>
      <c r="AQ31" s="62"/>
      <c r="AR31" s="32"/>
      <c r="AS31" s="62"/>
      <c r="AT31" s="62"/>
      <c r="AU31" s="18"/>
      <c r="AV31" s="19"/>
      <c r="AW31" s="41"/>
      <c r="AX31" s="62"/>
      <c r="AY31" s="32"/>
      <c r="AZ31" s="62"/>
      <c r="BA31" s="62"/>
      <c r="BB31" s="18"/>
      <c r="BD31" s="2" t="str">
        <f>Neu!$B4</f>
        <v>B63ls</v>
      </c>
      <c r="BE31" s="19">
        <v>-62</v>
      </c>
      <c r="DN31" s="36"/>
      <c r="DO31" s="36"/>
      <c r="DP31" s="36"/>
      <c r="DQ31" s="36"/>
      <c r="DR31" s="36"/>
      <c r="DS31" s="36"/>
      <c r="DT31" s="36"/>
      <c r="DU31" s="36"/>
      <c r="DV31" s="36"/>
      <c r="HO31" s="36"/>
    </row>
    <row r="32" spans="1:303" x14ac:dyDescent="0.35">
      <c r="D32" s="3" t="str">
        <f>Neu!$B5</f>
        <v>B63la</v>
      </c>
      <c r="E32" s="19" t="s">
        <v>89</v>
      </c>
      <c r="F32" s="62">
        <v>14</v>
      </c>
      <c r="G32" s="62">
        <v>0.4</v>
      </c>
      <c r="H32" s="41"/>
      <c r="I32" s="62"/>
      <c r="J32" s="18"/>
      <c r="K32" s="41"/>
      <c r="L32" s="62"/>
      <c r="M32" s="18"/>
      <c r="O32" s="3" t="str">
        <f>Neu!$B5</f>
        <v>B63la</v>
      </c>
      <c r="P32" s="41" t="s">
        <v>89</v>
      </c>
      <c r="Q32" s="18" t="s">
        <v>89</v>
      </c>
      <c r="R32" s="41"/>
      <c r="S32" s="41"/>
      <c r="T32" s="41"/>
      <c r="U32" s="18"/>
      <c r="V32" s="41"/>
      <c r="W32" s="18"/>
      <c r="Z32" s="3" t="str">
        <f>Neu!$B5</f>
        <v>B63la</v>
      </c>
      <c r="AA32" s="41"/>
      <c r="AB32" s="41"/>
      <c r="AC32" s="62"/>
      <c r="AD32" s="32"/>
      <c r="AE32" s="62"/>
      <c r="AF32" s="62"/>
      <c r="AG32" s="18"/>
      <c r="AH32" s="41"/>
      <c r="AI32" s="41"/>
      <c r="AJ32" s="62"/>
      <c r="AK32" s="32"/>
      <c r="AL32" s="62"/>
      <c r="AM32" s="62"/>
      <c r="AN32" s="18"/>
      <c r="AO32" s="19"/>
      <c r="AP32" s="19"/>
      <c r="AQ32" s="62"/>
      <c r="AR32" s="32"/>
      <c r="AS32" s="62"/>
      <c r="AT32" s="62"/>
      <c r="AU32" s="18"/>
      <c r="AV32" s="19"/>
      <c r="AW32" s="41"/>
      <c r="AX32" s="62"/>
      <c r="AY32" s="32"/>
      <c r="AZ32" s="62"/>
      <c r="BA32" s="62"/>
      <c r="BB32" s="18"/>
      <c r="BD32" s="3" t="str">
        <f>Neu!$B5</f>
        <v>B63la</v>
      </c>
      <c r="BE32" s="19">
        <v>-62</v>
      </c>
      <c r="DN32" s="36"/>
      <c r="DO32" s="36"/>
      <c r="DP32" s="36"/>
      <c r="DQ32" s="36"/>
      <c r="DR32" s="36"/>
      <c r="DS32" s="36"/>
      <c r="DT32" s="36"/>
      <c r="DU32" s="36"/>
      <c r="DV32" s="36"/>
    </row>
    <row r="33" spans="4:126" x14ac:dyDescent="0.35">
      <c r="D33" s="3" t="str">
        <f>Neu!$B6</f>
        <v>B31rs</v>
      </c>
      <c r="E33" s="19"/>
      <c r="F33" s="62"/>
      <c r="G33" s="62"/>
      <c r="H33" s="41"/>
      <c r="I33" s="62"/>
      <c r="J33" s="18"/>
      <c r="K33" s="41"/>
      <c r="L33" s="62"/>
      <c r="M33" s="18"/>
      <c r="O33" s="3" t="str">
        <f>Neu!$B6</f>
        <v>B31rs</v>
      </c>
      <c r="P33" s="41"/>
      <c r="Q33" s="18"/>
      <c r="R33" s="41"/>
      <c r="S33" s="41"/>
      <c r="T33" s="41"/>
      <c r="U33" s="18"/>
      <c r="V33" s="41"/>
      <c r="W33" s="18"/>
      <c r="Z33" s="3" t="str">
        <f>Neu!$B6</f>
        <v>B31rs</v>
      </c>
      <c r="AA33" s="41"/>
      <c r="AB33" s="41"/>
      <c r="AC33" s="62"/>
      <c r="AD33" s="32"/>
      <c r="AE33" s="62"/>
      <c r="AF33" s="62"/>
      <c r="AG33" s="18"/>
      <c r="AH33" s="41"/>
      <c r="AI33" s="41"/>
      <c r="AJ33" s="62"/>
      <c r="AK33" s="32"/>
      <c r="AL33" s="62"/>
      <c r="AM33" s="62"/>
      <c r="AN33" s="18"/>
      <c r="AO33" s="19"/>
      <c r="AP33" s="19"/>
      <c r="AQ33" s="62"/>
      <c r="AR33" s="32"/>
      <c r="AS33" s="62"/>
      <c r="AT33" s="62"/>
      <c r="AU33" s="18"/>
      <c r="AV33" s="19"/>
      <c r="AW33" s="41"/>
      <c r="AX33" s="62"/>
      <c r="AY33" s="32"/>
      <c r="AZ33" s="62"/>
      <c r="BA33" s="62"/>
      <c r="BB33" s="18"/>
      <c r="BD33" s="3" t="str">
        <f>Neu!$B6</f>
        <v>B31rs</v>
      </c>
      <c r="BE33" s="19">
        <v>-62</v>
      </c>
      <c r="DN33" s="36"/>
      <c r="DO33" s="36"/>
      <c r="DP33" s="36"/>
      <c r="DQ33" s="36"/>
      <c r="DR33" s="36"/>
      <c r="DS33" s="36"/>
      <c r="DT33" s="36"/>
      <c r="DU33" s="36"/>
      <c r="DV33" s="36"/>
    </row>
    <row r="34" spans="4:126" x14ac:dyDescent="0.35">
      <c r="D34" s="3" t="str">
        <f>Neu!$B7</f>
        <v>B64ls</v>
      </c>
      <c r="E34" s="19"/>
      <c r="F34" s="62"/>
      <c r="G34" s="62"/>
      <c r="H34" s="41"/>
      <c r="I34" s="62"/>
      <c r="J34" s="18"/>
      <c r="K34" s="41"/>
      <c r="L34" s="62"/>
      <c r="M34" s="18"/>
      <c r="O34" s="3" t="str">
        <f>Neu!$B7</f>
        <v>B64ls</v>
      </c>
      <c r="P34" s="41"/>
      <c r="Q34" s="18"/>
      <c r="R34" s="41"/>
      <c r="S34" s="41"/>
      <c r="T34" s="41"/>
      <c r="U34" s="18"/>
      <c r="V34" s="41"/>
      <c r="W34" s="18"/>
      <c r="Z34" s="3" t="str">
        <f>Neu!$B7</f>
        <v>B64ls</v>
      </c>
      <c r="AA34" s="41"/>
      <c r="AB34" s="41"/>
      <c r="AC34" s="62"/>
      <c r="AD34" s="32"/>
      <c r="AE34" s="62"/>
      <c r="AF34" s="62"/>
      <c r="AG34" s="18"/>
      <c r="AH34" s="41"/>
      <c r="AI34" s="41"/>
      <c r="AJ34" s="62"/>
      <c r="AK34" s="32"/>
      <c r="AL34" s="62"/>
      <c r="AM34" s="62"/>
      <c r="AN34" s="18"/>
      <c r="AO34" s="19"/>
      <c r="AP34" s="19"/>
      <c r="AQ34" s="62"/>
      <c r="AR34" s="32"/>
      <c r="AS34" s="62"/>
      <c r="AT34" s="62"/>
      <c r="AU34" s="18"/>
      <c r="AV34" s="19"/>
      <c r="AW34" s="41"/>
      <c r="AX34" s="62"/>
      <c r="AY34" s="32"/>
      <c r="AZ34" s="62"/>
      <c r="BA34" s="62"/>
      <c r="BB34" s="18"/>
      <c r="BD34" s="3" t="str">
        <f>Neu!$B7</f>
        <v>B64ls</v>
      </c>
      <c r="BE34" s="19">
        <v>-62</v>
      </c>
    </row>
    <row r="35" spans="4:126" x14ac:dyDescent="0.35">
      <c r="D35" s="3" t="str">
        <f>Neu!$B8</f>
        <v>B64la</v>
      </c>
      <c r="E35" s="19"/>
      <c r="F35" s="62"/>
      <c r="G35" s="62"/>
      <c r="H35" s="41"/>
      <c r="I35" s="62"/>
      <c r="J35" s="18"/>
      <c r="K35" s="41"/>
      <c r="L35" s="62"/>
      <c r="M35" s="18"/>
      <c r="O35" s="3" t="str">
        <f>Neu!$B8</f>
        <v>B64la</v>
      </c>
      <c r="P35" s="41"/>
      <c r="Q35" s="18"/>
      <c r="R35" s="41"/>
      <c r="S35" s="41"/>
      <c r="T35" s="41"/>
      <c r="U35" s="18"/>
      <c r="V35" s="41"/>
      <c r="W35" s="18"/>
      <c r="Z35" s="3" t="str">
        <f>Neu!$B8</f>
        <v>B64la</v>
      </c>
      <c r="AA35" s="41"/>
      <c r="AB35" s="41"/>
      <c r="AC35" s="62"/>
      <c r="AD35" s="32"/>
      <c r="AE35" s="62"/>
      <c r="AF35" s="62"/>
      <c r="AG35" s="18"/>
      <c r="AH35" s="41"/>
      <c r="AI35" s="41"/>
      <c r="AJ35" s="62"/>
      <c r="AK35" s="32"/>
      <c r="AL35" s="62"/>
      <c r="AM35" s="62"/>
      <c r="AN35" s="18"/>
      <c r="AO35" s="19"/>
      <c r="AP35" s="19"/>
      <c r="AQ35" s="62"/>
      <c r="AR35" s="32"/>
      <c r="AS35" s="62"/>
      <c r="AT35" s="62"/>
      <c r="AU35" s="18"/>
      <c r="AV35" s="19"/>
      <c r="AW35" s="41"/>
      <c r="AX35" s="62"/>
      <c r="AY35" s="32"/>
      <c r="AZ35" s="62"/>
      <c r="BA35" s="62"/>
      <c r="BB35" s="18"/>
      <c r="BD35" s="3" t="str">
        <f>Neu!$B8</f>
        <v>B64la</v>
      </c>
      <c r="BE35" s="19">
        <v>-62</v>
      </c>
    </row>
    <row r="36" spans="4:126" x14ac:dyDescent="0.35">
      <c r="D36" s="3" t="str">
        <f>Neu!$B9</f>
        <v>B63rs</v>
      </c>
      <c r="E36" s="19"/>
      <c r="F36" s="62"/>
      <c r="G36" s="62"/>
      <c r="H36" s="41"/>
      <c r="I36" s="62"/>
      <c r="J36" s="18"/>
      <c r="K36" s="41"/>
      <c r="L36" s="62"/>
      <c r="M36" s="18"/>
      <c r="O36" s="3" t="str">
        <f>Neu!$B9</f>
        <v>B63rs</v>
      </c>
      <c r="P36" s="41"/>
      <c r="Q36" s="18"/>
      <c r="R36" s="41"/>
      <c r="S36" s="41"/>
      <c r="T36" s="41"/>
      <c r="U36" s="18"/>
      <c r="V36" s="41"/>
      <c r="W36" s="18"/>
      <c r="Z36" s="3" t="str">
        <f>Neu!$B9</f>
        <v>B63rs</v>
      </c>
      <c r="AA36" s="41"/>
      <c r="AB36" s="41"/>
      <c r="AC36" s="62"/>
      <c r="AD36" s="32"/>
      <c r="AE36" s="62"/>
      <c r="AF36" s="62"/>
      <c r="AG36" s="18"/>
      <c r="AH36" s="41"/>
      <c r="AI36" s="41"/>
      <c r="AJ36" s="62"/>
      <c r="AK36" s="32"/>
      <c r="AL36" s="62"/>
      <c r="AM36" s="62"/>
      <c r="AN36" s="18"/>
      <c r="AO36" s="19"/>
      <c r="AP36" s="19"/>
      <c r="AQ36" s="62"/>
      <c r="AR36" s="32"/>
      <c r="AS36" s="62"/>
      <c r="AT36" s="62"/>
      <c r="AU36" s="18"/>
      <c r="AV36" s="19"/>
      <c r="AW36" s="41"/>
      <c r="AX36" s="62"/>
      <c r="AY36" s="32"/>
      <c r="AZ36" s="62"/>
      <c r="BA36" s="62"/>
      <c r="BB36" s="18"/>
      <c r="BD36" s="3" t="str">
        <f>Neu!$B9</f>
        <v>B63rs</v>
      </c>
      <c r="BE36" s="19">
        <v>-62</v>
      </c>
    </row>
    <row r="37" spans="4:126" x14ac:dyDescent="0.35">
      <c r="D37" s="3" t="str">
        <f>Neu!$B10</f>
        <v>B63ra</v>
      </c>
      <c r="E37" s="19"/>
      <c r="F37" s="62"/>
      <c r="G37" s="62"/>
      <c r="H37" s="41"/>
      <c r="I37" s="62"/>
      <c r="J37" s="18"/>
      <c r="K37" s="41"/>
      <c r="L37" s="62"/>
      <c r="M37" s="18"/>
      <c r="O37" s="3" t="str">
        <f>Neu!$B10</f>
        <v>B63ra</v>
      </c>
      <c r="P37" s="41"/>
      <c r="Q37" s="18"/>
      <c r="R37" s="41"/>
      <c r="S37" s="41"/>
      <c r="T37" s="41"/>
      <c r="U37" s="18"/>
      <c r="V37" s="41"/>
      <c r="W37" s="18"/>
      <c r="Z37" s="3" t="str">
        <f>Neu!$B10</f>
        <v>B63ra</v>
      </c>
      <c r="AA37" s="41"/>
      <c r="AB37" s="41"/>
      <c r="AC37" s="62"/>
      <c r="AD37" s="32"/>
      <c r="AE37" s="62"/>
      <c r="AF37" s="62"/>
      <c r="AG37" s="18"/>
      <c r="AH37" s="41"/>
      <c r="AI37" s="41"/>
      <c r="AJ37" s="62"/>
      <c r="AK37" s="32"/>
      <c r="AL37" s="62"/>
      <c r="AM37" s="62"/>
      <c r="AN37" s="18"/>
      <c r="AO37" s="19"/>
      <c r="AP37" s="19"/>
      <c r="AQ37" s="62"/>
      <c r="AR37" s="32"/>
      <c r="AS37" s="62"/>
      <c r="AT37" s="62"/>
      <c r="AU37" s="18"/>
      <c r="AV37" s="19"/>
      <c r="AW37" s="41"/>
      <c r="AX37" s="62"/>
      <c r="AY37" s="32"/>
      <c r="AZ37" s="62"/>
      <c r="BA37" s="62"/>
      <c r="BB37" s="18"/>
      <c r="BD37" s="3" t="str">
        <f>Neu!$B10</f>
        <v>B63ra</v>
      </c>
      <c r="BE37" s="19">
        <v>-62</v>
      </c>
    </row>
    <row r="38" spans="4:126" x14ac:dyDescent="0.35">
      <c r="D38" s="3" t="str">
        <f>Neu!$B11</f>
        <v>B31ls</v>
      </c>
      <c r="E38" s="19"/>
      <c r="F38" s="62"/>
      <c r="G38" s="62"/>
      <c r="H38" s="41"/>
      <c r="I38" s="62"/>
      <c r="J38" s="18"/>
      <c r="K38" s="41"/>
      <c r="L38" s="62"/>
      <c r="M38" s="18"/>
      <c r="O38" s="3" t="str">
        <f>Neu!$B11</f>
        <v>B31ls</v>
      </c>
      <c r="P38" s="41"/>
      <c r="Q38" s="18"/>
      <c r="R38" s="41"/>
      <c r="S38" s="41"/>
      <c r="T38" s="41"/>
      <c r="U38" s="18"/>
      <c r="V38" s="41"/>
      <c r="W38" s="18"/>
      <c r="Z38" s="3" t="str">
        <f>Neu!$B11</f>
        <v>B31ls</v>
      </c>
      <c r="AA38" s="41"/>
      <c r="AB38" s="41"/>
      <c r="AC38" s="62"/>
      <c r="AD38" s="32"/>
      <c r="AE38" s="62"/>
      <c r="AF38" s="62"/>
      <c r="AG38" s="18"/>
      <c r="AH38" s="41"/>
      <c r="AI38" s="41"/>
      <c r="AJ38" s="62"/>
      <c r="AK38" s="32"/>
      <c r="AL38" s="62"/>
      <c r="AM38" s="62"/>
      <c r="AN38" s="18"/>
      <c r="AO38" s="19"/>
      <c r="AP38" s="19"/>
      <c r="AQ38" s="62"/>
      <c r="AR38" s="32"/>
      <c r="AS38" s="62"/>
      <c r="AT38" s="62"/>
      <c r="AU38" s="18"/>
      <c r="AV38" s="19"/>
      <c r="AW38" s="41"/>
      <c r="AX38" s="62"/>
      <c r="AY38" s="32"/>
      <c r="AZ38" s="62"/>
      <c r="BA38" s="62"/>
      <c r="BB38" s="18"/>
      <c r="BD38" s="3" t="str">
        <f>Neu!$B11</f>
        <v>B31ls</v>
      </c>
      <c r="BE38" s="19">
        <v>-62</v>
      </c>
    </row>
    <row r="39" spans="4:126" x14ac:dyDescent="0.35">
      <c r="D39" s="3" t="str">
        <f>Neu!$B12</f>
        <v>B64rs</v>
      </c>
      <c r="E39" s="19"/>
      <c r="F39" s="62"/>
      <c r="G39" s="62"/>
      <c r="H39" s="41"/>
      <c r="I39" s="62"/>
      <c r="J39" s="18"/>
      <c r="K39" s="41"/>
      <c r="L39" s="62"/>
      <c r="M39" s="18"/>
      <c r="O39" s="3" t="str">
        <f>Neu!$B12</f>
        <v>B64rs</v>
      </c>
      <c r="P39" s="41"/>
      <c r="Q39" s="18"/>
      <c r="R39" s="41"/>
      <c r="S39" s="41"/>
      <c r="T39" s="41"/>
      <c r="U39" s="18"/>
      <c r="V39" s="41"/>
      <c r="W39" s="18"/>
      <c r="Z39" s="3" t="str">
        <f>Neu!$B12</f>
        <v>B64rs</v>
      </c>
      <c r="AA39" s="41"/>
      <c r="AB39" s="41"/>
      <c r="AC39" s="62"/>
      <c r="AD39" s="32"/>
      <c r="AE39" s="62"/>
      <c r="AF39" s="62"/>
      <c r="AG39" s="18"/>
      <c r="AH39" s="41"/>
      <c r="AI39" s="41"/>
      <c r="AJ39" s="62"/>
      <c r="AK39" s="32"/>
      <c r="AL39" s="62"/>
      <c r="AM39" s="62"/>
      <c r="AN39" s="18"/>
      <c r="AO39" s="19"/>
      <c r="AP39" s="19"/>
      <c r="AQ39" s="62"/>
      <c r="AR39" s="32"/>
      <c r="AS39" s="62"/>
      <c r="AT39" s="62"/>
      <c r="AU39" s="18"/>
      <c r="AV39" s="19"/>
      <c r="AW39" s="41"/>
      <c r="AX39" s="62"/>
      <c r="AY39" s="32"/>
      <c r="AZ39" s="62"/>
      <c r="BA39" s="62"/>
      <c r="BB39" s="18"/>
      <c r="BD39" s="3" t="str">
        <f>Neu!$B12</f>
        <v>B64rs</v>
      </c>
      <c r="BE39" s="19">
        <v>-62</v>
      </c>
    </row>
    <row r="40" spans="4:126" x14ac:dyDescent="0.35">
      <c r="D40" s="3" t="str">
        <f>Neu!$B13</f>
        <v>B64ra</v>
      </c>
      <c r="E40" s="19"/>
      <c r="F40" s="62"/>
      <c r="G40" s="62"/>
      <c r="H40" s="41"/>
      <c r="I40" s="62"/>
      <c r="J40" s="18"/>
      <c r="K40" s="41"/>
      <c r="L40" s="62"/>
      <c r="M40" s="18"/>
      <c r="O40" s="3" t="str">
        <f>Neu!$B13</f>
        <v>B64ra</v>
      </c>
      <c r="P40" s="41"/>
      <c r="Q40" s="18"/>
      <c r="R40" s="41"/>
      <c r="S40" s="41"/>
      <c r="T40" s="41"/>
      <c r="U40" s="18"/>
      <c r="V40" s="41"/>
      <c r="W40" s="18"/>
      <c r="Z40" s="3" t="str">
        <f>Neu!$B13</f>
        <v>B64ra</v>
      </c>
      <c r="AA40" s="41"/>
      <c r="AB40" s="41"/>
      <c r="AC40" s="62"/>
      <c r="AD40" s="32"/>
      <c r="AE40" s="62"/>
      <c r="AF40" s="62"/>
      <c r="AG40" s="18"/>
      <c r="AH40" s="41"/>
      <c r="AI40" s="41"/>
      <c r="AJ40" s="62"/>
      <c r="AK40" s="32"/>
      <c r="AL40" s="62"/>
      <c r="AM40" s="62"/>
      <c r="AN40" s="18"/>
      <c r="AO40" s="19"/>
      <c r="AP40" s="19"/>
      <c r="AQ40" s="62"/>
      <c r="AR40" s="32"/>
      <c r="AS40" s="62"/>
      <c r="AT40" s="62"/>
      <c r="AU40" s="18"/>
      <c r="AV40" s="19"/>
      <c r="AW40" s="41"/>
      <c r="AX40" s="62"/>
      <c r="AY40" s="32"/>
      <c r="AZ40" s="62"/>
      <c r="BA40" s="62"/>
      <c r="BB40" s="18"/>
      <c r="BD40" s="3" t="str">
        <f>Neu!$B13</f>
        <v>B64ra</v>
      </c>
      <c r="BE40" s="19">
        <v>-62</v>
      </c>
    </row>
    <row r="41" spans="4:126" x14ac:dyDescent="0.35">
      <c r="D41" s="3">
        <f>Neu!$B14</f>
        <v>0</v>
      </c>
      <c r="E41" s="19"/>
      <c r="F41" s="62"/>
      <c r="G41" s="62"/>
      <c r="H41" s="41"/>
      <c r="I41" s="62"/>
      <c r="J41" s="18"/>
      <c r="K41" s="41"/>
      <c r="L41" s="62"/>
      <c r="M41" s="18"/>
      <c r="O41" s="3">
        <f>Neu!$B14</f>
        <v>0</v>
      </c>
      <c r="P41" s="41"/>
      <c r="Q41" s="18"/>
      <c r="R41" s="41"/>
      <c r="S41" s="41"/>
      <c r="T41" s="41"/>
      <c r="U41" s="18"/>
      <c r="V41" s="41"/>
      <c r="W41" s="18"/>
      <c r="Z41" s="3">
        <f>Neu!$B14</f>
        <v>0</v>
      </c>
      <c r="AA41" s="41"/>
      <c r="AB41" s="41"/>
      <c r="AC41" s="62"/>
      <c r="AD41" s="32"/>
      <c r="AE41" s="62"/>
      <c r="AF41" s="62"/>
      <c r="AG41" s="18"/>
      <c r="AH41" s="41"/>
      <c r="AI41" s="41"/>
      <c r="AJ41" s="62"/>
      <c r="AK41" s="32"/>
      <c r="AL41" s="62"/>
      <c r="AM41" s="62"/>
      <c r="AN41" s="18"/>
      <c r="AO41" s="19"/>
      <c r="AP41" s="19"/>
      <c r="AQ41" s="62"/>
      <c r="AR41" s="32"/>
      <c r="AS41" s="62"/>
      <c r="AT41" s="62"/>
      <c r="AU41" s="18"/>
      <c r="AV41" s="19"/>
      <c r="AW41" s="41"/>
      <c r="AX41" s="62"/>
      <c r="AY41" s="32"/>
      <c r="AZ41" s="62"/>
      <c r="BA41" s="62"/>
      <c r="BB41" s="18"/>
      <c r="BD41" s="3"/>
      <c r="BE41" s="19"/>
    </row>
    <row r="42" spans="4:126" x14ac:dyDescent="0.35">
      <c r="D42" s="3">
        <f>Neu!$B15</f>
        <v>0</v>
      </c>
      <c r="E42" s="19"/>
      <c r="F42" s="62"/>
      <c r="G42" s="62"/>
      <c r="H42" s="41"/>
      <c r="I42" s="62"/>
      <c r="J42" s="18"/>
      <c r="K42" s="41"/>
      <c r="L42" s="62"/>
      <c r="M42" s="18"/>
      <c r="O42" s="3">
        <f>Neu!$B15</f>
        <v>0</v>
      </c>
      <c r="P42" s="41"/>
      <c r="Q42" s="18"/>
      <c r="R42" s="41"/>
      <c r="S42" s="41"/>
      <c r="T42" s="41"/>
      <c r="U42" s="18"/>
      <c r="V42" s="41"/>
      <c r="W42" s="18"/>
      <c r="Z42" s="3">
        <f>Neu!$B15</f>
        <v>0</v>
      </c>
      <c r="AA42" s="41"/>
      <c r="AB42" s="41"/>
      <c r="AC42" s="62"/>
      <c r="AD42" s="32"/>
      <c r="AE42" s="62"/>
      <c r="AF42" s="62"/>
      <c r="AG42" s="18"/>
      <c r="AH42" s="41"/>
      <c r="AI42" s="41"/>
      <c r="AJ42" s="62"/>
      <c r="AK42" s="32"/>
      <c r="AL42" s="62"/>
      <c r="AM42" s="62"/>
      <c r="AN42" s="18"/>
      <c r="AO42" s="19"/>
      <c r="AP42" s="19"/>
      <c r="AQ42" s="62"/>
      <c r="AR42" s="32"/>
      <c r="AS42" s="62"/>
      <c r="AT42" s="62"/>
      <c r="AU42" s="18"/>
      <c r="AV42" s="19"/>
      <c r="AW42" s="41"/>
      <c r="AX42" s="62"/>
      <c r="AY42" s="32"/>
      <c r="AZ42" s="62"/>
      <c r="BA42" s="62"/>
      <c r="BB42" s="18"/>
      <c r="BD42" s="3"/>
      <c r="BE42" s="19"/>
    </row>
    <row r="43" spans="4:126" x14ac:dyDescent="0.35">
      <c r="D43" s="3">
        <f>Neu!$B16</f>
        <v>0</v>
      </c>
      <c r="E43" s="19"/>
      <c r="F43" s="62"/>
      <c r="G43" s="18"/>
      <c r="H43" s="41"/>
      <c r="I43" s="62"/>
      <c r="J43" s="18"/>
      <c r="K43" s="41"/>
      <c r="L43" s="62"/>
      <c r="M43" s="18"/>
      <c r="O43" s="3">
        <f>Neu!$B16</f>
        <v>0</v>
      </c>
      <c r="P43" s="41"/>
      <c r="Q43" s="18"/>
      <c r="R43" s="41"/>
      <c r="S43" s="18"/>
      <c r="T43" s="41"/>
      <c r="U43" s="18"/>
      <c r="V43" s="41"/>
      <c r="W43" s="18"/>
      <c r="Z43" s="3">
        <f>Neu!$B16</f>
        <v>0</v>
      </c>
      <c r="AA43" s="41"/>
      <c r="AB43" s="62"/>
      <c r="AC43" s="62"/>
      <c r="AD43" s="32"/>
      <c r="AE43" s="62"/>
      <c r="AF43" s="62"/>
      <c r="AG43" s="18"/>
      <c r="AH43" s="41"/>
      <c r="AI43" s="41"/>
      <c r="AJ43" s="62"/>
      <c r="AK43" s="32"/>
      <c r="AL43" s="62"/>
      <c r="AM43" s="62"/>
      <c r="AN43" s="18"/>
      <c r="AO43" s="41"/>
      <c r="AP43" s="62"/>
      <c r="AQ43" s="62"/>
      <c r="AR43" s="62"/>
      <c r="AS43" s="62"/>
      <c r="AT43" s="62"/>
      <c r="AU43" s="18"/>
      <c r="AV43" s="41"/>
      <c r="AW43" s="62"/>
      <c r="AX43" s="62"/>
      <c r="AY43" s="62"/>
      <c r="AZ43" s="62"/>
      <c r="BA43" s="62"/>
      <c r="BB43" s="18"/>
      <c r="BD43" s="3"/>
      <c r="BE43" s="19"/>
    </row>
    <row r="44" spans="4:126" x14ac:dyDescent="0.35">
      <c r="D44" s="3"/>
      <c r="E44" s="19"/>
      <c r="F44" s="62"/>
      <c r="G44" s="18"/>
      <c r="H44" s="41"/>
      <c r="I44" s="62"/>
      <c r="J44" s="18"/>
      <c r="K44" s="41"/>
      <c r="L44" s="62"/>
      <c r="M44" s="18"/>
      <c r="O44" s="3"/>
      <c r="P44" s="41"/>
      <c r="Q44" s="18"/>
      <c r="R44" s="41"/>
      <c r="S44" s="18"/>
      <c r="T44" s="41"/>
      <c r="U44" s="18"/>
      <c r="V44" s="41"/>
      <c r="W44" s="18"/>
      <c r="Z44" s="3"/>
      <c r="AA44" s="41"/>
      <c r="AB44" s="62"/>
      <c r="AC44" s="62"/>
      <c r="AD44" s="32"/>
      <c r="AE44" s="62"/>
      <c r="AF44" s="62"/>
      <c r="AG44" s="18"/>
      <c r="AH44" s="41"/>
      <c r="AI44" s="62"/>
      <c r="AJ44" s="62"/>
      <c r="AK44" s="62"/>
      <c r="AL44" s="62"/>
      <c r="AM44" s="62"/>
      <c r="AN44" s="18"/>
      <c r="AO44" s="41"/>
      <c r="AP44" s="62"/>
      <c r="AQ44" s="62"/>
      <c r="AR44" s="62"/>
      <c r="AS44" s="62"/>
      <c r="AT44" s="62"/>
      <c r="AU44" s="18"/>
      <c r="AV44" s="41"/>
      <c r="AW44" s="62"/>
      <c r="AX44" s="62"/>
      <c r="AY44" s="62"/>
      <c r="AZ44" s="62"/>
      <c r="BA44" s="62"/>
      <c r="BB44" s="18"/>
      <c r="BD44" s="3"/>
      <c r="BE44" s="19"/>
    </row>
    <row r="45" spans="4:126" x14ac:dyDescent="0.35">
      <c r="D45" s="3"/>
      <c r="E45" s="19"/>
      <c r="F45" s="62"/>
      <c r="G45" s="18"/>
      <c r="H45" s="41"/>
      <c r="I45" s="62"/>
      <c r="J45" s="18"/>
      <c r="K45" s="41"/>
      <c r="L45" s="62"/>
      <c r="M45" s="18"/>
      <c r="O45" s="3"/>
      <c r="P45" s="41"/>
      <c r="Q45" s="18"/>
      <c r="R45" s="41"/>
      <c r="S45" s="18"/>
      <c r="T45" s="41"/>
      <c r="U45" s="18"/>
      <c r="V45" s="41"/>
      <c r="W45" s="18"/>
      <c r="Z45" s="3"/>
      <c r="AA45" s="41"/>
      <c r="AB45" s="62"/>
      <c r="AC45" s="62"/>
      <c r="AD45" s="32"/>
      <c r="AE45" s="62"/>
      <c r="AF45" s="62"/>
      <c r="AG45" s="18"/>
      <c r="AH45" s="41"/>
      <c r="AI45" s="62"/>
      <c r="AJ45" s="62"/>
      <c r="AK45" s="62"/>
      <c r="AL45" s="62"/>
      <c r="AM45" s="62"/>
      <c r="AN45" s="18"/>
      <c r="AO45" s="41"/>
      <c r="AP45" s="62"/>
      <c r="AQ45" s="62"/>
      <c r="AR45" s="62"/>
      <c r="AS45" s="62"/>
      <c r="AT45" s="62"/>
      <c r="AU45" s="18"/>
      <c r="AV45" s="41"/>
      <c r="AW45" s="62"/>
      <c r="AX45" s="62"/>
      <c r="AY45" s="62"/>
      <c r="AZ45" s="62"/>
      <c r="BA45" s="62"/>
      <c r="BB45" s="18"/>
      <c r="BD45" s="3"/>
      <c r="BE45" s="19"/>
    </row>
    <row r="46" spans="4:126" x14ac:dyDescent="0.35">
      <c r="D46" s="3"/>
      <c r="E46" s="19"/>
      <c r="F46" s="62"/>
      <c r="G46" s="18"/>
      <c r="H46" s="41"/>
      <c r="I46" s="62"/>
      <c r="J46" s="18"/>
      <c r="K46" s="41"/>
      <c r="L46" s="62"/>
      <c r="M46" s="18"/>
      <c r="O46" s="3"/>
      <c r="P46" s="41"/>
      <c r="Q46" s="18"/>
      <c r="R46" s="41"/>
      <c r="S46" s="18"/>
      <c r="T46" s="41"/>
      <c r="U46" s="18"/>
      <c r="V46" s="41"/>
      <c r="W46" s="18"/>
      <c r="Z46" s="3"/>
      <c r="AA46" s="41"/>
      <c r="AB46" s="62"/>
      <c r="AC46" s="62"/>
      <c r="AD46" s="32"/>
      <c r="AE46" s="62"/>
      <c r="AF46" s="62"/>
      <c r="AG46" s="18"/>
      <c r="AH46" s="41"/>
      <c r="AI46" s="62"/>
      <c r="AJ46" s="62"/>
      <c r="AK46" s="62"/>
      <c r="AL46" s="62"/>
      <c r="AM46" s="62"/>
      <c r="AN46" s="18"/>
      <c r="AO46" s="41"/>
      <c r="AP46" s="62"/>
      <c r="AQ46" s="62"/>
      <c r="AR46" s="62"/>
      <c r="AS46" s="62"/>
      <c r="AT46" s="62"/>
      <c r="AU46" s="18"/>
      <c r="AV46" s="41"/>
      <c r="AW46" s="62"/>
      <c r="AX46" s="62"/>
      <c r="AY46" s="62"/>
      <c r="AZ46" s="62"/>
      <c r="BA46" s="62"/>
      <c r="BB46" s="18"/>
      <c r="BD46" s="3"/>
      <c r="BE46" s="19"/>
    </row>
    <row r="47" spans="4:126" x14ac:dyDescent="0.35">
      <c r="D47" s="3"/>
      <c r="E47" s="19"/>
      <c r="F47" s="62"/>
      <c r="G47" s="18"/>
      <c r="H47" s="41"/>
      <c r="I47" s="62"/>
      <c r="J47" s="18"/>
      <c r="K47" s="41"/>
      <c r="L47" s="62"/>
      <c r="M47" s="18"/>
      <c r="O47" s="3"/>
      <c r="P47" s="41"/>
      <c r="Q47" s="18"/>
      <c r="R47" s="41"/>
      <c r="S47" s="18"/>
      <c r="T47" s="41"/>
      <c r="U47" s="18"/>
      <c r="V47" s="41"/>
      <c r="W47" s="18"/>
      <c r="Z47" s="3"/>
      <c r="AA47" s="41"/>
      <c r="AB47" s="62"/>
      <c r="AC47" s="62"/>
      <c r="AD47" s="32"/>
      <c r="AE47" s="62"/>
      <c r="AF47" s="62"/>
      <c r="AG47" s="18"/>
      <c r="AH47" s="41"/>
      <c r="AI47" s="62"/>
      <c r="AJ47" s="62"/>
      <c r="AK47" s="62"/>
      <c r="AL47" s="62"/>
      <c r="AM47" s="62"/>
      <c r="AN47" s="18"/>
      <c r="AO47" s="41"/>
      <c r="AP47" s="62"/>
      <c r="AQ47" s="62"/>
      <c r="AR47" s="62"/>
      <c r="AS47" s="62"/>
      <c r="AT47" s="62"/>
      <c r="AU47" s="18"/>
      <c r="AV47" s="41"/>
      <c r="AW47" s="62"/>
      <c r="AX47" s="62"/>
      <c r="AY47" s="62"/>
      <c r="AZ47" s="62"/>
      <c r="BA47" s="62"/>
      <c r="BB47" s="18"/>
      <c r="BD47" s="3">
        <f>Neu!$B21</f>
        <v>0</v>
      </c>
      <c r="BE47" s="19"/>
    </row>
    <row r="48" spans="4:126" x14ac:dyDescent="0.35">
      <c r="D48" s="3"/>
      <c r="E48" s="19"/>
      <c r="F48" s="62"/>
      <c r="G48" s="18"/>
      <c r="H48" s="41"/>
      <c r="I48" s="62"/>
      <c r="J48" s="18"/>
      <c r="K48" s="41"/>
      <c r="L48" s="62"/>
      <c r="M48" s="18"/>
      <c r="O48" s="3"/>
      <c r="P48" s="41"/>
      <c r="Q48" s="18"/>
      <c r="R48" s="41"/>
      <c r="S48" s="18"/>
      <c r="T48" s="41"/>
      <c r="U48" s="18"/>
      <c r="V48" s="41"/>
      <c r="W48" s="18"/>
      <c r="Z48" s="3"/>
      <c r="AA48" s="41"/>
      <c r="AB48" s="62"/>
      <c r="AC48" s="62"/>
      <c r="AD48" s="32"/>
      <c r="AE48" s="62"/>
      <c r="AF48" s="62"/>
      <c r="AG48" s="18"/>
      <c r="AH48" s="41"/>
      <c r="AI48" s="62"/>
      <c r="AJ48" s="62"/>
      <c r="AK48" s="62"/>
      <c r="AL48" s="62"/>
      <c r="AM48" s="62"/>
      <c r="AN48" s="18"/>
      <c r="AO48" s="41"/>
      <c r="AP48" s="62"/>
      <c r="AQ48" s="62"/>
      <c r="AR48" s="62"/>
      <c r="AS48" s="62"/>
      <c r="AT48" s="62"/>
      <c r="AU48" s="18"/>
      <c r="AV48" s="41"/>
      <c r="AW48" s="62"/>
      <c r="AX48" s="62"/>
      <c r="AY48" s="62"/>
      <c r="AZ48" s="62"/>
      <c r="BA48" s="62"/>
      <c r="BB48" s="18"/>
      <c r="BD48" s="3">
        <f>Neu!$B22</f>
        <v>0</v>
      </c>
      <c r="BE48" s="19"/>
    </row>
    <row r="49" spans="3:57" x14ac:dyDescent="0.35">
      <c r="D49" s="3">
        <f>Neu!$B17</f>
        <v>0</v>
      </c>
      <c r="E49" s="19"/>
      <c r="F49" s="62"/>
      <c r="G49" s="18"/>
      <c r="H49" s="41"/>
      <c r="I49" s="62"/>
      <c r="J49" s="18"/>
      <c r="K49" s="41"/>
      <c r="L49" s="62"/>
      <c r="M49" s="18"/>
      <c r="O49" s="3">
        <f>Neu!$B17</f>
        <v>0</v>
      </c>
      <c r="P49" s="41"/>
      <c r="Q49" s="18"/>
      <c r="R49" s="41"/>
      <c r="S49" s="18"/>
      <c r="T49" s="41"/>
      <c r="U49" s="18"/>
      <c r="V49" s="41"/>
      <c r="W49" s="18"/>
      <c r="Z49" s="3">
        <f>Neu!$B17</f>
        <v>0</v>
      </c>
      <c r="AA49" s="41"/>
      <c r="AB49" s="62"/>
      <c r="AC49" s="62"/>
      <c r="AD49" s="32"/>
      <c r="AE49" s="62"/>
      <c r="AF49" s="62"/>
      <c r="AG49" s="18"/>
      <c r="AH49" s="41"/>
      <c r="AI49" s="62"/>
      <c r="AJ49" s="62"/>
      <c r="AK49" s="62"/>
      <c r="AL49" s="62"/>
      <c r="AM49" s="62"/>
      <c r="AN49" s="18"/>
      <c r="AO49" s="41"/>
      <c r="AP49" s="62"/>
      <c r="AQ49" s="62"/>
      <c r="AR49" s="62"/>
      <c r="AS49" s="62"/>
      <c r="AT49" s="62"/>
      <c r="AU49" s="18"/>
      <c r="AV49" s="41"/>
      <c r="AW49" s="62"/>
      <c r="AX49" s="62"/>
      <c r="AY49" s="62"/>
      <c r="AZ49" s="62"/>
      <c r="BA49" s="62"/>
      <c r="BB49" s="18"/>
      <c r="BD49" s="3">
        <f>Neu!$B23</f>
        <v>0</v>
      </c>
      <c r="BE49" s="19"/>
    </row>
    <row r="50" spans="3:57" x14ac:dyDescent="0.35">
      <c r="D50" s="3"/>
      <c r="E50" s="19"/>
      <c r="F50" s="62"/>
      <c r="G50" s="18"/>
      <c r="H50" s="41"/>
      <c r="I50" s="62"/>
      <c r="J50" s="18"/>
      <c r="K50" s="41"/>
      <c r="L50" s="62"/>
      <c r="M50" s="18"/>
      <c r="O50" s="3"/>
      <c r="P50" s="41"/>
      <c r="Q50" s="18"/>
      <c r="R50" s="41"/>
      <c r="S50" s="18"/>
      <c r="T50" s="41"/>
      <c r="U50" s="18"/>
      <c r="V50" s="41"/>
      <c r="W50" s="18"/>
      <c r="Z50" s="3"/>
      <c r="AA50" s="41"/>
      <c r="AB50" s="62"/>
      <c r="AC50" s="62"/>
      <c r="AD50" s="32"/>
      <c r="AE50" s="62"/>
      <c r="AF50" s="62"/>
      <c r="AG50" s="18"/>
      <c r="AH50" s="41"/>
      <c r="AI50" s="62"/>
      <c r="AJ50" s="62"/>
      <c r="AK50" s="62"/>
      <c r="AL50" s="62"/>
      <c r="AM50" s="62"/>
      <c r="AN50" s="18"/>
      <c r="AO50" s="41"/>
      <c r="AP50" s="62"/>
      <c r="AQ50" s="62"/>
      <c r="AR50" s="62"/>
      <c r="AS50" s="62"/>
      <c r="AT50" s="62"/>
      <c r="AU50" s="18"/>
      <c r="AV50" s="41"/>
      <c r="AW50" s="62"/>
      <c r="AX50" s="62"/>
      <c r="AY50" s="62"/>
      <c r="AZ50" s="62"/>
      <c r="BA50" s="62"/>
      <c r="BB50" s="18"/>
      <c r="BD50" s="3">
        <f>Neu!$B24</f>
        <v>0</v>
      </c>
      <c r="BE50" s="19"/>
    </row>
    <row r="51" spans="3:57" ht="15" thickBot="1" x14ac:dyDescent="0.4">
      <c r="D51" s="5">
        <f>Neu!$B24</f>
        <v>0</v>
      </c>
      <c r="E51" s="20"/>
      <c r="F51" s="21"/>
      <c r="G51" s="43"/>
      <c r="H51" s="42"/>
      <c r="I51" s="21"/>
      <c r="J51" s="43"/>
      <c r="K51" s="42"/>
      <c r="L51" s="21"/>
      <c r="M51" s="43"/>
      <c r="O51" s="5">
        <f>Neu!$B24</f>
        <v>0</v>
      </c>
      <c r="P51" s="42"/>
      <c r="Q51" s="43"/>
      <c r="R51" s="42"/>
      <c r="S51" s="43"/>
      <c r="T51" s="42"/>
      <c r="U51" s="43"/>
      <c r="V51" s="42"/>
      <c r="W51" s="43"/>
      <c r="Z51" s="5">
        <f>Neu!$B24</f>
        <v>0</v>
      </c>
      <c r="AA51" s="42"/>
      <c r="AB51" s="21"/>
      <c r="AC51" s="21"/>
      <c r="AD51" s="57"/>
      <c r="AE51" s="21"/>
      <c r="AF51" s="21"/>
      <c r="AG51" s="43"/>
      <c r="AH51" s="42"/>
      <c r="AI51" s="21"/>
      <c r="AJ51" s="21"/>
      <c r="AK51" s="21"/>
      <c r="AL51" s="21"/>
      <c r="AM51" s="21"/>
      <c r="AN51" s="43"/>
      <c r="AO51" s="42"/>
      <c r="AP51" s="21"/>
      <c r="AQ51" s="21"/>
      <c r="AR51" s="21"/>
      <c r="AS51" s="21"/>
      <c r="AT51" s="21"/>
      <c r="AU51" s="43"/>
      <c r="AV51" s="42"/>
      <c r="AW51" s="21"/>
      <c r="AX51" s="21"/>
      <c r="AY51" s="21"/>
      <c r="AZ51" s="21"/>
      <c r="BA51" s="21"/>
      <c r="BB51" s="43"/>
      <c r="BD51" s="3">
        <f>Neu!$B25</f>
        <v>0</v>
      </c>
      <c r="BE51" s="19"/>
    </row>
    <row r="52" spans="3:57" x14ac:dyDescent="0.35">
      <c r="AC52" s="36"/>
      <c r="AD52" s="68"/>
      <c r="AE52" s="36"/>
      <c r="AF52" s="36"/>
      <c r="AG52" s="36"/>
    </row>
    <row r="54" spans="3:57" x14ac:dyDescent="0.35">
      <c r="F54" s="14" t="s">
        <v>140</v>
      </c>
      <c r="AC54" s="49" t="s">
        <v>120</v>
      </c>
      <c r="AD54" s="14" t="s">
        <v>108</v>
      </c>
      <c r="AG54" s="14" t="s">
        <v>110</v>
      </c>
      <c r="AM54" s="55" t="s">
        <v>123</v>
      </c>
      <c r="AN54" s="14" t="s">
        <v>127</v>
      </c>
    </row>
    <row r="55" spans="3:57" x14ac:dyDescent="0.35">
      <c r="AC55" s="49" t="s">
        <v>121</v>
      </c>
      <c r="AD55" s="14" t="s">
        <v>109</v>
      </c>
      <c r="AG55" s="14" t="s">
        <v>111</v>
      </c>
      <c r="AM55" s="55" t="s">
        <v>124</v>
      </c>
      <c r="AN55" s="14" t="s">
        <v>128</v>
      </c>
    </row>
    <row r="56" spans="3:57" x14ac:dyDescent="0.35">
      <c r="AC56" s="55" t="s">
        <v>122</v>
      </c>
      <c r="AD56" s="14" t="s">
        <v>114</v>
      </c>
      <c r="AG56" s="14" t="s">
        <v>112</v>
      </c>
      <c r="AM56" s="55" t="s">
        <v>122</v>
      </c>
      <c r="AN56" s="14" t="s">
        <v>129</v>
      </c>
    </row>
    <row r="57" spans="3:57" x14ac:dyDescent="0.35">
      <c r="C57" s="14" t="s">
        <v>93</v>
      </c>
      <c r="D57" s="14" t="s">
        <v>148</v>
      </c>
      <c r="AM57" s="55" t="s">
        <v>125</v>
      </c>
      <c r="AN57" s="14" t="s">
        <v>130</v>
      </c>
    </row>
    <row r="58" spans="3:57" x14ac:dyDescent="0.35">
      <c r="C58" s="14" t="s">
        <v>8</v>
      </c>
      <c r="D58" s="14" t="s">
        <v>149</v>
      </c>
      <c r="AM58" s="55" t="s">
        <v>126</v>
      </c>
      <c r="AN58" s="14" t="s">
        <v>131</v>
      </c>
    </row>
    <row r="59" spans="3:57" x14ac:dyDescent="0.35">
      <c r="C59" s="14" t="s">
        <v>9</v>
      </c>
      <c r="D59" s="14" t="s">
        <v>150</v>
      </c>
      <c r="AM59" s="56"/>
    </row>
    <row r="60" spans="3:57" x14ac:dyDescent="0.35">
      <c r="C60" s="14" t="s">
        <v>10</v>
      </c>
      <c r="D60" s="14" t="s">
        <v>151</v>
      </c>
    </row>
    <row r="61" spans="3:57" x14ac:dyDescent="0.35">
      <c r="C61" s="14" t="s">
        <v>90</v>
      </c>
      <c r="D61" s="14" t="s">
        <v>152</v>
      </c>
    </row>
    <row r="62" spans="3:57" x14ac:dyDescent="0.35">
      <c r="C62" s="14" t="s">
        <v>91</v>
      </c>
      <c r="D62" s="14" t="s">
        <v>153</v>
      </c>
    </row>
  </sheetData>
  <mergeCells count="46">
    <mergeCell ref="GN1:HN1"/>
    <mergeCell ref="GN2:GP2"/>
    <mergeCell ref="GQ2:HB2"/>
    <mergeCell ref="HC2:HN2"/>
    <mergeCell ref="CJ2:CL2"/>
    <mergeCell ref="CM2:CX2"/>
    <mergeCell ref="CY2:DJ2"/>
    <mergeCell ref="BI1:CI1"/>
    <mergeCell ref="FA2:FL2"/>
    <mergeCell ref="J2:U2"/>
    <mergeCell ref="V2:AG2"/>
    <mergeCell ref="G1:AG1"/>
    <mergeCell ref="BI2:BK2"/>
    <mergeCell ref="BL2:BW2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</mergeCells>
  <conditionalFormatting sqref="A4:A24">
    <cfRule type="cellIs" dxfId="87" priority="154" operator="equal">
      <formula>0</formula>
    </cfRule>
  </conditionalFormatting>
  <conditionalFormatting sqref="D31:D51">
    <cfRule type="cellIs" dxfId="86" priority="650" operator="equal">
      <formula>0</formula>
    </cfRule>
  </conditionalFormatting>
  <conditionalFormatting sqref="E18:E21">
    <cfRule type="notContainsBlanks" dxfId="85" priority="181">
      <formula>LEN(TRIM(E18))&gt;0</formula>
    </cfRule>
  </conditionalFormatting>
  <conditionalFormatting sqref="E4:F15">
    <cfRule type="notContainsBlanks" dxfId="84" priority="51">
      <formula>LEN(TRIM(E4))&gt;0</formula>
    </cfRule>
  </conditionalFormatting>
  <conditionalFormatting sqref="E16:KQ17">
    <cfRule type="notContainsBlanks" dxfId="83" priority="316">
      <formula>LEN(TRIM(E16))&gt;0</formula>
    </cfRule>
  </conditionalFormatting>
  <conditionalFormatting sqref="F21:H21 J21:N21">
    <cfRule type="notContainsBlanks" dxfId="82" priority="314">
      <formula>LEN(TRIM(F21))&gt;0</formula>
    </cfRule>
  </conditionalFormatting>
  <conditionalFormatting sqref="F18:AD19">
    <cfRule type="notContainsBlanks" dxfId="81" priority="179">
      <formula>LEN(TRIM(F18))&gt;0</formula>
    </cfRule>
  </conditionalFormatting>
  <conditionalFormatting sqref="F20:AH20">
    <cfRule type="notContainsBlanks" dxfId="80" priority="236">
      <formula>LEN(TRIM(F20))&gt;0</formula>
    </cfRule>
  </conditionalFormatting>
  <conditionalFormatting sqref="G25:AD26">
    <cfRule type="notContainsBlanks" dxfId="79" priority="550">
      <formula>LEN(TRIM(G25))&gt;0</formula>
    </cfRule>
  </conditionalFormatting>
  <conditionalFormatting sqref="G4:BA13">
    <cfRule type="notContainsBlanks" dxfId="78" priority="21">
      <formula>LEN(TRIM(G4))&gt;0</formula>
    </cfRule>
  </conditionalFormatting>
  <conditionalFormatting sqref="G14:BH15">
    <cfRule type="notContainsBlanks" dxfId="77" priority="66">
      <formula>LEN(TRIM(G14))&gt;0</formula>
    </cfRule>
  </conditionalFormatting>
  <conditionalFormatting sqref="O31:O51">
    <cfRule type="cellIs" dxfId="76" priority="520" operator="equal">
      <formula>0</formula>
    </cfRule>
  </conditionalFormatting>
  <conditionalFormatting sqref="Z31:Z51">
    <cfRule type="cellIs" dxfId="75" priority="519" operator="equal">
      <formula>0</formula>
    </cfRule>
  </conditionalFormatting>
  <conditionalFormatting sqref="AE19:AH19">
    <cfRule type="notContainsBlanks" dxfId="74" priority="229">
      <formula>LEN(TRIM(AE19))&gt;0</formula>
    </cfRule>
  </conditionalFormatting>
  <conditionalFormatting sqref="AE18:AZ18">
    <cfRule type="notContainsBlanks" dxfId="73" priority="288">
      <formula>LEN(TRIM(AE18))&gt;0</formula>
    </cfRule>
  </conditionalFormatting>
  <conditionalFormatting sqref="AH25:BE27">
    <cfRule type="notContainsBlanks" dxfId="72" priority="563">
      <formula>LEN(TRIM(AH25))&gt;0</formula>
    </cfRule>
  </conditionalFormatting>
  <conditionalFormatting sqref="AI19:AZ20">
    <cfRule type="notContainsBlanks" dxfId="71" priority="227">
      <formula>LEN(TRIM(AI19))&gt;0</formula>
    </cfRule>
  </conditionalFormatting>
  <conditionalFormatting sqref="AT21:BB21 E22:BB24">
    <cfRule type="notContainsBlanks" dxfId="70" priority="328">
      <formula>LEN(TRIM(E21))&gt;0</formula>
    </cfRule>
  </conditionalFormatting>
  <conditionalFormatting sqref="BA18:KQ20">
    <cfRule type="notContainsBlanks" dxfId="69" priority="228">
      <formula>LEN(TRIM(BA18))&gt;0</formula>
    </cfRule>
  </conditionalFormatting>
  <conditionalFormatting sqref="BB13:BH13">
    <cfRule type="notContainsBlanks" dxfId="68" priority="23">
      <formula>LEN(TRIM(BB13))&gt;0</formula>
    </cfRule>
  </conditionalFormatting>
  <conditionalFormatting sqref="BB8:BI11">
    <cfRule type="notContainsBlanks" dxfId="67" priority="38">
      <formula>LEN(TRIM(BB8))&gt;0</formula>
    </cfRule>
  </conditionalFormatting>
  <conditionalFormatting sqref="BB7:CI7">
    <cfRule type="notContainsBlanks" dxfId="66" priority="39">
      <formula>LEN(TRIM(BB7))&gt;0</formula>
    </cfRule>
  </conditionalFormatting>
  <conditionalFormatting sqref="BB12:CI12">
    <cfRule type="notContainsBlanks" dxfId="65" priority="24">
      <formula>LEN(TRIM(BB12))&gt;0</formula>
    </cfRule>
  </conditionalFormatting>
  <conditionalFormatting sqref="BB4:HN6">
    <cfRule type="notContainsBlanks" dxfId="64" priority="193">
      <formula>LEN(TRIM(BB4))&gt;0</formula>
    </cfRule>
  </conditionalFormatting>
  <conditionalFormatting sqref="BC21:KQ24">
    <cfRule type="notContainsBlanks" dxfId="63" priority="367">
      <formula>LEN(TRIM(BC21))&gt;0</formula>
    </cfRule>
  </conditionalFormatting>
  <conditionalFormatting sqref="BD31:BD51">
    <cfRule type="cellIs" dxfId="62" priority="1" operator="equal">
      <formula>0</formula>
    </cfRule>
  </conditionalFormatting>
  <conditionalFormatting sqref="BI13:BI15">
    <cfRule type="notContainsBlanks" dxfId="61" priority="26">
      <formula>LEN(TRIM(BI13))&gt;0</formula>
    </cfRule>
  </conditionalFormatting>
  <conditionalFormatting sqref="BI25:BI27">
    <cfRule type="notContainsBlanks" dxfId="60" priority="576">
      <formula>LEN(TRIM(BI25))&gt;0</formula>
    </cfRule>
  </conditionalFormatting>
  <conditionalFormatting sqref="BJ8:CI10">
    <cfRule type="notContainsBlanks" dxfId="59" priority="42">
      <formula>LEN(TRIM(BJ8))&gt;0</formula>
    </cfRule>
  </conditionalFormatting>
  <conditionalFormatting sqref="BJ13:CI13">
    <cfRule type="notContainsBlanks" dxfId="58" priority="27">
      <formula>LEN(TRIM(BJ13))&gt;0</formula>
    </cfRule>
  </conditionalFormatting>
  <conditionalFormatting sqref="BJ11:EH11">
    <cfRule type="notContainsBlanks" dxfId="57" priority="92">
      <formula>LEN(TRIM(BJ11))&gt;0</formula>
    </cfRule>
  </conditionalFormatting>
  <conditionalFormatting sqref="BJ14:KQ15">
    <cfRule type="notContainsBlanks" dxfId="56" priority="382">
      <formula>LEN(TRIM(BJ14))&gt;0</formula>
    </cfRule>
  </conditionalFormatting>
  <conditionalFormatting sqref="CJ9:EH10">
    <cfRule type="notContainsBlanks" dxfId="55" priority="145">
      <formula>LEN(TRIM(CJ9))&gt;0</formula>
    </cfRule>
  </conditionalFormatting>
  <conditionalFormatting sqref="CJ7:HN8">
    <cfRule type="notContainsBlanks" dxfId="54" priority="40">
      <formula>LEN(TRIM(CJ7))&gt;0</formula>
    </cfRule>
  </conditionalFormatting>
  <conditionalFormatting sqref="CJ12:HN13">
    <cfRule type="notContainsBlanks" dxfId="53" priority="25">
      <formula>LEN(TRIM(CJ12))&gt;0</formula>
    </cfRule>
  </conditionalFormatting>
  <conditionalFormatting sqref="DC26">
    <cfRule type="notContainsBlanks" dxfId="52" priority="641">
      <formula>LEN(TRIM(DC26))&gt;0</formula>
    </cfRule>
  </conditionalFormatting>
  <conditionalFormatting sqref="DC25:DG25">
    <cfRule type="notContainsBlanks" dxfId="51" priority="642">
      <formula>LEN(TRIM(DC25))&gt;0</formula>
    </cfRule>
  </conditionalFormatting>
  <conditionalFormatting sqref="DC27:DG27">
    <cfRule type="notContainsBlanks" dxfId="50" priority="640">
      <formula>LEN(TRIM(DC27))&gt;0</formula>
    </cfRule>
  </conditionalFormatting>
  <conditionalFormatting sqref="DJ25:DJ27">
    <cfRule type="notContainsBlanks" dxfId="49" priority="569">
      <formula>LEN(TRIM(DJ25))&gt;0</formula>
    </cfRule>
  </conditionalFormatting>
  <conditionalFormatting sqref="DK25:EH29">
    <cfRule type="notContainsBlanks" dxfId="48" priority="566">
      <formula>LEN(TRIM(DK25))&gt;0</formula>
    </cfRule>
  </conditionalFormatting>
  <conditionalFormatting sqref="EI9:HN11">
    <cfRule type="notContainsBlanks" dxfId="47" priority="113">
      <formula>LEN(TRIM(EI9))&gt;0</formula>
    </cfRule>
  </conditionalFormatting>
  <conditionalFormatting sqref="FE26">
    <cfRule type="notContainsBlanks" dxfId="46" priority="537">
      <formula>LEN(TRIM(FE26))&gt;0</formula>
    </cfRule>
  </conditionalFormatting>
  <conditionalFormatting sqref="FE25:FI25">
    <cfRule type="notContainsBlanks" dxfId="45" priority="538">
      <formula>LEN(TRIM(FE25))&gt;0</formula>
    </cfRule>
  </conditionalFormatting>
  <conditionalFormatting sqref="FE27:FI27">
    <cfRule type="notContainsBlanks" dxfId="44" priority="536">
      <formula>LEN(TRIM(FE27))&gt;0</formula>
    </cfRule>
  </conditionalFormatting>
  <conditionalFormatting sqref="FL25:FL27">
    <cfRule type="notContainsBlanks" dxfId="43" priority="529">
      <formula>LEN(TRIM(FL25))&gt;0</formula>
    </cfRule>
  </conditionalFormatting>
  <conditionalFormatting sqref="GL25:GL27">
    <cfRule type="notContainsBlanks" dxfId="42" priority="560">
      <formula>LEN(TRIM(GL25))&gt;0</formula>
    </cfRule>
  </conditionalFormatting>
  <conditionalFormatting sqref="HM25:HM27">
    <cfRule type="notContainsBlanks" dxfId="41" priority="522">
      <formula>LEN(TRIM(HM25))&gt;0</formula>
    </cfRule>
  </conditionalFormatting>
  <conditionalFormatting sqref="HO29:HO31">
    <cfRule type="notContainsBlanks" dxfId="40" priority="614">
      <formula>LEN(TRIM(HO29))&gt;0</formula>
    </cfRule>
  </conditionalFormatting>
  <conditionalFormatting sqref="HO4:HU13">
    <cfRule type="notContainsBlanks" dxfId="39" priority="2">
      <formula>LEN(TRIM(HO4))&gt;0</formula>
    </cfRule>
  </conditionalFormatting>
  <conditionalFormatting sqref="HO25:HU25 ID25:IH25">
    <cfRule type="notContainsBlanks" dxfId="38" priority="632">
      <formula>LEN(TRIM(HO25))&gt;0</formula>
    </cfRule>
  </conditionalFormatting>
  <conditionalFormatting sqref="HO27:HU27 ID27:IH27">
    <cfRule type="notContainsBlanks" dxfId="37" priority="624">
      <formula>LEN(TRIM(HO27))&gt;0</formula>
    </cfRule>
  </conditionalFormatting>
  <conditionalFormatting sqref="HV7:HX10">
    <cfRule type="notContainsBlanks" dxfId="36" priority="29">
      <formula>LEN(TRIM(HV7))&gt;0</formula>
    </cfRule>
  </conditionalFormatting>
  <conditionalFormatting sqref="HV25:IC26">
    <cfRule type="notContainsBlanks" dxfId="35" priority="623">
      <formula>LEN(TRIM(HV25))&gt;0</formula>
    </cfRule>
  </conditionalFormatting>
  <conditionalFormatting sqref="HV4:KQ6">
    <cfRule type="notContainsBlanks" dxfId="34" priority="511">
      <formula>LEN(TRIM(HV4))&gt;0</formula>
    </cfRule>
  </conditionalFormatting>
  <conditionalFormatting sqref="HV12:KQ13">
    <cfRule type="notContainsBlanks" dxfId="33" priority="4">
      <formula>LEN(TRIM(HV12))&gt;0</formula>
    </cfRule>
  </conditionalFormatting>
  <conditionalFormatting sqref="HY9:IC10 HV11:IC11">
    <cfRule type="notContainsBlanks" dxfId="32" priority="136">
      <formula>LEN(TRIM(HV9))&gt;0</formula>
    </cfRule>
  </conditionalFormatting>
  <conditionalFormatting sqref="HY7:KQ8">
    <cfRule type="notContainsBlanks" dxfId="31" priority="31">
      <formula>LEN(TRIM(HY7))&gt;0</formula>
    </cfRule>
  </conditionalFormatting>
  <conditionalFormatting sqref="ID9:KQ11">
    <cfRule type="notContainsBlanks" dxfId="30" priority="115">
      <formula>LEN(TRIM(ID9))&gt;0</formula>
    </cfRule>
  </conditionalFormatting>
  <conditionalFormatting sqref="IP25:IV26">
    <cfRule type="notContainsBlanks" dxfId="29" priority="580">
      <formula>LEN(TRIM(IP25))&gt;0</formula>
    </cfRule>
  </conditionalFormatting>
  <conditionalFormatting sqref="IW25:JD27">
    <cfRule type="notContainsBlanks" dxfId="28" priority="586">
      <formula>LEN(TRIM(IW25))&gt;0</formula>
    </cfRule>
  </conditionalFormatting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173</v>
      </c>
      <c r="G9" s="41" t="s">
        <v>179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0</v>
      </c>
      <c r="K10" s="46" t="s">
        <v>173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168</v>
      </c>
      <c r="C21" s="62">
        <v>0.5</v>
      </c>
      <c r="D21" s="62">
        <v>10.5</v>
      </c>
      <c r="E21" s="62">
        <v>10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27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1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232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173</v>
      </c>
      <c r="G9" s="41" t="s">
        <v>212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173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173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169</v>
      </c>
      <c r="C21" s="62">
        <v>0.5</v>
      </c>
      <c r="D21" s="62">
        <v>10.5</v>
      </c>
      <c r="E21" s="62">
        <v>10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6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2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workbookViewId="0">
      <selection sqref="A1:XFD1048576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173</v>
      </c>
      <c r="G9" s="41" t="s">
        <v>179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0</v>
      </c>
      <c r="K10" s="46" t="s">
        <v>173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176</v>
      </c>
      <c r="C21" s="62">
        <v>0.5</v>
      </c>
      <c r="D21" s="62">
        <v>10.5</v>
      </c>
      <c r="E21" s="62">
        <v>1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25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3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workbookViewId="0">
      <selection activeCell="A18" sqref="A18:J18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231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173</v>
      </c>
      <c r="G9" s="41" t="s">
        <v>212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173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173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167</v>
      </c>
      <c r="C21" s="62">
        <v>0.5</v>
      </c>
      <c r="D21" s="62">
        <v>10.5</v>
      </c>
      <c r="E21" s="62">
        <v>1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4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4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0"/>
  <sheetViews>
    <sheetView workbookViewId="0">
      <selection activeCell="I12" sqref="I1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209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2</v>
      </c>
      <c r="B9" s="60" t="s">
        <v>31</v>
      </c>
      <c r="C9" s="62">
        <v>7</v>
      </c>
      <c r="D9" s="62">
        <v>0</v>
      </c>
      <c r="E9" s="62">
        <v>7</v>
      </c>
      <c r="F9" s="46" t="s">
        <v>173</v>
      </c>
      <c r="G9" s="41" t="s">
        <v>196</v>
      </c>
      <c r="H9" s="62">
        <v>6</v>
      </c>
      <c r="I9" s="62">
        <v>-80</v>
      </c>
      <c r="J9" s="62">
        <v>160</v>
      </c>
      <c r="K9" s="46" t="s">
        <v>181</v>
      </c>
      <c r="L9" s="41" t="s">
        <v>197</v>
      </c>
      <c r="M9" s="62">
        <v>8</v>
      </c>
      <c r="N9" s="62">
        <v>-80</v>
      </c>
      <c r="O9" s="62">
        <v>0</v>
      </c>
      <c r="P9" s="46" t="s">
        <v>178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173</v>
      </c>
      <c r="G10" s="41" t="s">
        <v>198</v>
      </c>
      <c r="H10" s="62">
        <v>6</v>
      </c>
      <c r="I10" s="62">
        <v>-5</v>
      </c>
      <c r="J10" s="62">
        <v>1</v>
      </c>
      <c r="K10" s="46" t="s">
        <v>188</v>
      </c>
      <c r="L10" s="41" t="s">
        <v>199</v>
      </c>
      <c r="M10" s="62">
        <v>6</v>
      </c>
      <c r="N10" s="62">
        <v>0</v>
      </c>
      <c r="O10" s="62">
        <v>60</v>
      </c>
      <c r="P10" s="46" t="s">
        <v>190</v>
      </c>
      <c r="Q10" s="41" t="s">
        <v>200</v>
      </c>
      <c r="R10" s="62">
        <v>6</v>
      </c>
      <c r="S10" s="62">
        <v>-1</v>
      </c>
      <c r="T10" s="62">
        <v>5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194</v>
      </c>
      <c r="C21" s="62">
        <v>1</v>
      </c>
      <c r="D21" s="62">
        <v>1.0249999999999999</v>
      </c>
      <c r="E21" s="62">
        <v>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3" priority="1" operator="notEqual">
      <formula>MAX($E$9:$E$16)</formula>
    </cfRule>
  </conditionalFormatting>
  <dataValidations count="1">
    <dataValidation type="list" allowBlank="1" showInputMessage="1" showErrorMessage="1" sqref="F9:F16 Z9:Z16 P9:P16 U9:U16 K9:K16" xr:uid="{00000000-0002-0000-05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0"/>
  <sheetViews>
    <sheetView workbookViewId="0">
      <selection activeCell="I13" sqref="I13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3.45312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7</v>
      </c>
      <c r="F9" s="46" t="s">
        <v>173</v>
      </c>
      <c r="G9" s="41" t="s">
        <v>203</v>
      </c>
      <c r="H9" s="62">
        <v>8</v>
      </c>
      <c r="I9" s="62">
        <v>-80</v>
      </c>
      <c r="J9" s="62">
        <v>0</v>
      </c>
      <c r="K9" s="46" t="s">
        <v>181</v>
      </c>
      <c r="L9" s="41" t="s">
        <v>204</v>
      </c>
      <c r="M9" s="62">
        <v>8</v>
      </c>
      <c r="N9" s="62">
        <v>-80</v>
      </c>
      <c r="O9" s="62">
        <v>0</v>
      </c>
      <c r="P9" s="46" t="s">
        <v>178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173</v>
      </c>
      <c r="G10" s="41" t="s">
        <v>205</v>
      </c>
      <c r="H10" s="62">
        <v>6</v>
      </c>
      <c r="I10" s="62">
        <v>-5</v>
      </c>
      <c r="J10" s="62">
        <v>1</v>
      </c>
      <c r="K10" s="46" t="s">
        <v>188</v>
      </c>
      <c r="L10" s="41" t="s">
        <v>206</v>
      </c>
      <c r="M10" s="62">
        <v>6</v>
      </c>
      <c r="N10" s="62">
        <v>-2</v>
      </c>
      <c r="O10" s="62">
        <v>34</v>
      </c>
      <c r="P10" s="46" t="s">
        <v>190</v>
      </c>
      <c r="Q10" s="41" t="s">
        <v>207</v>
      </c>
      <c r="R10" s="62">
        <v>6</v>
      </c>
      <c r="S10" s="62">
        <v>-2</v>
      </c>
      <c r="T10" s="62">
        <v>34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201</v>
      </c>
      <c r="C21" s="62">
        <v>1</v>
      </c>
      <c r="D21" s="62">
        <v>1.0249999999999999</v>
      </c>
      <c r="E21" s="62">
        <v>1.4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2" priority="1" operator="notEqual">
      <formula>MAX($E$9:$E$16)</formula>
    </cfRule>
  </conditionalFormatting>
  <dataValidations count="1">
    <dataValidation type="list" allowBlank="1" showInputMessage="1" showErrorMessage="1" sqref="P9:P16 U9:U16 K9:K16 F9:F16 Z9:Z16" xr:uid="{00000000-0002-0000-06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78"/>
  <sheetViews>
    <sheetView zoomScaleNormal="100" workbookViewId="0">
      <selection activeCell="G13" sqref="G13:U13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208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173</v>
      </c>
      <c r="G9" s="41" t="s">
        <v>179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0</v>
      </c>
      <c r="K10" s="46" t="s">
        <v>184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173</v>
      </c>
      <c r="G11" s="41" t="s">
        <v>197</v>
      </c>
      <c r="H11" s="62">
        <v>7</v>
      </c>
      <c r="I11" s="62">
        <v>-70</v>
      </c>
      <c r="J11" s="62">
        <v>0</v>
      </c>
      <c r="K11" s="46" t="s">
        <v>178</v>
      </c>
      <c r="L11" s="41" t="s">
        <v>196</v>
      </c>
      <c r="M11" s="62">
        <v>7</v>
      </c>
      <c r="N11" s="62">
        <v>-70</v>
      </c>
      <c r="O11" s="62">
        <v>0</v>
      </c>
      <c r="P11" s="46" t="s">
        <v>181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173</v>
      </c>
      <c r="G12" s="41" t="s">
        <v>183</v>
      </c>
      <c r="H12" s="62">
        <v>5</v>
      </c>
      <c r="I12" s="62">
        <v>-60</v>
      </c>
      <c r="J12" s="62">
        <v>0</v>
      </c>
      <c r="K12" s="46" t="s">
        <v>184</v>
      </c>
      <c r="L12" s="41" t="s">
        <v>227</v>
      </c>
      <c r="M12" s="62">
        <v>5</v>
      </c>
      <c r="N12" s="62">
        <v>-2</v>
      </c>
      <c r="O12" s="62">
        <v>0</v>
      </c>
      <c r="P12" s="46" t="s">
        <v>173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173</v>
      </c>
      <c r="G13" s="41" t="s">
        <v>198</v>
      </c>
      <c r="H13" s="62">
        <v>6</v>
      </c>
      <c r="I13" s="62">
        <v>-5</v>
      </c>
      <c r="J13" s="62">
        <v>1</v>
      </c>
      <c r="K13" s="46" t="s">
        <v>188</v>
      </c>
      <c r="L13" s="41" t="s">
        <v>199</v>
      </c>
      <c r="M13" s="62">
        <v>6</v>
      </c>
      <c r="N13" s="62">
        <v>-2</v>
      </c>
      <c r="O13" s="62">
        <v>34</v>
      </c>
      <c r="P13" s="46" t="s">
        <v>190</v>
      </c>
      <c r="Q13" s="41" t="s">
        <v>200</v>
      </c>
      <c r="R13" s="62">
        <v>6</v>
      </c>
      <c r="S13" s="62">
        <v>-2</v>
      </c>
      <c r="T13" s="62">
        <v>34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6" t="s">
        <v>64</v>
      </c>
      <c r="B16" s="236"/>
      <c r="C16" s="236"/>
      <c r="D16" s="236"/>
      <c r="E16" s="236"/>
      <c r="F16" s="236"/>
      <c r="G16" s="236"/>
      <c r="H16" s="236"/>
      <c r="I16" s="236"/>
      <c r="J16" s="236"/>
      <c r="L16" s="236" t="s">
        <v>65</v>
      </c>
      <c r="M16" s="236"/>
    </row>
    <row r="17" spans="2:17" ht="15" customHeight="1" x14ac:dyDescent="0.35">
      <c r="B17" s="199" t="s">
        <v>37</v>
      </c>
      <c r="C17" s="197"/>
      <c r="D17" s="197"/>
      <c r="E17" s="198"/>
      <c r="G17" s="239" t="s">
        <v>68</v>
      </c>
      <c r="H17" s="239"/>
      <c r="I17" s="239"/>
      <c r="J17" s="239"/>
      <c r="L17" s="41" t="s">
        <v>92</v>
      </c>
      <c r="M17" s="240" t="s">
        <v>66</v>
      </c>
      <c r="N17" s="241"/>
      <c r="O17" s="241"/>
      <c r="P17" s="241"/>
      <c r="Q17" s="241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40"/>
      <c r="N18" s="241"/>
      <c r="O18" s="241"/>
      <c r="P18" s="241"/>
      <c r="Q18" s="241"/>
    </row>
    <row r="19" spans="2:17" x14ac:dyDescent="0.35">
      <c r="B19" s="41" t="s">
        <v>176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176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176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176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21" priority="1" operator="notEqual">
      <formula>MAX($E$9:$E$14)</formula>
    </cfRule>
  </conditionalFormatting>
  <dataValidations count="1">
    <dataValidation type="list" allowBlank="1" showInputMessage="1" showErrorMessage="1" sqref="K9:K14 U9:U14 Z9:Z14 F9:F14 P9:P14" xr:uid="{00000000-0002-0000-07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8"/>
  <sheetViews>
    <sheetView topLeftCell="E1" workbookViewId="0">
      <selection activeCell="N12" sqref="N12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211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173</v>
      </c>
      <c r="G9" s="41" t="s">
        <v>212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173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184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173</v>
      </c>
      <c r="G11" s="41" t="s">
        <v>204</v>
      </c>
      <c r="H11" s="62">
        <v>7</v>
      </c>
      <c r="I11" s="62">
        <v>-70</v>
      </c>
      <c r="J11" s="62">
        <v>0</v>
      </c>
      <c r="K11" s="46" t="s">
        <v>178</v>
      </c>
      <c r="L11" s="41" t="s">
        <v>203</v>
      </c>
      <c r="M11" s="62">
        <v>7</v>
      </c>
      <c r="N11" s="62">
        <v>-70</v>
      </c>
      <c r="O11" s="62">
        <v>0</v>
      </c>
      <c r="P11" s="46" t="s">
        <v>181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173</v>
      </c>
      <c r="G12" s="41" t="s">
        <v>214</v>
      </c>
      <c r="H12" s="62">
        <v>5</v>
      </c>
      <c r="I12" s="62">
        <v>-60</v>
      </c>
      <c r="J12" s="62">
        <v>0</v>
      </c>
      <c r="K12" s="46" t="s">
        <v>184</v>
      </c>
      <c r="L12" s="41" t="s">
        <v>228</v>
      </c>
      <c r="M12" s="62">
        <v>5</v>
      </c>
      <c r="N12" s="62">
        <v>-2</v>
      </c>
      <c r="O12" s="62">
        <v>0</v>
      </c>
      <c r="P12" s="46" t="s">
        <v>173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173</v>
      </c>
      <c r="G13" s="41" t="s">
        <v>215</v>
      </c>
      <c r="H13" s="62">
        <v>3</v>
      </c>
      <c r="I13" s="62">
        <v>0</v>
      </c>
      <c r="J13" s="62">
        <v>30</v>
      </c>
      <c r="K13" s="46" t="s">
        <v>190</v>
      </c>
      <c r="L13" s="41" t="s">
        <v>216</v>
      </c>
      <c r="M13" s="62">
        <v>3</v>
      </c>
      <c r="N13" s="62">
        <v>0</v>
      </c>
      <c r="O13" s="62">
        <v>30</v>
      </c>
      <c r="P13" s="46" t="s">
        <v>178</v>
      </c>
      <c r="Q13" s="41" t="s">
        <v>217</v>
      </c>
      <c r="R13" s="62">
        <v>3</v>
      </c>
      <c r="S13" s="62">
        <v>0</v>
      </c>
      <c r="T13" s="62">
        <v>30</v>
      </c>
      <c r="U13" s="46" t="s">
        <v>181</v>
      </c>
      <c r="V13" s="41" t="s">
        <v>224</v>
      </c>
      <c r="W13" s="62">
        <v>3</v>
      </c>
      <c r="X13" s="62">
        <v>-10</v>
      </c>
      <c r="Y13" s="62">
        <v>0</v>
      </c>
      <c r="Z13" s="46" t="s">
        <v>181</v>
      </c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6" t="s">
        <v>64</v>
      </c>
      <c r="B16" s="236"/>
      <c r="C16" s="236"/>
      <c r="D16" s="236"/>
      <c r="E16" s="236"/>
      <c r="F16" s="236"/>
      <c r="G16" s="236"/>
      <c r="H16" s="236"/>
      <c r="I16" s="236"/>
      <c r="J16" s="236"/>
      <c r="L16" s="236" t="s">
        <v>65</v>
      </c>
      <c r="M16" s="236"/>
    </row>
    <row r="17" spans="2:17" ht="15" customHeight="1" x14ac:dyDescent="0.35">
      <c r="B17" s="199" t="s">
        <v>37</v>
      </c>
      <c r="C17" s="197"/>
      <c r="D17" s="197"/>
      <c r="E17" s="198"/>
      <c r="G17" s="239" t="s">
        <v>68</v>
      </c>
      <c r="H17" s="239"/>
      <c r="I17" s="239"/>
      <c r="J17" s="239"/>
      <c r="L17" s="41" t="s">
        <v>92</v>
      </c>
      <c r="M17" s="240" t="s">
        <v>66</v>
      </c>
      <c r="N17" s="241"/>
      <c r="O17" s="241"/>
      <c r="P17" s="241"/>
      <c r="Q17" s="241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40"/>
      <c r="N18" s="241"/>
      <c r="O18" s="241"/>
      <c r="P18" s="241"/>
      <c r="Q18" s="241"/>
    </row>
    <row r="19" spans="2:17" x14ac:dyDescent="0.35">
      <c r="B19" s="41" t="s">
        <v>167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167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167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167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20" priority="1" operator="notEqual">
      <formula>MAX($E$9:$E$14)</formula>
    </cfRule>
  </conditionalFormatting>
  <dataValidations count="1">
    <dataValidation type="list" allowBlank="1" showInputMessage="1" showErrorMessage="1" sqref="Z9:Z14 K9:K14 U9:U14 F9:F14 P9:P14" xr:uid="{00000000-0002-0000-08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8"/>
  <sheetViews>
    <sheetView workbookViewId="0">
      <selection activeCell="T13" sqref="T13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9.26953125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22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226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173</v>
      </c>
      <c r="G9" s="41" t="s">
        <v>179</v>
      </c>
      <c r="H9" s="62">
        <v>5</v>
      </c>
      <c r="I9" s="62">
        <v>-70</v>
      </c>
      <c r="J9" s="62">
        <v>-20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60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0</v>
      </c>
      <c r="K10" s="46" t="s">
        <v>184</v>
      </c>
      <c r="L10" s="41" t="s">
        <v>196</v>
      </c>
      <c r="M10" s="62">
        <v>7</v>
      </c>
      <c r="N10" s="62">
        <v>-70</v>
      </c>
      <c r="O10" s="62">
        <v>0</v>
      </c>
      <c r="P10" s="46" t="s">
        <v>181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173</v>
      </c>
      <c r="G11" s="41" t="s">
        <v>197</v>
      </c>
      <c r="H11" s="62">
        <v>5</v>
      </c>
      <c r="I11" s="62">
        <v>-70</v>
      </c>
      <c r="J11" s="62">
        <v>-20</v>
      </c>
      <c r="K11" s="46" t="s">
        <v>178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173</v>
      </c>
      <c r="G12" s="41" t="s">
        <v>183</v>
      </c>
      <c r="H12" s="62">
        <v>5</v>
      </c>
      <c r="I12" s="62">
        <v>-200</v>
      </c>
      <c r="J12" s="62">
        <v>0</v>
      </c>
      <c r="K12" s="46" t="s">
        <v>184</v>
      </c>
      <c r="L12" s="41" t="s">
        <v>227</v>
      </c>
      <c r="M12" s="62">
        <v>5</v>
      </c>
      <c r="N12" s="62">
        <v>-2</v>
      </c>
      <c r="O12" s="62">
        <v>0</v>
      </c>
      <c r="P12" s="46" t="s">
        <v>173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60</v>
      </c>
      <c r="F13" s="46" t="s">
        <v>173</v>
      </c>
      <c r="G13" s="41" t="s">
        <v>198</v>
      </c>
      <c r="H13" s="62">
        <v>4</v>
      </c>
      <c r="I13" s="62">
        <v>-20</v>
      </c>
      <c r="J13" s="62">
        <v>0</v>
      </c>
      <c r="K13" s="46" t="s">
        <v>188</v>
      </c>
      <c r="L13" s="41" t="s">
        <v>199</v>
      </c>
      <c r="M13" s="62">
        <v>4</v>
      </c>
      <c r="N13" s="62">
        <v>0</v>
      </c>
      <c r="O13" s="62">
        <v>40</v>
      </c>
      <c r="P13" s="46" t="s">
        <v>190</v>
      </c>
      <c r="Q13" s="41" t="s">
        <v>200</v>
      </c>
      <c r="R13" s="62">
        <v>4</v>
      </c>
      <c r="S13" s="62">
        <v>0</v>
      </c>
      <c r="T13" s="62">
        <v>12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6" t="s">
        <v>64</v>
      </c>
      <c r="B16" s="236"/>
      <c r="C16" s="236"/>
      <c r="D16" s="236"/>
      <c r="E16" s="236"/>
      <c r="F16" s="236"/>
      <c r="G16" s="236"/>
      <c r="H16" s="236"/>
      <c r="I16" s="236"/>
      <c r="J16" s="236"/>
      <c r="L16" s="236" t="s">
        <v>65</v>
      </c>
      <c r="M16" s="236"/>
    </row>
    <row r="17" spans="2:17" ht="15" customHeight="1" x14ac:dyDescent="0.35">
      <c r="B17" s="199" t="s">
        <v>37</v>
      </c>
      <c r="C17" s="197"/>
      <c r="D17" s="197"/>
      <c r="E17" s="198"/>
      <c r="G17" s="239" t="s">
        <v>68</v>
      </c>
      <c r="H17" s="239"/>
      <c r="I17" s="239"/>
      <c r="J17" s="239"/>
      <c r="L17" s="41" t="s">
        <v>92</v>
      </c>
      <c r="M17" s="240" t="s">
        <v>66</v>
      </c>
      <c r="N17" s="241"/>
      <c r="O17" s="241"/>
      <c r="P17" s="241"/>
      <c r="Q17" s="241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40"/>
      <c r="N18" s="241"/>
      <c r="O18" s="241"/>
      <c r="P18" s="241"/>
      <c r="Q18" s="241"/>
    </row>
    <row r="19" spans="2:17" x14ac:dyDescent="0.35">
      <c r="B19" s="41" t="s">
        <v>176</v>
      </c>
      <c r="C19" s="62">
        <v>1</v>
      </c>
      <c r="D19" s="62">
        <v>60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/>
      <c r="C20" s="62"/>
      <c r="D20" s="62"/>
      <c r="E20" s="62"/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9" priority="1" operator="notEqual">
      <formula>MAX($E$9:$E$14)</formula>
    </cfRule>
  </conditionalFormatting>
  <dataValidations count="1">
    <dataValidation type="list" allowBlank="1" showInputMessage="1" showErrorMessage="1" sqref="U9:U14 K9:K14 Z9:Z14 F9:F14 P9:P14" xr:uid="{00000000-0002-0000-09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78"/>
  <sheetViews>
    <sheetView workbookViewId="0">
      <selection activeCell="B20" sqref="B20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225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100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20</v>
      </c>
      <c r="D9" s="62">
        <v>0</v>
      </c>
      <c r="E9" s="62">
        <v>100</v>
      </c>
      <c r="F9" s="46" t="s">
        <v>173</v>
      </c>
      <c r="G9" s="41" t="s">
        <v>212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20</v>
      </c>
      <c r="D10" s="62">
        <v>0</v>
      </c>
      <c r="E10" s="62">
        <v>100</v>
      </c>
      <c r="F10" s="46" t="s">
        <v>173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184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6" t="s">
        <v>64</v>
      </c>
      <c r="B16" s="236"/>
      <c r="C16" s="236"/>
      <c r="D16" s="236"/>
      <c r="E16" s="236"/>
      <c r="F16" s="236"/>
      <c r="G16" s="236"/>
      <c r="H16" s="236"/>
      <c r="I16" s="236"/>
      <c r="J16" s="236"/>
      <c r="L16" s="236" t="s">
        <v>65</v>
      </c>
      <c r="M16" s="236"/>
    </row>
    <row r="17" spans="2:17" ht="15" customHeight="1" x14ac:dyDescent="0.35">
      <c r="B17" s="199" t="s">
        <v>37</v>
      </c>
      <c r="C17" s="197"/>
      <c r="D17" s="197"/>
      <c r="E17" s="198"/>
      <c r="G17" s="239" t="s">
        <v>68</v>
      </c>
      <c r="H17" s="239"/>
      <c r="I17" s="239"/>
      <c r="J17" s="239"/>
      <c r="L17" s="41" t="s">
        <v>92</v>
      </c>
      <c r="M17" s="240" t="s">
        <v>66</v>
      </c>
      <c r="N17" s="241"/>
      <c r="O17" s="241"/>
      <c r="P17" s="241"/>
      <c r="Q17" s="241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40"/>
      <c r="N18" s="241"/>
      <c r="O18" s="241"/>
      <c r="P18" s="241"/>
      <c r="Q18" s="241"/>
    </row>
    <row r="19" spans="2:17" x14ac:dyDescent="0.35">
      <c r="B19" s="41" t="s">
        <v>167</v>
      </c>
      <c r="C19" s="62">
        <v>1</v>
      </c>
      <c r="D19" s="62">
        <v>99</v>
      </c>
      <c r="E19" s="62">
        <v>1</v>
      </c>
      <c r="G19" s="62"/>
      <c r="H19" s="62"/>
      <c r="I19" s="62"/>
      <c r="J19" s="62"/>
      <c r="L19" s="41"/>
      <c r="M19" s="14"/>
    </row>
    <row r="20" spans="2:17" x14ac:dyDescent="0.35">
      <c r="B20" s="41" t="s">
        <v>169</v>
      </c>
      <c r="C20" s="62">
        <v>1</v>
      </c>
      <c r="D20" s="62">
        <v>99</v>
      </c>
      <c r="E20" s="62">
        <v>1</v>
      </c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8" priority="1" operator="notEqual">
      <formula>MAX($E$9:$E$14)</formula>
    </cfRule>
  </conditionalFormatting>
  <dataValidations count="1">
    <dataValidation type="list" allowBlank="1" showInputMessage="1" showErrorMessage="1" sqref="P9:P14 K9:K14 U9:U14 F9:F14 Z9:Z14" xr:uid="{00000000-0002-0000-0A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218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188</v>
      </c>
      <c r="G9" s="41" t="s">
        <v>179</v>
      </c>
      <c r="H9" s="62">
        <v>6</v>
      </c>
      <c r="I9" s="62">
        <v>-70</v>
      </c>
      <c r="J9" s="62">
        <v>-10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180</v>
      </c>
      <c r="M10" s="62">
        <v>7</v>
      </c>
      <c r="N10" s="62">
        <v>-70</v>
      </c>
      <c r="O10" s="62">
        <v>0</v>
      </c>
      <c r="P10" s="46" t="s">
        <v>181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182</v>
      </c>
      <c r="G11" s="41" t="s">
        <v>183</v>
      </c>
      <c r="H11" s="62">
        <v>5</v>
      </c>
      <c r="I11" s="62">
        <v>-2.0009999999999999</v>
      </c>
      <c r="J11" s="62">
        <v>1E-3</v>
      </c>
      <c r="K11" s="46" t="s">
        <v>184</v>
      </c>
      <c r="L11" s="41" t="s">
        <v>185</v>
      </c>
      <c r="M11" s="62">
        <v>5</v>
      </c>
      <c r="N11" s="62">
        <v>-2.0009999999999999</v>
      </c>
      <c r="O11" s="62">
        <v>1E-3</v>
      </c>
      <c r="P11" s="46" t="s">
        <v>173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182</v>
      </c>
      <c r="G12" s="41" t="s">
        <v>180</v>
      </c>
      <c r="H12" s="62">
        <v>5</v>
      </c>
      <c r="I12" s="62">
        <v>-70</v>
      </c>
      <c r="J12" s="62">
        <v>30</v>
      </c>
      <c r="K12" s="46" t="s">
        <v>181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168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168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168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168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7" priority="1" operator="notEqual">
      <formula>MAX($E$9:$E$16)</formula>
    </cfRule>
  </conditionalFormatting>
  <dataValidations count="1">
    <dataValidation type="list" allowBlank="1" showInputMessage="1" showErrorMessage="1" sqref="Z9:Z16 U9:U16 F9:F16 K9:K16 P9:P16" xr:uid="{00000000-0002-0000-0B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80"/>
  <sheetViews>
    <sheetView workbookViewId="0">
      <selection activeCell="C28" sqref="C28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188</v>
      </c>
      <c r="G9" s="41" t="s">
        <v>212</v>
      </c>
      <c r="H9" s="62">
        <v>6</v>
      </c>
      <c r="I9" s="62">
        <v>-70</v>
      </c>
      <c r="J9" s="62">
        <v>-10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173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220</v>
      </c>
      <c r="M10" s="62">
        <v>7</v>
      </c>
      <c r="N10" s="62">
        <v>-70</v>
      </c>
      <c r="O10" s="62">
        <v>0</v>
      </c>
      <c r="P10" s="46" t="s">
        <v>181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182</v>
      </c>
      <c r="G11" s="41" t="s">
        <v>214</v>
      </c>
      <c r="H11" s="62">
        <v>5</v>
      </c>
      <c r="I11" s="62">
        <v>-2.0009999999999999</v>
      </c>
      <c r="J11" s="62">
        <v>1E-3</v>
      </c>
      <c r="K11" s="46" t="s">
        <v>184</v>
      </c>
      <c r="L11" s="41" t="s">
        <v>221</v>
      </c>
      <c r="M11" s="62">
        <v>5</v>
      </c>
      <c r="N11" s="62">
        <v>-2.0009999999999999</v>
      </c>
      <c r="O11" s="62">
        <v>1E-3</v>
      </c>
      <c r="P11" s="46" t="s">
        <v>173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182</v>
      </c>
      <c r="G12" s="41" t="s">
        <v>220</v>
      </c>
      <c r="H12" s="62">
        <v>5</v>
      </c>
      <c r="I12" s="62">
        <v>-70</v>
      </c>
      <c r="J12" s="62">
        <v>30</v>
      </c>
      <c r="K12" s="46" t="s">
        <v>181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169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169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169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169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6" priority="1" operator="notEqual">
      <formula>MAX($E$9:$E$16)</formula>
    </cfRule>
  </conditionalFormatting>
  <dataValidations disablePrompts="1" count="1">
    <dataValidation type="list" allowBlank="1" showInputMessage="1" showErrorMessage="1" sqref="Z9:Z16 U9:U16 F9:F16 K9:K16 P9:P16" xr:uid="{00000000-0002-0000-0C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222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1.1599999999999999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0.96</v>
      </c>
      <c r="E9" s="62">
        <v>1.1599999999999999</v>
      </c>
      <c r="F9" s="46" t="s">
        <v>173</v>
      </c>
      <c r="G9" s="41" t="s">
        <v>179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0.96</v>
      </c>
      <c r="E10" s="62">
        <v>1.1599999999999999</v>
      </c>
      <c r="F10" s="46" t="s">
        <v>173</v>
      </c>
      <c r="G10" s="41" t="s">
        <v>189</v>
      </c>
      <c r="H10" s="62">
        <v>5</v>
      </c>
      <c r="I10" s="62">
        <v>0</v>
      </c>
      <c r="J10" s="62">
        <v>500</v>
      </c>
      <c r="K10" s="46" t="s">
        <v>190</v>
      </c>
      <c r="L10" s="41" t="s">
        <v>191</v>
      </c>
      <c r="M10" s="62">
        <v>5</v>
      </c>
      <c r="N10" s="62">
        <v>0</v>
      </c>
      <c r="O10" s="62">
        <v>50</v>
      </c>
      <c r="P10" s="46" t="s">
        <v>178</v>
      </c>
      <c r="Q10" s="41" t="s">
        <v>192</v>
      </c>
      <c r="R10" s="62">
        <v>5</v>
      </c>
      <c r="S10" s="62">
        <v>0</v>
      </c>
      <c r="T10" s="62">
        <v>500</v>
      </c>
      <c r="U10" s="46" t="s">
        <v>181</v>
      </c>
      <c r="V10" s="41"/>
      <c r="W10" s="62"/>
      <c r="X10" s="62"/>
      <c r="Y10" s="62"/>
      <c r="Z10" s="46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/>
      <c r="C21" s="62"/>
      <c r="D21" s="62"/>
      <c r="E21" s="62"/>
      <c r="G21" s="62" t="s">
        <v>168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168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168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5" priority="1" operator="notEqual">
      <formula>MAX($E$9:$E$16)</formula>
    </cfRule>
  </conditionalFormatting>
  <dataValidations count="1">
    <dataValidation type="list" allowBlank="1" showInputMessage="1" showErrorMessage="1" sqref="U9:U16 F9:F16 K9:K16 P9:P16 Z9:Z16" xr:uid="{00000000-0002-0000-0D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80"/>
  <sheetViews>
    <sheetView zoomScale="70" zoomScaleNormal="70" workbookViewId="0">
      <selection activeCell="L46" sqref="L46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223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5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</v>
      </c>
      <c r="E9" s="62">
        <v>5</v>
      </c>
      <c r="F9" s="46" t="s">
        <v>173</v>
      </c>
      <c r="G9" s="41" t="s">
        <v>212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</v>
      </c>
      <c r="E10" s="62">
        <v>5</v>
      </c>
      <c r="F10" s="46" t="s">
        <v>173</v>
      </c>
      <c r="G10" s="41" t="s">
        <v>215</v>
      </c>
      <c r="H10" s="62">
        <v>5</v>
      </c>
      <c r="I10" s="62">
        <v>0</v>
      </c>
      <c r="J10" s="62">
        <v>500</v>
      </c>
      <c r="K10" s="46" t="s">
        <v>190</v>
      </c>
      <c r="L10" s="41" t="s">
        <v>216</v>
      </c>
      <c r="M10" s="62">
        <v>5</v>
      </c>
      <c r="N10" s="62">
        <v>0</v>
      </c>
      <c r="O10" s="62">
        <v>50</v>
      </c>
      <c r="P10" s="46" t="s">
        <v>178</v>
      </c>
      <c r="Q10" s="41" t="s">
        <v>217</v>
      </c>
      <c r="R10" s="62">
        <v>5</v>
      </c>
      <c r="S10" s="62">
        <v>0</v>
      </c>
      <c r="T10" s="62">
        <v>500</v>
      </c>
      <c r="U10" s="46" t="s">
        <v>181</v>
      </c>
      <c r="V10" s="41"/>
      <c r="W10" s="62"/>
      <c r="X10" s="62"/>
      <c r="Y10" s="62"/>
      <c r="Z10" s="46"/>
    </row>
    <row r="11" spans="1:26" x14ac:dyDescent="0.35">
      <c r="A11" s="45">
        <v>1</v>
      </c>
      <c r="B11" s="60" t="s">
        <v>31</v>
      </c>
      <c r="C11" s="62">
        <v>5</v>
      </c>
      <c r="D11" s="62">
        <v>0</v>
      </c>
      <c r="E11" s="62">
        <v>5</v>
      </c>
      <c r="F11" s="46" t="s">
        <v>173</v>
      </c>
      <c r="G11" s="41" t="s">
        <v>224</v>
      </c>
      <c r="H11" s="62">
        <v>5</v>
      </c>
      <c r="I11" s="62">
        <v>-500</v>
      </c>
      <c r="J11" s="62">
        <v>0</v>
      </c>
      <c r="K11" s="46" t="s">
        <v>182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/>
      <c r="C21" s="62"/>
      <c r="D21" s="62"/>
      <c r="E21" s="62"/>
      <c r="G21" s="62" t="s">
        <v>169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169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169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4" priority="1" operator="notEqual">
      <formula>MAX($E$9:$E$16)</formula>
    </cfRule>
  </conditionalFormatting>
  <dataValidations count="1">
    <dataValidation type="list" allowBlank="1" showInputMessage="1" showErrorMessage="1" sqref="U9:U16 K9:K16 Z9:Z16 P9:P16 F9:F16" xr:uid="{00000000-0002-0000-0E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80"/>
  <sheetViews>
    <sheetView workbookViewId="0">
      <selection activeCell="E10" sqref="E10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6" t="s">
        <v>69</v>
      </c>
      <c r="G1" s="236"/>
      <c r="H1" s="236"/>
      <c r="I1" s="236"/>
      <c r="J1" s="236"/>
      <c r="K1" s="236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193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187</v>
      </c>
      <c r="N6" s="34" t="s">
        <v>137</v>
      </c>
    </row>
    <row r="7" spans="1:26" ht="15" thickBot="1" x14ac:dyDescent="0.4">
      <c r="B7" s="233" t="s">
        <v>31</v>
      </c>
      <c r="C7" s="234"/>
      <c r="D7" s="234"/>
      <c r="E7" s="234"/>
      <c r="F7" s="237"/>
      <c r="G7" s="238" t="s">
        <v>35</v>
      </c>
      <c r="H7" s="234"/>
      <c r="I7" s="234"/>
      <c r="J7" s="234"/>
      <c r="K7" s="235"/>
      <c r="L7" s="233" t="s">
        <v>41</v>
      </c>
      <c r="M7" s="234"/>
      <c r="N7" s="234"/>
      <c r="O7" s="234"/>
      <c r="P7" s="235"/>
      <c r="Q7" s="233" t="s">
        <v>42</v>
      </c>
      <c r="R7" s="234"/>
      <c r="S7" s="234"/>
      <c r="T7" s="234"/>
      <c r="U7" s="235"/>
      <c r="V7" s="233" t="s">
        <v>43</v>
      </c>
      <c r="W7" s="234"/>
      <c r="X7" s="234"/>
      <c r="Y7" s="234"/>
      <c r="Z7" s="235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173</v>
      </c>
      <c r="G9" s="41" t="s">
        <v>179</v>
      </c>
      <c r="H9" s="62">
        <v>7</v>
      </c>
      <c r="I9" s="62">
        <v>-70</v>
      </c>
      <c r="J9" s="62">
        <v>0</v>
      </c>
      <c r="K9" s="46" t="s">
        <v>188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10</v>
      </c>
      <c r="E10" s="62">
        <v>22</v>
      </c>
      <c r="F10" s="46" t="s">
        <v>173</v>
      </c>
      <c r="G10" s="41" t="s">
        <v>177</v>
      </c>
      <c r="H10" s="62">
        <v>7</v>
      </c>
      <c r="I10" s="62">
        <v>-70</v>
      </c>
      <c r="J10" s="62">
        <v>-35</v>
      </c>
      <c r="K10" s="46" t="s">
        <v>173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173</v>
      </c>
      <c r="G11" s="41" t="s">
        <v>183</v>
      </c>
      <c r="H11" s="62">
        <v>5</v>
      </c>
      <c r="I11" s="62">
        <v>-2.0009999999999999</v>
      </c>
      <c r="J11" s="62">
        <v>1E-3</v>
      </c>
      <c r="K11" s="46" t="s">
        <v>184</v>
      </c>
      <c r="L11" s="41" t="s">
        <v>185</v>
      </c>
      <c r="M11" s="62">
        <v>5</v>
      </c>
      <c r="N11" s="62">
        <v>-2.0009999999999999</v>
      </c>
      <c r="O11" s="62">
        <v>1E-3</v>
      </c>
      <c r="P11" s="46" t="s">
        <v>173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173</v>
      </c>
      <c r="G12" s="41" t="s">
        <v>189</v>
      </c>
      <c r="H12" s="62">
        <v>3</v>
      </c>
      <c r="I12" s="62">
        <v>0</v>
      </c>
      <c r="J12" s="62">
        <v>30</v>
      </c>
      <c r="K12" s="46" t="s">
        <v>190</v>
      </c>
      <c r="L12" s="41" t="s">
        <v>191</v>
      </c>
      <c r="M12" s="62">
        <v>3</v>
      </c>
      <c r="N12" s="62">
        <v>0</v>
      </c>
      <c r="O12" s="62">
        <v>30</v>
      </c>
      <c r="P12" s="46" t="s">
        <v>178</v>
      </c>
      <c r="Q12" s="41" t="s">
        <v>192</v>
      </c>
      <c r="R12" s="62">
        <v>3</v>
      </c>
      <c r="S12" s="62">
        <v>0</v>
      </c>
      <c r="T12" s="62">
        <v>30</v>
      </c>
      <c r="U12" s="46" t="s">
        <v>181</v>
      </c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6" t="s">
        <v>64</v>
      </c>
      <c r="B18" s="236"/>
      <c r="C18" s="236"/>
      <c r="D18" s="236"/>
      <c r="E18" s="236"/>
      <c r="F18" s="236"/>
      <c r="G18" s="236"/>
      <c r="H18" s="236"/>
      <c r="I18" s="236"/>
      <c r="J18" s="236"/>
      <c r="L18" s="236" t="s">
        <v>65</v>
      </c>
      <c r="M18" s="236"/>
    </row>
    <row r="19" spans="1:17" ht="15" customHeight="1" x14ac:dyDescent="0.35">
      <c r="B19" s="199" t="s">
        <v>37</v>
      </c>
      <c r="C19" s="197"/>
      <c r="D19" s="197"/>
      <c r="E19" s="198"/>
      <c r="G19" s="239" t="s">
        <v>68</v>
      </c>
      <c r="H19" s="239"/>
      <c r="I19" s="239"/>
      <c r="J19" s="239"/>
      <c r="L19" s="41" t="s">
        <v>92</v>
      </c>
      <c r="M19" s="240" t="s">
        <v>66</v>
      </c>
      <c r="N19" s="241"/>
      <c r="O19" s="241"/>
      <c r="P19" s="241"/>
      <c r="Q19" s="241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40"/>
      <c r="N20" s="241"/>
      <c r="O20" s="241"/>
      <c r="P20" s="241"/>
      <c r="Q20" s="241"/>
    </row>
    <row r="21" spans="1:17" x14ac:dyDescent="0.35">
      <c r="B21" s="41" t="s">
        <v>176</v>
      </c>
      <c r="C21" s="62">
        <v>1</v>
      </c>
      <c r="D21" s="62">
        <v>6</v>
      </c>
      <c r="E21" s="62">
        <v>0.63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3" priority="1" operator="notEqual">
      <formula>MAX($E$9:$E$16)</formula>
    </cfRule>
  </conditionalFormatting>
  <dataValidations count="1">
    <dataValidation type="list" allowBlank="1" showInputMessage="1" showErrorMessage="1" sqref="U9:U16 P9:P16 Z9:Z16 K9:K16 F9:F16" xr:uid="{00000000-0002-0000-0F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76"/>
  <sheetViews>
    <sheetView topLeftCell="A24" zoomScale="85" zoomScaleNormal="85" workbookViewId="0">
      <selection activeCell="V2" sqref="V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/>
      <c r="W2" s="98">
        <f>Neu!$B24</f>
        <v>0</v>
      </c>
    </row>
    <row r="3" spans="1:30" ht="14.25" customHeight="1" x14ac:dyDescent="0.35">
      <c r="A3" s="246" t="s">
        <v>5</v>
      </c>
      <c r="B3" s="242" t="str">
        <f>Neu!B4</f>
        <v>B63ls</v>
      </c>
      <c r="C3" s="111"/>
      <c r="D3" s="112"/>
      <c r="E3" s="112"/>
      <c r="F3" s="112"/>
      <c r="G3" s="112"/>
      <c r="H3" s="113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3"/>
      <c r="C4" s="115"/>
      <c r="D4" s="109"/>
      <c r="E4" s="109"/>
      <c r="F4" s="109"/>
      <c r="G4" s="109"/>
      <c r="H4" s="100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0"/>
      <c r="T4" s="109"/>
      <c r="U4" s="109"/>
      <c r="V4" s="109"/>
      <c r="W4" s="116"/>
      <c r="X4" s="134" t="s">
        <v>162</v>
      </c>
      <c r="Y4" s="136">
        <f>MAX($C$3:$W$44)-(ROW(Y4)-4)*0.5</f>
        <v>18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4" t="str">
        <f>Neu!B5</f>
        <v>B63la</v>
      </c>
      <c r="C5" s="117"/>
      <c r="D5" s="106"/>
      <c r="E5" s="108">
        <v>0.4</v>
      </c>
      <c r="F5" s="108"/>
      <c r="G5" s="141"/>
      <c r="H5" s="101"/>
      <c r="I5" s="108"/>
      <c r="J5" s="108"/>
      <c r="K5" s="141"/>
      <c r="L5" s="108"/>
      <c r="M5" s="108"/>
      <c r="N5" s="108"/>
      <c r="O5" s="108"/>
      <c r="P5" s="108"/>
      <c r="Q5" s="108"/>
      <c r="R5" s="108"/>
      <c r="S5" s="101"/>
      <c r="T5" s="108"/>
      <c r="U5" s="108"/>
      <c r="V5" s="108"/>
      <c r="W5" s="118"/>
      <c r="X5" s="64"/>
      <c r="Y5" s="136">
        <f t="shared" ref="Y5:Y26" si="0">MAX($C$3:$W$44)-(ROW(Y5)-4)*0.5</f>
        <v>17.5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3"/>
      <c r="C6" s="119"/>
      <c r="D6" s="110"/>
      <c r="E6" s="94">
        <v>18</v>
      </c>
      <c r="F6" s="94">
        <v>0</v>
      </c>
      <c r="G6" s="142">
        <v>0</v>
      </c>
      <c r="H6" s="95"/>
      <c r="I6" s="94"/>
      <c r="J6" s="94"/>
      <c r="K6" s="142"/>
      <c r="L6" s="94"/>
      <c r="M6" s="94"/>
      <c r="N6" s="94"/>
      <c r="O6" s="94"/>
      <c r="P6" s="94"/>
      <c r="Q6" s="94"/>
      <c r="R6" s="94"/>
      <c r="S6" s="95"/>
      <c r="T6" s="94"/>
      <c r="U6" s="94"/>
      <c r="V6" s="94"/>
      <c r="W6" s="96"/>
      <c r="X6" s="64"/>
      <c r="Y6" s="136">
        <f t="shared" si="0"/>
        <v>17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4" t="str">
        <f>Neu!B6</f>
        <v>B31rs</v>
      </c>
      <c r="C7" s="117"/>
      <c r="D7" s="108"/>
      <c r="E7" s="106"/>
      <c r="F7" s="108"/>
      <c r="G7" s="108"/>
      <c r="H7" s="101"/>
      <c r="I7" s="141"/>
      <c r="J7" s="108"/>
      <c r="K7" s="108"/>
      <c r="L7" s="108"/>
      <c r="M7" s="141"/>
      <c r="N7" s="108"/>
      <c r="O7" s="108"/>
      <c r="P7" s="108"/>
      <c r="Q7" s="108"/>
      <c r="R7" s="108"/>
      <c r="S7" s="101"/>
      <c r="T7" s="108"/>
      <c r="U7" s="108"/>
      <c r="V7" s="108"/>
      <c r="W7" s="118"/>
      <c r="X7" s="64"/>
      <c r="Y7" s="136">
        <f t="shared" si="0"/>
        <v>16.5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3"/>
      <c r="C8" s="119"/>
      <c r="D8" s="94"/>
      <c r="E8" s="110"/>
      <c r="F8" s="94"/>
      <c r="G8" s="94"/>
      <c r="H8" s="95"/>
      <c r="I8" s="142"/>
      <c r="J8" s="94"/>
      <c r="K8" s="94"/>
      <c r="L8" s="94"/>
      <c r="M8" s="142"/>
      <c r="N8" s="94"/>
      <c r="O8" s="94"/>
      <c r="P8" s="94"/>
      <c r="Q8" s="94"/>
      <c r="R8" s="94"/>
      <c r="S8" s="95"/>
      <c r="T8" s="94"/>
      <c r="U8" s="94"/>
      <c r="V8" s="94"/>
      <c r="W8" s="96"/>
      <c r="X8" s="64"/>
      <c r="Y8" s="136">
        <f t="shared" si="0"/>
        <v>16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4" t="str">
        <f>Neu!B7</f>
        <v>B64ls</v>
      </c>
      <c r="C9" s="117"/>
      <c r="D9" s="108"/>
      <c r="E9" s="108"/>
      <c r="F9" s="106"/>
      <c r="G9" s="108"/>
      <c r="H9" s="101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1"/>
      <c r="T9" s="108"/>
      <c r="U9" s="108"/>
      <c r="V9" s="108"/>
      <c r="W9" s="118"/>
      <c r="X9" s="64"/>
      <c r="Y9" s="136">
        <f t="shared" si="0"/>
        <v>15.5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3"/>
      <c r="C10" s="119"/>
      <c r="D10" s="94"/>
      <c r="E10" s="94"/>
      <c r="F10" s="110"/>
      <c r="G10" s="94"/>
      <c r="H10" s="95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5"/>
      <c r="T10" s="94"/>
      <c r="U10" s="94"/>
      <c r="V10" s="94"/>
      <c r="W10" s="96"/>
      <c r="X10" s="64"/>
      <c r="Y10" s="136">
        <f t="shared" si="0"/>
        <v>15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4" t="str">
        <f>Neu!B8</f>
        <v>B64la</v>
      </c>
      <c r="C11" s="117"/>
      <c r="D11" s="108"/>
      <c r="E11" s="108"/>
      <c r="F11" s="108"/>
      <c r="G11" s="106"/>
      <c r="H11" s="101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1"/>
      <c r="T11" s="108"/>
      <c r="U11" s="108"/>
      <c r="V11" s="108"/>
      <c r="W11" s="118"/>
      <c r="X11" s="64"/>
      <c r="Y11" s="136">
        <f t="shared" si="0"/>
        <v>14.5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3"/>
      <c r="C12" s="119">
        <v>0</v>
      </c>
      <c r="D12" s="94">
        <v>0</v>
      </c>
      <c r="E12" s="94">
        <v>0</v>
      </c>
      <c r="F12" s="94"/>
      <c r="G12" s="110"/>
      <c r="H12" s="95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/>
      <c r="T12" s="94"/>
      <c r="U12" s="94"/>
      <c r="V12" s="94"/>
      <c r="W12" s="96"/>
      <c r="X12" s="64"/>
      <c r="Y12" s="136">
        <f t="shared" si="0"/>
        <v>14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4" t="str">
        <f>Neu!B9</f>
        <v>B63rs</v>
      </c>
      <c r="C13" s="117"/>
      <c r="D13" s="108"/>
      <c r="E13" s="108"/>
      <c r="F13" s="108"/>
      <c r="G13" s="108"/>
      <c r="H13" s="99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1"/>
      <c r="T13" s="108"/>
      <c r="U13" s="108"/>
      <c r="V13" s="108"/>
      <c r="W13" s="118"/>
      <c r="X13" s="64"/>
      <c r="Y13" s="136">
        <f t="shared" si="0"/>
        <v>13.5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3"/>
      <c r="C14" s="120"/>
      <c r="D14" s="109"/>
      <c r="E14" s="109"/>
      <c r="F14" s="109"/>
      <c r="G14" s="109"/>
      <c r="H14" s="102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0"/>
      <c r="T14" s="109"/>
      <c r="U14" s="109"/>
      <c r="V14" s="109"/>
      <c r="W14" s="116"/>
      <c r="X14" s="64"/>
      <c r="Y14" s="136">
        <f t="shared" si="0"/>
        <v>13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4" t="str">
        <f>Neu!B10</f>
        <v>B63ra</v>
      </c>
      <c r="C15" s="117"/>
      <c r="D15" s="108"/>
      <c r="E15" s="108"/>
      <c r="F15" s="108"/>
      <c r="G15" s="108"/>
      <c r="H15" s="101"/>
      <c r="I15" s="106"/>
      <c r="J15" s="108">
        <v>0.4</v>
      </c>
      <c r="K15" s="108"/>
      <c r="L15" s="108"/>
      <c r="M15" s="108"/>
      <c r="N15" s="108"/>
      <c r="O15" s="108"/>
      <c r="P15" s="108"/>
      <c r="Q15" s="108"/>
      <c r="R15" s="108"/>
      <c r="S15" s="101"/>
      <c r="T15" s="108"/>
      <c r="U15" s="108"/>
      <c r="V15" s="108"/>
      <c r="W15" s="118"/>
      <c r="X15" s="64"/>
      <c r="Y15" s="136">
        <f t="shared" si="0"/>
        <v>12.5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3"/>
      <c r="C16" s="119"/>
      <c r="D16" s="94"/>
      <c r="E16" s="94"/>
      <c r="F16" s="94"/>
      <c r="G16" s="94"/>
      <c r="H16" s="95"/>
      <c r="I16" s="110"/>
      <c r="J16" s="94">
        <v>0</v>
      </c>
      <c r="K16" s="94">
        <v>0</v>
      </c>
      <c r="L16" s="94">
        <v>0</v>
      </c>
      <c r="M16" s="94"/>
      <c r="N16" s="94"/>
      <c r="O16" s="94"/>
      <c r="P16" s="94"/>
      <c r="Q16" s="94"/>
      <c r="R16" s="94"/>
      <c r="S16" s="95"/>
      <c r="T16" s="94"/>
      <c r="U16" s="94"/>
      <c r="V16" s="94"/>
      <c r="W16" s="96"/>
      <c r="X16" s="64"/>
      <c r="Y16" s="136">
        <f t="shared" si="0"/>
        <v>12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4" t="str">
        <f>Neu!B11</f>
        <v>B31ls</v>
      </c>
      <c r="C17" s="117"/>
      <c r="D17" s="108"/>
      <c r="E17" s="108"/>
      <c r="F17" s="108"/>
      <c r="G17" s="108"/>
      <c r="H17" s="101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1"/>
      <c r="T17" s="108"/>
      <c r="U17" s="108"/>
      <c r="V17" s="108"/>
      <c r="W17" s="118"/>
      <c r="X17" s="64"/>
      <c r="Y17" s="136">
        <f t="shared" si="0"/>
        <v>11.5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3"/>
      <c r="C18" s="119"/>
      <c r="D18" s="94"/>
      <c r="E18" s="94"/>
      <c r="F18" s="94"/>
      <c r="G18" s="94"/>
      <c r="H18" s="95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5"/>
      <c r="T18" s="94"/>
      <c r="U18" s="94"/>
      <c r="V18" s="94"/>
      <c r="W18" s="96"/>
      <c r="X18" s="64"/>
      <c r="Y18" s="136">
        <f t="shared" si="0"/>
        <v>11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4" t="str">
        <f>Neu!B12</f>
        <v>B64rs</v>
      </c>
      <c r="C19" s="117"/>
      <c r="D19" s="108"/>
      <c r="E19" s="108"/>
      <c r="F19" s="108"/>
      <c r="G19" s="108"/>
      <c r="H19" s="101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1"/>
      <c r="T19" s="108"/>
      <c r="U19" s="108"/>
      <c r="V19" s="108"/>
      <c r="W19" s="118"/>
      <c r="X19" s="64"/>
      <c r="Y19" s="136">
        <f t="shared" si="0"/>
        <v>10.5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3"/>
      <c r="C20" s="119"/>
      <c r="D20" s="94"/>
      <c r="E20" s="94"/>
      <c r="F20" s="94"/>
      <c r="G20" s="94"/>
      <c r="H20" s="95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5"/>
      <c r="T20" s="94"/>
      <c r="U20" s="94"/>
      <c r="V20" s="94"/>
      <c r="W20" s="96"/>
      <c r="X20" s="64"/>
      <c r="Y20" s="136">
        <f t="shared" si="0"/>
        <v>10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4" t="str">
        <f>Neu!B13</f>
        <v>B64ra</v>
      </c>
      <c r="C21" s="117"/>
      <c r="D21" s="108"/>
      <c r="E21" s="108"/>
      <c r="F21" s="108"/>
      <c r="G21" s="108"/>
      <c r="H21" s="101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1"/>
      <c r="T21" s="108"/>
      <c r="U21" s="108"/>
      <c r="V21" s="108"/>
      <c r="W21" s="118"/>
      <c r="X21" s="64"/>
      <c r="Y21" s="136">
        <f t="shared" si="0"/>
        <v>9.5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3"/>
      <c r="C22" s="119"/>
      <c r="D22" s="94"/>
      <c r="E22" s="94"/>
      <c r="F22" s="94"/>
      <c r="G22" s="94"/>
      <c r="H22" s="95">
        <v>0</v>
      </c>
      <c r="I22" s="94">
        <v>0</v>
      </c>
      <c r="J22" s="94">
        <v>0</v>
      </c>
      <c r="K22" s="94"/>
      <c r="L22" s="110"/>
      <c r="M22" s="94"/>
      <c r="N22" s="94"/>
      <c r="O22" s="94"/>
      <c r="P22" s="94"/>
      <c r="Q22" s="94"/>
      <c r="R22" s="94"/>
      <c r="S22" s="95"/>
      <c r="T22" s="94"/>
      <c r="U22" s="94"/>
      <c r="V22" s="94"/>
      <c r="W22" s="96"/>
      <c r="X22" s="64"/>
      <c r="Y22" s="136">
        <f t="shared" si="0"/>
        <v>9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4">
        <f>Neu!B14</f>
        <v>0</v>
      </c>
      <c r="C23" s="117"/>
      <c r="D23" s="108"/>
      <c r="E23" s="108"/>
      <c r="F23" s="108"/>
      <c r="G23" s="108"/>
      <c r="H23" s="101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1"/>
      <c r="T23" s="108"/>
      <c r="U23" s="108"/>
      <c r="V23" s="108"/>
      <c r="W23" s="118"/>
      <c r="X23" s="64"/>
      <c r="Y23" s="136">
        <f t="shared" si="0"/>
        <v>8.5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3"/>
      <c r="C24" s="120"/>
      <c r="D24" s="109"/>
      <c r="E24" s="109"/>
      <c r="F24" s="109"/>
      <c r="G24" s="109"/>
      <c r="H24" s="100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0"/>
      <c r="T24" s="109"/>
      <c r="U24" s="109"/>
      <c r="V24" s="109"/>
      <c r="W24" s="116"/>
      <c r="X24" s="64"/>
      <c r="Y24" s="136">
        <f t="shared" si="0"/>
        <v>8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4">
        <f>Neu!B15</f>
        <v>0</v>
      </c>
      <c r="C25" s="117"/>
      <c r="D25" s="108"/>
      <c r="E25" s="108"/>
      <c r="F25" s="108"/>
      <c r="G25" s="108"/>
      <c r="H25" s="101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1"/>
      <c r="T25" s="108"/>
      <c r="U25" s="108"/>
      <c r="V25" s="108"/>
      <c r="W25" s="118"/>
      <c r="X25" s="64"/>
      <c r="Y25" s="136">
        <f t="shared" si="0"/>
        <v>7.5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3"/>
      <c r="C26" s="119"/>
      <c r="D26" s="94"/>
      <c r="E26" s="94"/>
      <c r="F26" s="94"/>
      <c r="G26" s="94"/>
      <c r="H26" s="95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5"/>
      <c r="T26" s="94"/>
      <c r="U26" s="94"/>
      <c r="V26" s="94"/>
      <c r="W26" s="96"/>
      <c r="X26" s="64"/>
      <c r="Y26" s="136">
        <f t="shared" si="0"/>
        <v>7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4"/>
      <c r="C27" s="117"/>
      <c r="D27" s="108"/>
      <c r="E27" s="108"/>
      <c r="F27" s="108"/>
      <c r="G27" s="108"/>
      <c r="H27" s="101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1"/>
      <c r="T27" s="108"/>
      <c r="U27" s="108"/>
      <c r="V27" s="108"/>
      <c r="W27" s="118"/>
      <c r="X27" s="64"/>
      <c r="Y27" s="64"/>
      <c r="Z27" s="64"/>
      <c r="AA27" s="64"/>
      <c r="AB27" s="64"/>
      <c r="AC27" s="64"/>
      <c r="AD27" s="64"/>
    </row>
    <row r="28" spans="1:30" ht="14.25" customHeight="1" x14ac:dyDescent="0.35">
      <c r="A28" s="246"/>
      <c r="B28" s="243"/>
      <c r="C28" s="119"/>
      <c r="D28" s="94"/>
      <c r="E28" s="94"/>
      <c r="F28" s="94"/>
      <c r="G28" s="94"/>
      <c r="H28" s="95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5"/>
      <c r="T28" s="94"/>
      <c r="U28" s="94"/>
      <c r="V28" s="94"/>
      <c r="W28" s="96"/>
      <c r="X28" s="64"/>
      <c r="Y28" s="64"/>
      <c r="Z28" s="64"/>
      <c r="AA28" s="64"/>
      <c r="AB28" s="64"/>
      <c r="AC28" s="64"/>
      <c r="AD28" s="64"/>
    </row>
    <row r="29" spans="1:30" ht="14.25" customHeight="1" x14ac:dyDescent="0.35">
      <c r="A29" s="246"/>
      <c r="B29" s="244"/>
      <c r="C29" s="117"/>
      <c r="D29" s="108"/>
      <c r="E29" s="108"/>
      <c r="F29" s="108"/>
      <c r="G29" s="108"/>
      <c r="H29" s="101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1"/>
      <c r="T29" s="108"/>
      <c r="U29" s="108"/>
      <c r="V29" s="108"/>
      <c r="W29" s="118"/>
      <c r="X29" s="64"/>
      <c r="Y29" s="64"/>
      <c r="Z29" s="64"/>
      <c r="AA29" s="64"/>
      <c r="AB29" s="64"/>
      <c r="AC29" s="64"/>
      <c r="AD29" s="64"/>
    </row>
    <row r="30" spans="1:30" ht="14.25" customHeight="1" x14ac:dyDescent="0.35">
      <c r="A30" s="246"/>
      <c r="B30" s="243"/>
      <c r="C30" s="120"/>
      <c r="D30" s="109"/>
      <c r="E30" s="109"/>
      <c r="F30" s="109"/>
      <c r="G30" s="109"/>
      <c r="H30" s="100"/>
      <c r="I30" s="109"/>
      <c r="J30" s="109"/>
      <c r="K30" s="109"/>
      <c r="L30" s="109"/>
      <c r="M30" s="109"/>
      <c r="N30" s="109"/>
      <c r="O30" s="109"/>
      <c r="P30" s="107"/>
      <c r="Q30" s="109"/>
      <c r="R30" s="109"/>
      <c r="S30" s="100"/>
      <c r="T30" s="109"/>
      <c r="U30" s="109"/>
      <c r="V30" s="109"/>
      <c r="W30" s="116"/>
      <c r="X30" s="64"/>
      <c r="Y30" s="64"/>
      <c r="Z30" s="64"/>
      <c r="AA30" s="64"/>
      <c r="AB30" s="64"/>
      <c r="AC30" s="64"/>
      <c r="AD30" s="64"/>
    </row>
    <row r="31" spans="1:30" ht="14.25" customHeight="1" x14ac:dyDescent="0.35">
      <c r="A31" s="246"/>
      <c r="B31" s="244"/>
      <c r="C31" s="117"/>
      <c r="D31" s="108"/>
      <c r="E31" s="108"/>
      <c r="F31" s="108"/>
      <c r="G31" s="108"/>
      <c r="H31" s="101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1"/>
      <c r="T31" s="108"/>
      <c r="U31" s="108"/>
      <c r="V31" s="108"/>
      <c r="W31" s="118"/>
      <c r="X31" s="64"/>
      <c r="Y31" s="64"/>
      <c r="Z31" s="64"/>
      <c r="AA31" s="64"/>
      <c r="AB31" s="64"/>
      <c r="AC31" s="64"/>
      <c r="AD31" s="64"/>
    </row>
    <row r="32" spans="1:30" ht="14.25" customHeight="1" x14ac:dyDescent="0.35">
      <c r="A32" s="246"/>
      <c r="B32" s="243"/>
      <c r="C32" s="119"/>
      <c r="D32" s="94"/>
      <c r="E32" s="94"/>
      <c r="F32" s="94"/>
      <c r="G32" s="94"/>
      <c r="H32" s="95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5"/>
      <c r="T32" s="94"/>
      <c r="U32" s="94"/>
      <c r="V32" s="94"/>
      <c r="W32" s="96"/>
      <c r="X32" s="64"/>
      <c r="Y32" s="64"/>
      <c r="Z32" s="64"/>
      <c r="AA32" s="64"/>
      <c r="AB32" s="64"/>
      <c r="AC32" s="64"/>
      <c r="AD32" s="64"/>
    </row>
    <row r="33" spans="1:30" ht="14.25" customHeight="1" x14ac:dyDescent="0.35">
      <c r="A33" s="246"/>
      <c r="B33" s="244"/>
      <c r="C33" s="117"/>
      <c r="D33" s="108"/>
      <c r="E33" s="108"/>
      <c r="F33" s="108"/>
      <c r="G33" s="108"/>
      <c r="H33" s="101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1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3"/>
      <c r="C34" s="119"/>
      <c r="D34" s="94"/>
      <c r="E34" s="94"/>
      <c r="F34" s="94"/>
      <c r="G34" s="94"/>
      <c r="H34" s="95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5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4"/>
      <c r="C35" s="117"/>
      <c r="D35" s="108"/>
      <c r="E35" s="108"/>
      <c r="F35" s="108"/>
      <c r="G35" s="108"/>
      <c r="H35" s="101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99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3"/>
      <c r="C36" s="119"/>
      <c r="D36" s="94"/>
      <c r="E36" s="94"/>
      <c r="F36" s="94"/>
      <c r="G36" s="94"/>
      <c r="H36" s="95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103"/>
      <c r="T36" s="94"/>
      <c r="U36" s="94"/>
      <c r="V36" s="94"/>
      <c r="W36" s="9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4">
        <f>Neu!B16</f>
        <v>0</v>
      </c>
      <c r="C37" s="117"/>
      <c r="D37" s="108"/>
      <c r="E37" s="108"/>
      <c r="F37" s="108"/>
      <c r="G37" s="108"/>
      <c r="H37" s="101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1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3"/>
      <c r="C38" s="120"/>
      <c r="D38" s="109"/>
      <c r="E38" s="109"/>
      <c r="F38" s="109"/>
      <c r="G38" s="109"/>
      <c r="H38" s="100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0"/>
      <c r="T38" s="107"/>
      <c r="U38" s="109"/>
      <c r="V38" s="109"/>
      <c r="W38" s="11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4">
        <f>Neu!B17</f>
        <v>0</v>
      </c>
      <c r="C39" s="117"/>
      <c r="D39" s="108"/>
      <c r="E39" s="108"/>
      <c r="F39" s="108"/>
      <c r="G39" s="108"/>
      <c r="H39" s="101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1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3"/>
      <c r="C40" s="119"/>
      <c r="D40" s="94"/>
      <c r="E40" s="94"/>
      <c r="F40" s="94"/>
      <c r="G40" s="94"/>
      <c r="H40" s="95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5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4"/>
      <c r="C41" s="117"/>
      <c r="D41" s="108"/>
      <c r="E41" s="108"/>
      <c r="F41" s="108"/>
      <c r="G41" s="108"/>
      <c r="H41" s="101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1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3"/>
      <c r="C42" s="119"/>
      <c r="D42" s="94"/>
      <c r="E42" s="94"/>
      <c r="F42" s="94"/>
      <c r="G42" s="94"/>
      <c r="H42" s="95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5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4">
        <f>Neu!B24</f>
        <v>0</v>
      </c>
      <c r="C43" s="117"/>
      <c r="D43" s="108"/>
      <c r="E43" s="108"/>
      <c r="F43" s="108"/>
      <c r="G43" s="108"/>
      <c r="H43" s="101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1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7"/>
      <c r="C44" s="122"/>
      <c r="D44" s="123"/>
      <c r="E44" s="123"/>
      <c r="F44" s="123"/>
      <c r="G44" s="123"/>
      <c r="H44" s="124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4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2" priority="4" operator="equal">
      <formula>0</formula>
    </cfRule>
  </conditionalFormatting>
  <conditionalFormatting sqref="C2:W2">
    <cfRule type="cellIs" dxfId="11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0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6"/>
  <sheetViews>
    <sheetView zoomScale="85" zoomScaleNormal="85" workbookViewId="0">
      <selection activeCell="E38" sqref="E3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/>
      <c r="W2" s="98">
        <f>Neu!$B24</f>
        <v>0</v>
      </c>
    </row>
    <row r="3" spans="1:30" ht="14.25" customHeight="1" x14ac:dyDescent="0.35">
      <c r="A3" s="246" t="s">
        <v>5</v>
      </c>
      <c r="B3" s="242" t="str">
        <f>Neu!B4</f>
        <v>B63ls</v>
      </c>
      <c r="C3" s="130"/>
      <c r="D3" s="112"/>
      <c r="E3" s="112"/>
      <c r="F3" s="112"/>
      <c r="G3" s="113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3"/>
      <c r="C4" s="129"/>
      <c r="D4" s="94"/>
      <c r="E4" s="94"/>
      <c r="F4" s="94"/>
      <c r="G4" s="95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6"/>
      <c r="X4" s="134" t="s">
        <v>162</v>
      </c>
      <c r="Y4" s="136">
        <f>MAX($C$3:$W$44)-(ROW(Y4)-4)*10</f>
        <v>0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4" t="str">
        <f>Neu!B5</f>
        <v>B63la</v>
      </c>
      <c r="C5" s="104"/>
      <c r="D5" s="106"/>
      <c r="E5" s="108">
        <v>0</v>
      </c>
      <c r="F5" s="108"/>
      <c r="G5" s="143"/>
      <c r="H5" s="108"/>
      <c r="I5" s="108"/>
      <c r="J5" s="108"/>
      <c r="K5" s="143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18"/>
      <c r="X5" s="64"/>
      <c r="Y5" s="136">
        <f t="shared" ref="Y5:Y32" si="0">MAX($C$3:$W$44)-(ROW(Y5)-4)*10</f>
        <v>-10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3"/>
      <c r="C6" s="127"/>
      <c r="D6" s="110"/>
      <c r="E6" s="94">
        <v>-2</v>
      </c>
      <c r="F6" s="94">
        <v>-2</v>
      </c>
      <c r="G6" s="144">
        <v>-2</v>
      </c>
      <c r="H6" s="94"/>
      <c r="I6" s="94"/>
      <c r="J6" s="94"/>
      <c r="K6" s="142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6"/>
      <c r="X6" s="64"/>
      <c r="Y6" s="136">
        <f t="shared" si="0"/>
        <v>-20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4" t="str">
        <f>Neu!B6</f>
        <v>B31rs</v>
      </c>
      <c r="C7" s="104"/>
      <c r="D7" s="108"/>
      <c r="E7" s="106"/>
      <c r="F7" s="108"/>
      <c r="G7" s="101"/>
      <c r="H7" s="108"/>
      <c r="I7" s="143"/>
      <c r="J7" s="108"/>
      <c r="K7" s="108"/>
      <c r="L7" s="108"/>
      <c r="M7" s="143"/>
      <c r="N7" s="108"/>
      <c r="O7" s="108"/>
      <c r="P7" s="108"/>
      <c r="Q7" s="108"/>
      <c r="R7" s="108"/>
      <c r="S7" s="108"/>
      <c r="T7" s="108"/>
      <c r="U7" s="108"/>
      <c r="V7" s="108"/>
      <c r="W7" s="118"/>
      <c r="X7" s="64"/>
      <c r="Y7" s="136">
        <f t="shared" si="0"/>
        <v>-30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3"/>
      <c r="C8" s="127"/>
      <c r="D8" s="94"/>
      <c r="E8" s="110"/>
      <c r="F8" s="94"/>
      <c r="G8" s="95"/>
      <c r="H8" s="94"/>
      <c r="I8" s="142"/>
      <c r="J8" s="94"/>
      <c r="K8" s="94"/>
      <c r="L8" s="94"/>
      <c r="M8" s="142"/>
      <c r="N8" s="94"/>
      <c r="O8" s="94"/>
      <c r="P8" s="94"/>
      <c r="Q8" s="94"/>
      <c r="R8" s="94"/>
      <c r="S8" s="94"/>
      <c r="T8" s="94"/>
      <c r="U8" s="94"/>
      <c r="V8" s="94"/>
      <c r="W8" s="96"/>
      <c r="X8" s="64"/>
      <c r="Y8" s="136">
        <f t="shared" si="0"/>
        <v>-40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4" t="str">
        <f>Neu!B7</f>
        <v>B64ls</v>
      </c>
      <c r="C9" s="104"/>
      <c r="D9" s="108"/>
      <c r="E9" s="108"/>
      <c r="F9" s="106"/>
      <c r="G9" s="101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18"/>
      <c r="X9" s="64"/>
      <c r="Y9" s="136">
        <f t="shared" si="0"/>
        <v>-50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3"/>
      <c r="C10" s="127"/>
      <c r="D10" s="94"/>
      <c r="E10" s="94"/>
      <c r="F10" s="110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6"/>
      <c r="X10" s="64"/>
      <c r="Y10" s="136">
        <f t="shared" si="0"/>
        <v>-60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4" t="str">
        <f>Neu!B8</f>
        <v>B64la</v>
      </c>
      <c r="C11" s="104"/>
      <c r="D11" s="108"/>
      <c r="E11" s="108"/>
      <c r="F11" s="108"/>
      <c r="G11" s="99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18"/>
      <c r="X11" s="64"/>
      <c r="Y11" s="136">
        <f t="shared" si="0"/>
        <v>-70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3"/>
      <c r="C12" s="128">
        <v>-75</v>
      </c>
      <c r="D12" s="109">
        <v>-75</v>
      </c>
      <c r="E12" s="109">
        <v>-75</v>
      </c>
      <c r="F12" s="109"/>
      <c r="G12" s="102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16"/>
      <c r="X12" s="64"/>
      <c r="Y12" s="136">
        <f t="shared" si="0"/>
        <v>-80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4" t="str">
        <f>Neu!B9</f>
        <v>B63rs</v>
      </c>
      <c r="C13" s="104"/>
      <c r="D13" s="108"/>
      <c r="E13" s="108"/>
      <c r="F13" s="108"/>
      <c r="G13" s="101"/>
      <c r="H13" s="10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8"/>
      <c r="X13" s="64"/>
      <c r="Y13" s="136">
        <f t="shared" si="0"/>
        <v>-90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3"/>
      <c r="C14" s="127"/>
      <c r="D14" s="94"/>
      <c r="E14" s="94"/>
      <c r="F14" s="94"/>
      <c r="G14" s="95"/>
      <c r="H14" s="110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6"/>
      <c r="X14" s="64"/>
      <c r="Y14" s="136">
        <f t="shared" si="0"/>
        <v>-100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4" t="str">
        <f>Neu!B10</f>
        <v>B63ra</v>
      </c>
      <c r="C15" s="104"/>
      <c r="D15" s="108"/>
      <c r="E15" s="108"/>
      <c r="F15" s="108"/>
      <c r="G15" s="101"/>
      <c r="H15" s="108"/>
      <c r="I15" s="106"/>
      <c r="J15" s="108">
        <v>0</v>
      </c>
      <c r="K15" s="108"/>
      <c r="L15" s="143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8"/>
      <c r="X15" s="64"/>
      <c r="Y15" s="136">
        <f t="shared" si="0"/>
        <v>-110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3"/>
      <c r="C16" s="127"/>
      <c r="D16" s="94"/>
      <c r="E16" s="94"/>
      <c r="F16" s="94"/>
      <c r="G16" s="95"/>
      <c r="H16" s="94"/>
      <c r="I16" s="110"/>
      <c r="J16" s="94">
        <v>-2</v>
      </c>
      <c r="K16" s="94">
        <v>-2</v>
      </c>
      <c r="L16" s="144">
        <v>-2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6"/>
      <c r="X16" s="64"/>
      <c r="Y16" s="136">
        <f t="shared" si="0"/>
        <v>-120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4" t="str">
        <f>Neu!B11</f>
        <v>B31ls</v>
      </c>
      <c r="C17" s="104"/>
      <c r="D17" s="108"/>
      <c r="E17" s="108"/>
      <c r="F17" s="108"/>
      <c r="G17" s="101"/>
      <c r="H17" s="108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8"/>
      <c r="X17" s="64"/>
      <c r="Y17" s="136">
        <f t="shared" si="0"/>
        <v>-130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3"/>
      <c r="C18" s="127"/>
      <c r="D18" s="94"/>
      <c r="E18" s="94"/>
      <c r="F18" s="94"/>
      <c r="G18" s="95"/>
      <c r="H18" s="94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6"/>
      <c r="X18" s="64"/>
      <c r="Y18" s="136">
        <f t="shared" si="0"/>
        <v>-140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4" t="str">
        <f>Neu!B12</f>
        <v>B64rs</v>
      </c>
      <c r="C19" s="104"/>
      <c r="D19" s="108"/>
      <c r="E19" s="108"/>
      <c r="F19" s="108"/>
      <c r="G19" s="101"/>
      <c r="H19" s="108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8"/>
      <c r="X19" s="64"/>
      <c r="Y19" s="136">
        <f t="shared" si="0"/>
        <v>-150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3"/>
      <c r="C20" s="127"/>
      <c r="D20" s="94"/>
      <c r="E20" s="94"/>
      <c r="F20" s="94"/>
      <c r="G20" s="95"/>
      <c r="H20" s="94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6"/>
      <c r="X20" s="64"/>
      <c r="Y20" s="136">
        <f t="shared" si="0"/>
        <v>-160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4" t="str">
        <f>Neu!B13</f>
        <v>B64ra</v>
      </c>
      <c r="C21" s="104"/>
      <c r="D21" s="108"/>
      <c r="E21" s="108"/>
      <c r="F21" s="108"/>
      <c r="G21" s="101"/>
      <c r="H21" s="108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8"/>
      <c r="X21" s="64"/>
      <c r="Y21" s="136">
        <f t="shared" si="0"/>
        <v>-170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3"/>
      <c r="C22" s="127"/>
      <c r="D22" s="94"/>
      <c r="E22" s="94"/>
      <c r="F22" s="94"/>
      <c r="G22" s="95"/>
      <c r="H22" s="128">
        <v>-75</v>
      </c>
      <c r="I22" s="109">
        <v>-75</v>
      </c>
      <c r="J22" s="109">
        <v>-75</v>
      </c>
      <c r="K22" s="94"/>
      <c r="L22" s="110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6"/>
      <c r="X22" s="64"/>
      <c r="Y22" s="136">
        <f t="shared" si="0"/>
        <v>-180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4">
        <f>Neu!B14</f>
        <v>0</v>
      </c>
      <c r="C23" s="104"/>
      <c r="D23" s="108"/>
      <c r="E23" s="108"/>
      <c r="F23" s="108"/>
      <c r="G23" s="101"/>
      <c r="H23" s="108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8"/>
      <c r="T23" s="108"/>
      <c r="U23" s="108"/>
      <c r="V23" s="108"/>
      <c r="W23" s="118"/>
      <c r="X23" s="64"/>
      <c r="Y23" s="136">
        <f t="shared" si="0"/>
        <v>-190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3"/>
      <c r="C24" s="128"/>
      <c r="D24" s="109"/>
      <c r="E24" s="109"/>
      <c r="F24" s="109"/>
      <c r="G24" s="100"/>
      <c r="H24" s="109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9"/>
      <c r="T24" s="109"/>
      <c r="U24" s="109"/>
      <c r="V24" s="109"/>
      <c r="W24" s="116"/>
      <c r="X24" s="64"/>
      <c r="Y24" s="136">
        <f t="shared" si="0"/>
        <v>-200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4">
        <f>Neu!B15</f>
        <v>0</v>
      </c>
      <c r="C25" s="104"/>
      <c r="D25" s="108"/>
      <c r="E25" s="108"/>
      <c r="F25" s="108"/>
      <c r="G25" s="101"/>
      <c r="H25" s="108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8"/>
      <c r="T25" s="108"/>
      <c r="U25" s="108"/>
      <c r="V25" s="108"/>
      <c r="W25" s="118"/>
      <c r="X25" s="64"/>
      <c r="Y25" s="136">
        <f t="shared" si="0"/>
        <v>-210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3"/>
      <c r="C26" s="127"/>
      <c r="D26" s="94"/>
      <c r="E26" s="94"/>
      <c r="F26" s="94"/>
      <c r="G26" s="95"/>
      <c r="H26" s="94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4"/>
      <c r="T26" s="94"/>
      <c r="U26" s="94"/>
      <c r="V26" s="94"/>
      <c r="W26" s="96"/>
      <c r="X26" s="64"/>
      <c r="Y26" s="136">
        <f t="shared" si="0"/>
        <v>-220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4"/>
      <c r="C27" s="104"/>
      <c r="D27" s="108"/>
      <c r="E27" s="108"/>
      <c r="F27" s="108"/>
      <c r="G27" s="101"/>
      <c r="H27" s="108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8"/>
      <c r="T27" s="108"/>
      <c r="U27" s="108"/>
      <c r="V27" s="108"/>
      <c r="W27" s="118"/>
      <c r="X27" s="64"/>
      <c r="Y27" s="136">
        <f t="shared" si="0"/>
        <v>-230</v>
      </c>
      <c r="Z27" s="64"/>
      <c r="AA27" s="64"/>
      <c r="AB27" s="64"/>
      <c r="AC27" s="64"/>
      <c r="AD27" s="64"/>
    </row>
    <row r="28" spans="1:30" ht="14.25" customHeight="1" x14ac:dyDescent="0.35">
      <c r="A28" s="246"/>
      <c r="B28" s="243"/>
      <c r="C28" s="127"/>
      <c r="D28" s="94"/>
      <c r="E28" s="94"/>
      <c r="F28" s="94"/>
      <c r="G28" s="95"/>
      <c r="H28" s="94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4"/>
      <c r="T28" s="94"/>
      <c r="U28" s="94"/>
      <c r="V28" s="94"/>
      <c r="W28" s="96"/>
      <c r="X28" s="64"/>
      <c r="Y28" s="136">
        <f t="shared" si="0"/>
        <v>-240</v>
      </c>
      <c r="Z28" s="64"/>
      <c r="AA28" s="64"/>
      <c r="AB28" s="64"/>
      <c r="AC28" s="64"/>
      <c r="AD28" s="64"/>
    </row>
    <row r="29" spans="1:30" ht="14.25" customHeight="1" x14ac:dyDescent="0.35">
      <c r="A29" s="246"/>
      <c r="B29" s="244"/>
      <c r="C29" s="104"/>
      <c r="D29" s="108"/>
      <c r="E29" s="108"/>
      <c r="F29" s="108"/>
      <c r="G29" s="101"/>
      <c r="H29" s="108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8"/>
      <c r="T29" s="108"/>
      <c r="U29" s="108"/>
      <c r="V29" s="108"/>
      <c r="W29" s="118"/>
      <c r="X29" s="64"/>
      <c r="Y29" s="136">
        <f t="shared" si="0"/>
        <v>-250</v>
      </c>
      <c r="Z29" s="64"/>
      <c r="AA29" s="64"/>
      <c r="AB29" s="64"/>
      <c r="AC29" s="64"/>
      <c r="AD29" s="64"/>
    </row>
    <row r="30" spans="1:30" ht="14.25" customHeight="1" x14ac:dyDescent="0.35">
      <c r="A30" s="246"/>
      <c r="B30" s="243"/>
      <c r="C30" s="127"/>
      <c r="D30" s="94"/>
      <c r="E30" s="94"/>
      <c r="F30" s="94"/>
      <c r="G30" s="95"/>
      <c r="H30" s="94"/>
      <c r="I30" s="94"/>
      <c r="J30" s="94"/>
      <c r="K30" s="94"/>
      <c r="L30" s="94"/>
      <c r="M30" s="94"/>
      <c r="N30" s="94"/>
      <c r="O30" s="94"/>
      <c r="P30" s="110"/>
      <c r="Q30" s="94"/>
      <c r="R30" s="94"/>
      <c r="S30" s="94"/>
      <c r="T30" s="94"/>
      <c r="U30" s="94"/>
      <c r="V30" s="94"/>
      <c r="W30" s="96"/>
      <c r="X30" s="64"/>
      <c r="Y30" s="136">
        <f t="shared" si="0"/>
        <v>-260</v>
      </c>
      <c r="Z30" s="64"/>
      <c r="AA30" s="64"/>
      <c r="AB30" s="64"/>
      <c r="AC30" s="64"/>
      <c r="AD30" s="64"/>
    </row>
    <row r="31" spans="1:30" ht="14.25" customHeight="1" x14ac:dyDescent="0.35">
      <c r="A31" s="246"/>
      <c r="B31" s="244"/>
      <c r="C31" s="104"/>
      <c r="D31" s="108"/>
      <c r="E31" s="108"/>
      <c r="F31" s="108"/>
      <c r="G31" s="101"/>
      <c r="H31" s="108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8"/>
      <c r="T31" s="108"/>
      <c r="U31" s="108"/>
      <c r="V31" s="108"/>
      <c r="W31" s="118"/>
      <c r="X31" s="64"/>
      <c r="Y31" s="136">
        <f t="shared" si="0"/>
        <v>-270</v>
      </c>
      <c r="Z31" s="64"/>
      <c r="AA31" s="64"/>
      <c r="AB31" s="64"/>
      <c r="AC31" s="64"/>
      <c r="AD31" s="64"/>
    </row>
    <row r="32" spans="1:30" ht="14.25" customHeight="1" x14ac:dyDescent="0.35">
      <c r="A32" s="246"/>
      <c r="B32" s="243"/>
      <c r="C32" s="127"/>
      <c r="D32" s="94"/>
      <c r="E32" s="94"/>
      <c r="F32" s="94"/>
      <c r="G32" s="95"/>
      <c r="H32" s="94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4"/>
      <c r="T32" s="94"/>
      <c r="U32" s="94"/>
      <c r="V32" s="94"/>
      <c r="W32" s="96"/>
      <c r="X32" s="64"/>
      <c r="Y32" s="136">
        <f t="shared" si="0"/>
        <v>-280</v>
      </c>
      <c r="Z32" s="64"/>
      <c r="AA32" s="64"/>
      <c r="AB32" s="64"/>
      <c r="AC32" s="64"/>
      <c r="AD32" s="64"/>
    </row>
    <row r="33" spans="1:30" ht="14.25" customHeight="1" x14ac:dyDescent="0.35">
      <c r="A33" s="246"/>
      <c r="B33" s="244"/>
      <c r="C33" s="104"/>
      <c r="D33" s="108"/>
      <c r="E33" s="108"/>
      <c r="F33" s="108"/>
      <c r="G33" s="10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8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3"/>
      <c r="C34" s="127"/>
      <c r="D34" s="94"/>
      <c r="E34" s="94"/>
      <c r="F34" s="94"/>
      <c r="G34" s="95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4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4"/>
      <c r="C35" s="104"/>
      <c r="D35" s="108"/>
      <c r="E35" s="108"/>
      <c r="F35" s="108"/>
      <c r="G35" s="101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6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3"/>
      <c r="C36" s="128"/>
      <c r="D36" s="109"/>
      <c r="E36" s="109"/>
      <c r="F36" s="109"/>
      <c r="G36" s="100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7"/>
      <c r="T36" s="109"/>
      <c r="U36" s="109"/>
      <c r="V36" s="109"/>
      <c r="W36" s="11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4">
        <f>Neu!B16</f>
        <v>0</v>
      </c>
      <c r="C37" s="104"/>
      <c r="D37" s="108"/>
      <c r="E37" s="108"/>
      <c r="F37" s="108"/>
      <c r="G37" s="101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3"/>
      <c r="C38" s="127"/>
      <c r="D38" s="94"/>
      <c r="E38" s="94"/>
      <c r="F38" s="94"/>
      <c r="G38" s="95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110"/>
      <c r="U38" s="94"/>
      <c r="V38" s="94"/>
      <c r="W38" s="9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4">
        <f>Neu!B17</f>
        <v>0</v>
      </c>
      <c r="C39" s="104"/>
      <c r="D39" s="108"/>
      <c r="E39" s="108"/>
      <c r="F39" s="108"/>
      <c r="G39" s="101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3"/>
      <c r="C40" s="127"/>
      <c r="D40" s="94"/>
      <c r="E40" s="94"/>
      <c r="F40" s="94"/>
      <c r="G40" s="95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4"/>
      <c r="C41" s="104"/>
      <c r="D41" s="108"/>
      <c r="E41" s="108"/>
      <c r="F41" s="108"/>
      <c r="G41" s="101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3"/>
      <c r="C42" s="127"/>
      <c r="D42" s="94"/>
      <c r="E42" s="94"/>
      <c r="F42" s="94"/>
      <c r="G42" s="95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4">
        <f>Neu!B24</f>
        <v>0</v>
      </c>
      <c r="C43" s="104"/>
      <c r="D43" s="108"/>
      <c r="E43" s="108"/>
      <c r="F43" s="108"/>
      <c r="G43" s="101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7"/>
      <c r="C44" s="131"/>
      <c r="D44" s="123"/>
      <c r="E44" s="123"/>
      <c r="F44" s="123"/>
      <c r="G44" s="124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">
    <cfRule type="cellIs" dxfId="9" priority="3" operator="equal">
      <formula>0</formula>
    </cfRule>
  </conditionalFormatting>
  <conditionalFormatting sqref="B23 B25 B27 B29 B31 B33 B35 B37 B39 B41 B43">
    <cfRule type="cellIs" dxfId="8" priority="15" operator="equal">
      <formula>0</formula>
    </cfRule>
  </conditionalFormatting>
  <conditionalFormatting sqref="C2:W2">
    <cfRule type="cellIs" dxfId="7" priority="2" operator="equal">
      <formula>0</formula>
    </cfRule>
  </conditionalFormatting>
  <conditionalFormatting sqref="C3:W21 C23:W44 P22:W22 C22:L22">
    <cfRule type="colorScale" priority="9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M22:O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4" operator="lessThan">
      <formula>-100</formula>
    </cfRule>
  </conditionalFormatting>
  <conditionalFormatting sqref="Y1:Y44">
    <cfRule type="colorScale" priority="8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229"/>
  <sheetViews>
    <sheetView zoomScale="85" zoomScaleNormal="85" workbookViewId="0">
      <selection activeCell="B41" sqref="B41:B4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10" style="9" customWidth="1"/>
    <col min="28" max="28" width="10" style="12" customWidth="1"/>
    <col min="29" max="29" width="10" style="9" customWidth="1"/>
    <col min="30" max="30" width="7.5429687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7" customWidth="1"/>
    <col min="36" max="36" width="7.453125" style="67" customWidth="1"/>
    <col min="37" max="16384" width="9.1796875" style="1"/>
  </cols>
  <sheetData>
    <row r="1" spans="1:38" ht="15" thickBot="1" x14ac:dyDescent="0.4">
      <c r="A1" s="245"/>
      <c r="B1" s="245"/>
      <c r="C1" s="251" t="s">
        <v>4</v>
      </c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AA1" s="249" t="s">
        <v>144</v>
      </c>
      <c r="AB1" s="250"/>
      <c r="AC1" s="66" t="s">
        <v>142</v>
      </c>
      <c r="AD1" s="4"/>
      <c r="AE1" s="248" t="s">
        <v>160</v>
      </c>
      <c r="AF1" s="248"/>
      <c r="AG1" s="248"/>
      <c r="AH1" s="248"/>
      <c r="AI1" s="248" t="s">
        <v>143</v>
      </c>
      <c r="AJ1" s="248"/>
    </row>
    <row r="2" spans="1:38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/>
      <c r="W2" s="98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101</v>
      </c>
      <c r="AJ2" s="63" t="s">
        <v>145</v>
      </c>
    </row>
    <row r="3" spans="1:38" ht="14.25" customHeight="1" x14ac:dyDescent="0.35">
      <c r="A3" s="246" t="s">
        <v>5</v>
      </c>
      <c r="B3" s="242" t="str">
        <f>Neu!B4</f>
        <v>B63ls</v>
      </c>
      <c r="C3" s="111"/>
      <c r="D3" s="112"/>
      <c r="E3" s="112"/>
      <c r="F3" s="113"/>
      <c r="G3" s="112"/>
      <c r="H3" s="112"/>
      <c r="I3" s="112"/>
      <c r="J3" s="112"/>
      <c r="K3" s="113"/>
      <c r="L3" s="112"/>
      <c r="M3" s="112"/>
      <c r="N3" s="112"/>
      <c r="O3" s="112"/>
      <c r="P3" s="113"/>
      <c r="Q3" s="112"/>
      <c r="R3" s="112"/>
      <c r="S3" s="112"/>
      <c r="T3" s="112"/>
      <c r="U3" s="112"/>
      <c r="V3" s="112"/>
      <c r="W3" s="114"/>
      <c r="X3" s="65" t="s">
        <v>161</v>
      </c>
      <c r="Y3" s="1">
        <v>1</v>
      </c>
      <c r="Z3" s="1">
        <v>1</v>
      </c>
      <c r="AA3" s="27">
        <v>1E-3</v>
      </c>
      <c r="AB3" s="28">
        <v>0.01</v>
      </c>
      <c r="AC3" s="27">
        <v>-0.09</v>
      </c>
      <c r="AD3" s="29">
        <v>3.3</v>
      </c>
      <c r="AE3" s="30"/>
      <c r="AF3" s="31"/>
      <c r="AG3" s="31"/>
      <c r="AH3" s="29"/>
      <c r="AK3" s="65"/>
    </row>
    <row r="4" spans="1:38" ht="14.25" customHeight="1" x14ac:dyDescent="0.35">
      <c r="A4" s="246"/>
      <c r="B4" s="243"/>
      <c r="C4" s="115"/>
      <c r="D4" s="109"/>
      <c r="E4" s="109"/>
      <c r="F4" s="100"/>
      <c r="G4" s="109"/>
      <c r="H4" s="109"/>
      <c r="I4" s="109"/>
      <c r="J4" s="109"/>
      <c r="K4" s="100"/>
      <c r="L4" s="109"/>
      <c r="M4" s="109"/>
      <c r="N4" s="109"/>
      <c r="O4" s="109"/>
      <c r="P4" s="100"/>
      <c r="Q4" s="109"/>
      <c r="R4" s="109"/>
      <c r="S4" s="109"/>
      <c r="T4" s="109"/>
      <c r="U4" s="109"/>
      <c r="V4" s="109"/>
      <c r="W4" s="116"/>
      <c r="X4" s="65" t="s">
        <v>162</v>
      </c>
      <c r="Y4" s="1">
        <v>2</v>
      </c>
      <c r="Z4" s="1">
        <v>2</v>
      </c>
      <c r="AA4" s="9">
        <v>1.4</v>
      </c>
      <c r="AB4" s="12">
        <v>2.8</v>
      </c>
      <c r="AC4" s="27">
        <v>-0.09</v>
      </c>
      <c r="AD4" s="29">
        <v>3.3</v>
      </c>
      <c r="AE4" s="30">
        <v>-50</v>
      </c>
      <c r="AF4" s="31">
        <v>4</v>
      </c>
      <c r="AG4" s="31">
        <v>1</v>
      </c>
      <c r="AH4" s="29">
        <v>0.3</v>
      </c>
      <c r="AK4" s="65"/>
    </row>
    <row r="5" spans="1:38" ht="14.25" customHeight="1" x14ac:dyDescent="0.35">
      <c r="A5" s="246"/>
      <c r="B5" s="244" t="str">
        <f>Neu!B5</f>
        <v>B63la</v>
      </c>
      <c r="C5" s="117"/>
      <c r="D5" s="106"/>
      <c r="E5" s="108">
        <v>1</v>
      </c>
      <c r="F5" s="101"/>
      <c r="G5" s="141"/>
      <c r="H5" s="108"/>
      <c r="I5" s="108"/>
      <c r="J5" s="108"/>
      <c r="K5" s="143"/>
      <c r="L5" s="108"/>
      <c r="M5" s="108"/>
      <c r="N5" s="108"/>
      <c r="O5" s="108"/>
      <c r="P5" s="101"/>
      <c r="Q5" s="108"/>
      <c r="R5" s="108"/>
      <c r="S5" s="108"/>
      <c r="T5" s="108"/>
      <c r="U5" s="108"/>
      <c r="V5" s="108"/>
      <c r="W5" s="118"/>
      <c r="Y5" s="1">
        <f t="shared" ref="Y5:Y26" si="0">COUNTIF($C$3:$W$44,ROW(Z5)-2)</f>
        <v>0</v>
      </c>
      <c r="Z5" s="1">
        <v>3</v>
      </c>
      <c r="AA5" s="9">
        <v>1.4</v>
      </c>
      <c r="AB5" s="12">
        <v>2.8</v>
      </c>
      <c r="AC5" s="27">
        <v>-1</v>
      </c>
      <c r="AD5" s="29">
        <v>1</v>
      </c>
      <c r="AE5" s="30">
        <v>-50</v>
      </c>
      <c r="AF5" s="31">
        <v>4</v>
      </c>
      <c r="AG5" s="31">
        <v>1</v>
      </c>
      <c r="AH5" s="29">
        <v>0.3</v>
      </c>
    </row>
    <row r="6" spans="1:38" ht="14.25" customHeight="1" x14ac:dyDescent="0.35">
      <c r="A6" s="246"/>
      <c r="B6" s="243"/>
      <c r="C6" s="119"/>
      <c r="D6" s="110"/>
      <c r="E6" s="94">
        <v>2</v>
      </c>
      <c r="F6" s="95">
        <v>2</v>
      </c>
      <c r="G6" s="142">
        <v>2</v>
      </c>
      <c r="H6" s="94"/>
      <c r="I6" s="94"/>
      <c r="J6" s="94"/>
      <c r="K6" s="144"/>
      <c r="L6" s="94"/>
      <c r="M6" s="94"/>
      <c r="N6" s="94"/>
      <c r="O6" s="94"/>
      <c r="P6" s="95"/>
      <c r="Q6" s="94"/>
      <c r="R6" s="94"/>
      <c r="S6" s="94"/>
      <c r="T6" s="94"/>
      <c r="U6" s="94"/>
      <c r="V6" s="94"/>
      <c r="W6" s="96"/>
      <c r="Y6" s="1">
        <f t="shared" si="0"/>
        <v>6</v>
      </c>
      <c r="Z6" s="1">
        <f>IF(ROW(AA6)-2&lt;=MAX($C$3:$W$44),ROW(AA6)-2,"")</f>
        <v>4</v>
      </c>
      <c r="AA6" s="9">
        <v>1.4999999999999999E-2</v>
      </c>
      <c r="AB6" s="12">
        <v>1.5</v>
      </c>
      <c r="AC6" s="27">
        <v>-1</v>
      </c>
      <c r="AD6" s="29">
        <v>1</v>
      </c>
    </row>
    <row r="7" spans="1:38" ht="14.25" customHeight="1" x14ac:dyDescent="0.35">
      <c r="A7" s="246"/>
      <c r="B7" s="244" t="str">
        <f>Neu!B6</f>
        <v>B31rs</v>
      </c>
      <c r="C7" s="117"/>
      <c r="D7" s="108"/>
      <c r="E7" s="106"/>
      <c r="F7" s="101"/>
      <c r="G7" s="108"/>
      <c r="H7" s="108"/>
      <c r="I7" s="141"/>
      <c r="J7" s="108"/>
      <c r="K7" s="101"/>
      <c r="L7" s="108"/>
      <c r="M7" s="141"/>
      <c r="N7" s="108"/>
      <c r="O7" s="108"/>
      <c r="P7" s="101"/>
      <c r="Q7" s="108"/>
      <c r="R7" s="108"/>
      <c r="S7" s="108"/>
      <c r="T7" s="108"/>
      <c r="U7" s="108"/>
      <c r="V7" s="108"/>
      <c r="W7" s="118"/>
      <c r="Y7" s="1">
        <f t="shared" si="0"/>
        <v>0</v>
      </c>
      <c r="Z7" s="1" t="str">
        <f>IF(ROW(AA7)-2&lt;=MAX($C$3:$W$44),ROW(AA7)-2,"")</f>
        <v/>
      </c>
      <c r="AA7" s="9">
        <v>4.0000000000000001E-3</v>
      </c>
      <c r="AB7" s="12">
        <v>1.5E-3</v>
      </c>
      <c r="AI7" s="67" t="s">
        <v>89</v>
      </c>
      <c r="AJ7" s="67">
        <v>0.5</v>
      </c>
    </row>
    <row r="8" spans="1:38" ht="14.25" customHeight="1" x14ac:dyDescent="0.35">
      <c r="A8" s="246"/>
      <c r="B8" s="243"/>
      <c r="C8" s="119"/>
      <c r="D8" s="94"/>
      <c r="E8" s="110"/>
      <c r="F8" s="95"/>
      <c r="G8" s="94"/>
      <c r="H8" s="94"/>
      <c r="I8" s="142"/>
      <c r="J8" s="94"/>
      <c r="K8" s="95"/>
      <c r="L8" s="94"/>
      <c r="M8" s="142"/>
      <c r="N8" s="94"/>
      <c r="O8" s="94"/>
      <c r="P8" s="95"/>
      <c r="Q8" s="94"/>
      <c r="R8" s="94"/>
      <c r="S8" s="94"/>
      <c r="T8" s="94"/>
      <c r="U8" s="94"/>
      <c r="V8" s="94"/>
      <c r="W8" s="96"/>
      <c r="Y8" s="1">
        <f t="shared" si="0"/>
        <v>0</v>
      </c>
      <c r="Z8" s="1" t="str">
        <f>IF(ROW(AA8)-2&lt;=MAX($C$3:$W$44),ROW(AA8)-2,"")</f>
        <v/>
      </c>
      <c r="AA8" s="9">
        <v>1</v>
      </c>
      <c r="AE8" s="13">
        <v>-31</v>
      </c>
      <c r="AF8" s="10">
        <v>3</v>
      </c>
      <c r="AG8" s="10">
        <v>1</v>
      </c>
      <c r="AH8" s="11">
        <v>0.5</v>
      </c>
      <c r="AI8" s="67" t="s">
        <v>89</v>
      </c>
      <c r="AJ8" s="67">
        <v>0.5</v>
      </c>
    </row>
    <row r="9" spans="1:38" ht="14.25" customHeight="1" x14ac:dyDescent="0.35">
      <c r="A9" s="246"/>
      <c r="B9" s="244" t="str">
        <f>Neu!B7</f>
        <v>B64ls</v>
      </c>
      <c r="C9" s="117"/>
      <c r="D9" s="108"/>
      <c r="E9" s="108"/>
      <c r="F9" s="99"/>
      <c r="G9" s="108"/>
      <c r="H9" s="108"/>
      <c r="I9" s="108"/>
      <c r="J9" s="108"/>
      <c r="K9" s="101"/>
      <c r="L9" s="108"/>
      <c r="M9" s="108"/>
      <c r="N9" s="108"/>
      <c r="O9" s="108"/>
      <c r="P9" s="101"/>
      <c r="Q9" s="108"/>
      <c r="R9" s="108"/>
      <c r="S9" s="108"/>
      <c r="T9" s="108"/>
      <c r="U9" s="108"/>
      <c r="V9" s="108"/>
      <c r="W9" s="118"/>
      <c r="Y9" s="1">
        <f t="shared" si="0"/>
        <v>0</v>
      </c>
      <c r="Z9" s="1" t="str">
        <f t="shared" ref="Z9:Z17" si="1">IF(ROW(AA9)-2&lt;=MAX($C$3:$W$44),ROW(AA9)-2,"")</f>
        <v/>
      </c>
      <c r="AA9" s="9">
        <v>0.2</v>
      </c>
      <c r="AB9" s="12">
        <v>1E-3</v>
      </c>
      <c r="AK9" s="65" t="s">
        <v>158</v>
      </c>
    </row>
    <row r="10" spans="1:38" ht="14.25" customHeight="1" x14ac:dyDescent="0.35">
      <c r="A10" s="246"/>
      <c r="B10" s="243"/>
      <c r="C10" s="119"/>
      <c r="D10" s="94"/>
      <c r="E10" s="94"/>
      <c r="F10" s="103"/>
      <c r="G10" s="94"/>
      <c r="H10" s="94"/>
      <c r="I10" s="94"/>
      <c r="J10" s="94"/>
      <c r="K10" s="95"/>
      <c r="L10" s="94"/>
      <c r="M10" s="94"/>
      <c r="N10" s="94"/>
      <c r="O10" s="94"/>
      <c r="P10" s="95"/>
      <c r="Q10" s="94"/>
      <c r="R10" s="94"/>
      <c r="S10" s="94"/>
      <c r="T10" s="94"/>
      <c r="U10" s="94"/>
      <c r="V10" s="94"/>
      <c r="W10" s="96"/>
      <c r="Y10" s="1">
        <f t="shared" si="0"/>
        <v>0</v>
      </c>
      <c r="Z10" s="1" t="str">
        <f t="shared" si="1"/>
        <v/>
      </c>
      <c r="AA10" s="9">
        <v>5.0000000000000001E-3</v>
      </c>
      <c r="AI10" s="67" t="s">
        <v>89</v>
      </c>
      <c r="AJ10" s="67">
        <v>0.5</v>
      </c>
      <c r="AL10" s="65"/>
    </row>
    <row r="11" spans="1:38" ht="14.25" customHeight="1" x14ac:dyDescent="0.35">
      <c r="A11" s="246"/>
      <c r="B11" s="244" t="str">
        <f>Neu!B8</f>
        <v>B64la</v>
      </c>
      <c r="C11" s="117"/>
      <c r="D11" s="108"/>
      <c r="E11" s="108"/>
      <c r="F11" s="101"/>
      <c r="G11" s="106"/>
      <c r="H11" s="108"/>
      <c r="I11" s="108"/>
      <c r="J11" s="108"/>
      <c r="K11" s="101"/>
      <c r="L11" s="108"/>
      <c r="M11" s="108"/>
      <c r="N11" s="108"/>
      <c r="O11" s="108"/>
      <c r="P11" s="101"/>
      <c r="Q11" s="108"/>
      <c r="R11" s="108"/>
      <c r="S11" s="108"/>
      <c r="T11" s="108"/>
      <c r="U11" s="108"/>
      <c r="V11" s="108"/>
      <c r="W11" s="118"/>
      <c r="Y11" s="1">
        <f t="shared" si="0"/>
        <v>0</v>
      </c>
      <c r="Z11" s="1" t="str">
        <f t="shared" si="1"/>
        <v/>
      </c>
      <c r="AA11" s="9">
        <v>0.01</v>
      </c>
      <c r="AI11" s="67" t="s">
        <v>89</v>
      </c>
      <c r="AJ11" s="67">
        <v>0.5</v>
      </c>
    </row>
    <row r="12" spans="1:38" ht="14.25" customHeight="1" x14ac:dyDescent="0.35">
      <c r="A12" s="246"/>
      <c r="B12" s="243"/>
      <c r="C12" s="119">
        <v>4</v>
      </c>
      <c r="D12" s="94">
        <v>4</v>
      </c>
      <c r="E12" s="94">
        <v>4</v>
      </c>
      <c r="F12" s="95"/>
      <c r="G12" s="110"/>
      <c r="H12" s="94"/>
      <c r="I12" s="94"/>
      <c r="J12" s="94"/>
      <c r="K12" s="95"/>
      <c r="L12" s="94"/>
      <c r="M12" s="94"/>
      <c r="N12" s="94"/>
      <c r="O12" s="94"/>
      <c r="P12" s="95"/>
      <c r="Q12" s="94"/>
      <c r="R12" s="94"/>
      <c r="S12" s="94"/>
      <c r="T12" s="94"/>
      <c r="U12" s="94"/>
      <c r="V12" s="94"/>
      <c r="W12" s="96"/>
      <c r="Y12" s="1">
        <f t="shared" si="0"/>
        <v>0</v>
      </c>
      <c r="Z12" s="1" t="str">
        <f t="shared" si="1"/>
        <v/>
      </c>
      <c r="AA12" s="9">
        <v>0.02</v>
      </c>
    </row>
    <row r="13" spans="1:38" ht="14.25" customHeight="1" x14ac:dyDescent="0.35">
      <c r="A13" s="246"/>
      <c r="B13" s="244" t="str">
        <f>Neu!B9</f>
        <v>B63rs</v>
      </c>
      <c r="C13" s="117"/>
      <c r="D13" s="108"/>
      <c r="E13" s="108"/>
      <c r="F13" s="101"/>
      <c r="G13" s="108"/>
      <c r="H13" s="106"/>
      <c r="I13" s="108"/>
      <c r="J13" s="108"/>
      <c r="K13" s="101"/>
      <c r="L13" s="108"/>
      <c r="M13" s="108"/>
      <c r="N13" s="108"/>
      <c r="O13" s="108"/>
      <c r="P13" s="101"/>
      <c r="Q13" s="108"/>
      <c r="R13" s="108"/>
      <c r="S13" s="108"/>
      <c r="T13" s="108"/>
      <c r="U13" s="108"/>
      <c r="V13" s="108"/>
      <c r="W13" s="118"/>
      <c r="Y13" s="1">
        <f t="shared" si="0"/>
        <v>0</v>
      </c>
      <c r="Z13" s="1" t="str">
        <f t="shared" si="1"/>
        <v/>
      </c>
      <c r="AA13" s="9">
        <v>0.5</v>
      </c>
      <c r="AB13" s="12">
        <v>5</v>
      </c>
      <c r="AE13" s="13">
        <v>-30</v>
      </c>
      <c r="AF13" s="10">
        <v>15</v>
      </c>
      <c r="AG13" s="10">
        <v>1</v>
      </c>
      <c r="AH13" s="11">
        <v>0.5</v>
      </c>
      <c r="AK13" s="135" t="s">
        <v>163</v>
      </c>
    </row>
    <row r="14" spans="1:38" ht="14.25" customHeight="1" x14ac:dyDescent="0.35">
      <c r="A14" s="246"/>
      <c r="B14" s="243"/>
      <c r="C14" s="119"/>
      <c r="D14" s="94"/>
      <c r="E14" s="94"/>
      <c r="F14" s="95"/>
      <c r="G14" s="94"/>
      <c r="H14" s="110"/>
      <c r="I14" s="94"/>
      <c r="J14" s="94"/>
      <c r="K14" s="95"/>
      <c r="L14" s="94"/>
      <c r="M14" s="94"/>
      <c r="N14" s="94"/>
      <c r="O14" s="94"/>
      <c r="P14" s="95"/>
      <c r="Q14" s="94"/>
      <c r="R14" s="94"/>
      <c r="S14" s="94"/>
      <c r="T14" s="94"/>
      <c r="U14" s="94"/>
      <c r="V14" s="94"/>
      <c r="W14" s="96"/>
      <c r="Y14" s="1">
        <f t="shared" si="0"/>
        <v>0</v>
      </c>
      <c r="Z14" s="1" t="str">
        <f t="shared" si="1"/>
        <v/>
      </c>
      <c r="AA14" s="9">
        <v>0.2</v>
      </c>
      <c r="AE14" s="13">
        <v>-48</v>
      </c>
      <c r="AF14" s="10">
        <v>4</v>
      </c>
      <c r="AG14" s="10">
        <v>3</v>
      </c>
      <c r="AH14" s="11">
        <v>0.1</v>
      </c>
      <c r="AI14" s="67" t="s">
        <v>89</v>
      </c>
      <c r="AJ14" s="67">
        <v>0.5</v>
      </c>
    </row>
    <row r="15" spans="1:38" ht="14.25" customHeight="1" x14ac:dyDescent="0.35">
      <c r="A15" s="246"/>
      <c r="B15" s="244" t="str">
        <f>Neu!B10</f>
        <v>B63ra</v>
      </c>
      <c r="C15" s="117"/>
      <c r="D15" s="108"/>
      <c r="E15" s="108"/>
      <c r="F15" s="101"/>
      <c r="G15" s="108"/>
      <c r="H15" s="108"/>
      <c r="I15" s="106"/>
      <c r="J15" s="108">
        <v>1</v>
      </c>
      <c r="K15" s="101"/>
      <c r="L15" s="141"/>
      <c r="M15" s="108"/>
      <c r="N15" s="108"/>
      <c r="O15" s="108"/>
      <c r="P15" s="101"/>
      <c r="Q15" s="108"/>
      <c r="R15" s="108"/>
      <c r="S15" s="108"/>
      <c r="T15" s="108"/>
      <c r="U15" s="108"/>
      <c r="V15" s="108"/>
      <c r="W15" s="118"/>
      <c r="Y15" s="1">
        <f t="shared" si="0"/>
        <v>0</v>
      </c>
      <c r="Z15" s="1" t="str">
        <f t="shared" si="1"/>
        <v/>
      </c>
      <c r="AA15" s="9">
        <v>1.5</v>
      </c>
    </row>
    <row r="16" spans="1:38" ht="14.25" customHeight="1" x14ac:dyDescent="0.35">
      <c r="A16" s="246"/>
      <c r="B16" s="243"/>
      <c r="C16" s="120"/>
      <c r="D16" s="109"/>
      <c r="E16" s="109"/>
      <c r="F16" s="100"/>
      <c r="G16" s="109"/>
      <c r="H16" s="109"/>
      <c r="I16" s="107"/>
      <c r="J16" s="94">
        <v>2</v>
      </c>
      <c r="K16" s="95">
        <v>2</v>
      </c>
      <c r="L16" s="142">
        <v>2</v>
      </c>
      <c r="M16" s="109"/>
      <c r="N16" s="109"/>
      <c r="O16" s="109"/>
      <c r="P16" s="100"/>
      <c r="Q16" s="109"/>
      <c r="R16" s="109"/>
      <c r="S16" s="109"/>
      <c r="T16" s="109"/>
      <c r="U16" s="109"/>
      <c r="V16" s="109"/>
      <c r="W16" s="116"/>
      <c r="Y16" s="1">
        <f t="shared" si="0"/>
        <v>0</v>
      </c>
      <c r="Z16" s="1" t="str">
        <f t="shared" si="1"/>
        <v/>
      </c>
      <c r="AA16" s="9">
        <v>2.5000000000000001E-2</v>
      </c>
      <c r="AC16" s="9">
        <v>0.5</v>
      </c>
      <c r="AD16" s="11">
        <v>1</v>
      </c>
    </row>
    <row r="17" spans="1:36" ht="14.25" customHeight="1" x14ac:dyDescent="0.35">
      <c r="A17" s="246"/>
      <c r="B17" s="244" t="str">
        <f>Neu!B11</f>
        <v>B31ls</v>
      </c>
      <c r="C17" s="117"/>
      <c r="D17" s="108"/>
      <c r="E17" s="108"/>
      <c r="F17" s="101"/>
      <c r="G17" s="108"/>
      <c r="H17" s="108"/>
      <c r="I17" s="108"/>
      <c r="J17" s="106"/>
      <c r="K17" s="101"/>
      <c r="L17" s="108"/>
      <c r="M17" s="108"/>
      <c r="N17" s="108"/>
      <c r="O17" s="108"/>
      <c r="P17" s="101"/>
      <c r="Q17" s="108"/>
      <c r="R17" s="108"/>
      <c r="S17" s="108"/>
      <c r="T17" s="108"/>
      <c r="U17" s="108"/>
      <c r="V17" s="108"/>
      <c r="W17" s="118"/>
      <c r="Y17" s="1">
        <f t="shared" si="0"/>
        <v>0</v>
      </c>
      <c r="Z17" s="1" t="str">
        <f t="shared" si="1"/>
        <v/>
      </c>
      <c r="AA17" s="9">
        <v>0.02</v>
      </c>
      <c r="AC17" s="9">
        <v>4.2000000000000003E-2</v>
      </c>
      <c r="AD17" s="11">
        <v>15</v>
      </c>
    </row>
    <row r="18" spans="1:36" ht="14.25" customHeight="1" x14ac:dyDescent="0.35">
      <c r="A18" s="246"/>
      <c r="B18" s="243"/>
      <c r="C18" s="119"/>
      <c r="D18" s="94"/>
      <c r="E18" s="94"/>
      <c r="F18" s="95"/>
      <c r="G18" s="94"/>
      <c r="H18" s="94"/>
      <c r="I18" s="94"/>
      <c r="J18" s="110"/>
      <c r="K18" s="95"/>
      <c r="L18" s="94"/>
      <c r="M18" s="94"/>
      <c r="N18" s="94"/>
      <c r="O18" s="94"/>
      <c r="P18" s="95"/>
      <c r="Q18" s="94"/>
      <c r="R18" s="94"/>
      <c r="S18" s="94"/>
      <c r="T18" s="94"/>
      <c r="U18" s="94"/>
      <c r="V18" s="94"/>
      <c r="W18" s="96"/>
      <c r="Y18" s="1">
        <f t="shared" si="0"/>
        <v>0</v>
      </c>
      <c r="Z18" s="1" t="str">
        <f>IF(ROW(AA18)-2&lt;=MAX($C$3:$W$44),ROW(AA18)-2,"")</f>
        <v/>
      </c>
      <c r="AA18" s="9">
        <v>1.3</v>
      </c>
    </row>
    <row r="19" spans="1:36" ht="14.25" customHeight="1" x14ac:dyDescent="0.35">
      <c r="A19" s="246"/>
      <c r="B19" s="244" t="str">
        <f>Neu!B12</f>
        <v>B64rs</v>
      </c>
      <c r="C19" s="117"/>
      <c r="D19" s="108"/>
      <c r="E19" s="108"/>
      <c r="F19" s="101"/>
      <c r="G19" s="108"/>
      <c r="H19" s="108"/>
      <c r="I19" s="108"/>
      <c r="J19" s="108"/>
      <c r="K19" s="99"/>
      <c r="L19" s="108"/>
      <c r="M19" s="108"/>
      <c r="N19" s="108"/>
      <c r="O19" s="108"/>
      <c r="P19" s="101"/>
      <c r="Q19" s="108"/>
      <c r="R19" s="108"/>
      <c r="S19" s="108"/>
      <c r="T19" s="108"/>
      <c r="U19" s="108"/>
      <c r="V19" s="108"/>
      <c r="W19" s="118"/>
      <c r="Y19" s="1">
        <f t="shared" si="0"/>
        <v>0</v>
      </c>
      <c r="Z19" s="1" t="str">
        <f t="shared" ref="Z19:Z82" si="2">IF(ROW(AA19)-2&lt;=MAX($C$3:$W$44),ROW(AA19)-2,"")</f>
        <v/>
      </c>
      <c r="AA19" s="9">
        <v>2E-3</v>
      </c>
    </row>
    <row r="20" spans="1:36" ht="14.25" customHeight="1" x14ac:dyDescent="0.35">
      <c r="A20" s="246"/>
      <c r="B20" s="243"/>
      <c r="C20" s="119"/>
      <c r="D20" s="94"/>
      <c r="E20" s="94"/>
      <c r="F20" s="95"/>
      <c r="G20" s="94"/>
      <c r="H20" s="94"/>
      <c r="I20" s="94"/>
      <c r="J20" s="94"/>
      <c r="K20" s="103"/>
      <c r="L20" s="94"/>
      <c r="M20" s="94"/>
      <c r="N20" s="94"/>
      <c r="O20" s="94"/>
      <c r="P20" s="95"/>
      <c r="Q20" s="94"/>
      <c r="R20" s="94"/>
      <c r="S20" s="94"/>
      <c r="T20" s="94"/>
      <c r="U20" s="94"/>
      <c r="V20" s="94"/>
      <c r="W20" s="96"/>
      <c r="Y20" s="1">
        <f t="shared" si="0"/>
        <v>0</v>
      </c>
      <c r="Z20" s="1" t="str">
        <f t="shared" si="2"/>
        <v/>
      </c>
      <c r="AA20" s="9">
        <v>4</v>
      </c>
    </row>
    <row r="21" spans="1:36" ht="14.25" customHeight="1" x14ac:dyDescent="0.35">
      <c r="A21" s="246"/>
      <c r="B21" s="244" t="str">
        <f>Neu!B13</f>
        <v>B64ra</v>
      </c>
      <c r="C21" s="117"/>
      <c r="D21" s="108"/>
      <c r="E21" s="108"/>
      <c r="F21" s="101"/>
      <c r="G21" s="108"/>
      <c r="H21" s="108"/>
      <c r="I21" s="108"/>
      <c r="J21" s="108"/>
      <c r="K21" s="101"/>
      <c r="L21" s="106"/>
      <c r="M21" s="108"/>
      <c r="N21" s="108"/>
      <c r="O21" s="108"/>
      <c r="P21" s="101"/>
      <c r="Q21" s="108"/>
      <c r="R21" s="108"/>
      <c r="S21" s="108"/>
      <c r="T21" s="108"/>
      <c r="U21" s="108"/>
      <c r="V21" s="108"/>
      <c r="W21" s="118"/>
      <c r="Y21" s="1">
        <f t="shared" si="0"/>
        <v>0</v>
      </c>
      <c r="Z21" s="1" t="str">
        <f t="shared" si="2"/>
        <v/>
      </c>
      <c r="AA21" s="9">
        <v>5</v>
      </c>
      <c r="AB21" s="12">
        <v>1E-3</v>
      </c>
      <c r="AE21" s="13">
        <v>-31</v>
      </c>
      <c r="AF21" s="10">
        <v>3</v>
      </c>
      <c r="AG21" s="10">
        <v>1</v>
      </c>
    </row>
    <row r="22" spans="1:36" ht="14.25" customHeight="1" x14ac:dyDescent="0.35">
      <c r="A22" s="246"/>
      <c r="B22" s="243"/>
      <c r="C22" s="119"/>
      <c r="D22" s="94"/>
      <c r="E22" s="94"/>
      <c r="F22" s="95"/>
      <c r="G22" s="94"/>
      <c r="H22" s="94">
        <v>4</v>
      </c>
      <c r="I22" s="94">
        <v>4</v>
      </c>
      <c r="J22" s="94">
        <v>4</v>
      </c>
      <c r="K22" s="95"/>
      <c r="L22" s="110"/>
      <c r="M22" s="94"/>
      <c r="N22" s="94"/>
      <c r="O22" s="94"/>
      <c r="P22" s="95"/>
      <c r="Q22" s="94"/>
      <c r="R22" s="94"/>
      <c r="S22" s="94"/>
      <c r="T22" s="94"/>
      <c r="U22" s="94"/>
      <c r="V22" s="94"/>
      <c r="W22" s="96"/>
      <c r="Y22" s="1">
        <f t="shared" si="0"/>
        <v>0</v>
      </c>
      <c r="Z22" s="1" t="str">
        <f t="shared" si="2"/>
        <v/>
      </c>
      <c r="AA22" s="9">
        <v>5.0000000000000001E-3</v>
      </c>
    </row>
    <row r="23" spans="1:36" ht="14.25" customHeight="1" x14ac:dyDescent="0.35">
      <c r="A23" s="246"/>
      <c r="B23" s="244">
        <f>Neu!B14</f>
        <v>0</v>
      </c>
      <c r="C23" s="117"/>
      <c r="D23" s="108"/>
      <c r="E23" s="108"/>
      <c r="F23" s="101"/>
      <c r="G23" s="108"/>
      <c r="H23" s="108"/>
      <c r="I23" s="108"/>
      <c r="J23" s="108"/>
      <c r="K23" s="101"/>
      <c r="L23" s="108"/>
      <c r="M23" s="106"/>
      <c r="N23" s="108"/>
      <c r="O23" s="108"/>
      <c r="P23" s="101"/>
      <c r="Q23" s="108"/>
      <c r="R23" s="108"/>
      <c r="S23" s="108"/>
      <c r="T23" s="108"/>
      <c r="U23" s="108"/>
      <c r="V23" s="108"/>
      <c r="W23" s="118"/>
      <c r="Y23" s="1">
        <f t="shared" si="0"/>
        <v>0</v>
      </c>
      <c r="Z23" s="1" t="str">
        <f t="shared" si="2"/>
        <v/>
      </c>
      <c r="AA23" s="9">
        <v>0.03</v>
      </c>
    </row>
    <row r="24" spans="1:36" ht="14.25" customHeight="1" x14ac:dyDescent="0.35">
      <c r="A24" s="246"/>
      <c r="B24" s="243"/>
      <c r="C24" s="120"/>
      <c r="D24" s="109"/>
      <c r="E24" s="109"/>
      <c r="F24" s="100"/>
      <c r="G24" s="109"/>
      <c r="H24" s="109"/>
      <c r="I24" s="109"/>
      <c r="J24" s="109"/>
      <c r="K24" s="100"/>
      <c r="L24" s="109"/>
      <c r="M24" s="107"/>
      <c r="N24" s="109"/>
      <c r="O24" s="109"/>
      <c r="P24" s="100"/>
      <c r="Q24" s="109"/>
      <c r="R24" s="109"/>
      <c r="S24" s="109"/>
      <c r="T24" s="109"/>
      <c r="U24" s="109"/>
      <c r="V24" s="109"/>
      <c r="W24" s="116"/>
      <c r="Y24" s="1">
        <f t="shared" si="0"/>
        <v>0</v>
      </c>
      <c r="Z24" s="1" t="str">
        <f t="shared" si="2"/>
        <v/>
      </c>
      <c r="AA24" s="9">
        <v>0.5</v>
      </c>
      <c r="AI24" s="67" t="s">
        <v>89</v>
      </c>
      <c r="AJ24" s="67">
        <v>0.5</v>
      </c>
    </row>
    <row r="25" spans="1:36" ht="14.25" customHeight="1" x14ac:dyDescent="0.35">
      <c r="A25" s="246"/>
      <c r="B25" s="244">
        <f>Neu!B15</f>
        <v>0</v>
      </c>
      <c r="C25" s="117"/>
      <c r="D25" s="108"/>
      <c r="E25" s="108"/>
      <c r="F25" s="101"/>
      <c r="G25" s="108"/>
      <c r="H25" s="108"/>
      <c r="I25" s="108"/>
      <c r="J25" s="108"/>
      <c r="K25" s="101"/>
      <c r="L25" s="108"/>
      <c r="M25" s="108"/>
      <c r="N25" s="106"/>
      <c r="O25" s="108"/>
      <c r="P25" s="101"/>
      <c r="Q25" s="108"/>
      <c r="R25" s="108"/>
      <c r="S25" s="108"/>
      <c r="T25" s="108"/>
      <c r="U25" s="108"/>
      <c r="V25" s="108"/>
      <c r="W25" s="118"/>
      <c r="Y25" s="1">
        <f t="shared" si="0"/>
        <v>0</v>
      </c>
      <c r="Z25" s="1" t="str">
        <f t="shared" si="2"/>
        <v/>
      </c>
      <c r="AA25" s="9">
        <v>1.4999999999999999E-2</v>
      </c>
      <c r="AI25" s="67" t="s">
        <v>89</v>
      </c>
      <c r="AJ25" s="67">
        <v>0.5</v>
      </c>
    </row>
    <row r="26" spans="1:36" ht="14.25" customHeight="1" x14ac:dyDescent="0.35">
      <c r="A26" s="246"/>
      <c r="B26" s="243"/>
      <c r="C26" s="119"/>
      <c r="D26" s="94"/>
      <c r="E26" s="94"/>
      <c r="F26" s="95"/>
      <c r="G26" s="94"/>
      <c r="H26" s="94"/>
      <c r="I26" s="94"/>
      <c r="J26" s="94"/>
      <c r="K26" s="95"/>
      <c r="L26" s="94"/>
      <c r="M26" s="94"/>
      <c r="N26" s="110"/>
      <c r="O26" s="94"/>
      <c r="P26" s="95"/>
      <c r="Q26" s="94"/>
      <c r="R26" s="94"/>
      <c r="S26" s="94"/>
      <c r="T26" s="94"/>
      <c r="U26" s="94"/>
      <c r="V26" s="94"/>
      <c r="W26" s="96"/>
      <c r="Y26" s="1">
        <f t="shared" si="0"/>
        <v>0</v>
      </c>
      <c r="Z26" s="1" t="str">
        <f t="shared" si="2"/>
        <v/>
      </c>
      <c r="AA26" s="9">
        <v>0.01</v>
      </c>
    </row>
    <row r="27" spans="1:36" ht="14.25" customHeight="1" x14ac:dyDescent="0.35">
      <c r="A27" s="246"/>
      <c r="B27" s="244"/>
      <c r="C27" s="117"/>
      <c r="D27" s="108"/>
      <c r="E27" s="108"/>
      <c r="F27" s="101"/>
      <c r="G27" s="108"/>
      <c r="H27" s="108"/>
      <c r="I27" s="108"/>
      <c r="J27" s="108"/>
      <c r="K27" s="101"/>
      <c r="L27" s="108"/>
      <c r="M27" s="108"/>
      <c r="N27" s="108"/>
      <c r="O27" s="106"/>
      <c r="P27" s="101"/>
      <c r="Q27" s="108"/>
      <c r="R27" s="108"/>
      <c r="S27" s="108"/>
      <c r="T27" s="108"/>
      <c r="U27" s="108"/>
      <c r="V27" s="108"/>
      <c r="W27" s="118"/>
    </row>
    <row r="28" spans="1:36" ht="14.25" customHeight="1" x14ac:dyDescent="0.35">
      <c r="A28" s="246"/>
      <c r="B28" s="243"/>
      <c r="C28" s="119"/>
      <c r="D28" s="94"/>
      <c r="E28" s="94"/>
      <c r="F28" s="95"/>
      <c r="G28" s="94"/>
      <c r="H28" s="94"/>
      <c r="I28" s="94"/>
      <c r="J28" s="94"/>
      <c r="K28" s="95"/>
      <c r="L28" s="94"/>
      <c r="M28" s="94"/>
      <c r="N28" s="94"/>
      <c r="O28" s="110"/>
      <c r="P28" s="95"/>
      <c r="Q28" s="94"/>
      <c r="R28" s="94"/>
      <c r="S28" s="94"/>
      <c r="T28" s="94"/>
      <c r="U28" s="94"/>
      <c r="V28" s="94"/>
      <c r="W28" s="96"/>
    </row>
    <row r="29" spans="1:36" ht="14.25" customHeight="1" x14ac:dyDescent="0.35">
      <c r="A29" s="246"/>
      <c r="B29" s="244"/>
      <c r="C29" s="117"/>
      <c r="D29" s="108"/>
      <c r="E29" s="108"/>
      <c r="F29" s="101"/>
      <c r="G29" s="108"/>
      <c r="H29" s="108"/>
      <c r="I29" s="108"/>
      <c r="J29" s="108"/>
      <c r="K29" s="101"/>
      <c r="L29" s="108"/>
      <c r="M29" s="108"/>
      <c r="N29" s="108"/>
      <c r="O29" s="108"/>
      <c r="P29" s="99"/>
      <c r="Q29" s="108"/>
      <c r="R29" s="108"/>
      <c r="S29" s="108"/>
      <c r="T29" s="108"/>
      <c r="U29" s="108"/>
      <c r="V29" s="108"/>
      <c r="W29" s="118"/>
    </row>
    <row r="30" spans="1:36" ht="14.25" customHeight="1" x14ac:dyDescent="0.35">
      <c r="A30" s="246"/>
      <c r="B30" s="243"/>
      <c r="C30" s="119"/>
      <c r="D30" s="94"/>
      <c r="E30" s="94"/>
      <c r="F30" s="95"/>
      <c r="G30" s="94"/>
      <c r="H30" s="94"/>
      <c r="I30" s="94"/>
      <c r="J30" s="94"/>
      <c r="K30" s="95"/>
      <c r="L30" s="94"/>
      <c r="M30" s="94"/>
      <c r="N30" s="94"/>
      <c r="O30" s="94"/>
      <c r="P30" s="103"/>
      <c r="Q30" s="94"/>
      <c r="R30" s="94"/>
      <c r="S30" s="94"/>
      <c r="T30" s="94"/>
      <c r="U30" s="94"/>
      <c r="V30" s="94"/>
      <c r="W30" s="96"/>
    </row>
    <row r="31" spans="1:36" ht="14.25" customHeight="1" x14ac:dyDescent="0.35">
      <c r="A31" s="246"/>
      <c r="B31" s="244"/>
      <c r="C31" s="117"/>
      <c r="D31" s="108"/>
      <c r="E31" s="108"/>
      <c r="F31" s="101"/>
      <c r="G31" s="108"/>
      <c r="H31" s="108"/>
      <c r="I31" s="108"/>
      <c r="J31" s="108"/>
      <c r="K31" s="101"/>
      <c r="L31" s="108"/>
      <c r="M31" s="108"/>
      <c r="N31" s="108"/>
      <c r="O31" s="108"/>
      <c r="P31" s="101"/>
      <c r="Q31" s="106"/>
      <c r="R31" s="108"/>
      <c r="S31" s="108"/>
      <c r="T31" s="108"/>
      <c r="U31" s="108"/>
      <c r="V31" s="108"/>
      <c r="W31" s="118"/>
    </row>
    <row r="32" spans="1:36" ht="14.25" customHeight="1" x14ac:dyDescent="0.35">
      <c r="A32" s="246"/>
      <c r="B32" s="243"/>
      <c r="C32" s="120"/>
      <c r="D32" s="109"/>
      <c r="E32" s="109"/>
      <c r="F32" s="100"/>
      <c r="G32" s="109"/>
      <c r="H32" s="109"/>
      <c r="I32" s="109"/>
      <c r="J32" s="109"/>
      <c r="K32" s="100"/>
      <c r="L32" s="109"/>
      <c r="M32" s="109"/>
      <c r="N32" s="109"/>
      <c r="O32" s="109"/>
      <c r="P32" s="100"/>
      <c r="Q32" s="107"/>
      <c r="R32" s="109"/>
      <c r="S32" s="109"/>
      <c r="T32" s="109"/>
      <c r="U32" s="109"/>
      <c r="V32" s="109"/>
      <c r="W32" s="116"/>
    </row>
    <row r="33" spans="1:26" ht="14.25" customHeight="1" x14ac:dyDescent="0.35">
      <c r="A33" s="246"/>
      <c r="B33" s="244"/>
      <c r="C33" s="117"/>
      <c r="D33" s="108"/>
      <c r="E33" s="108"/>
      <c r="F33" s="101"/>
      <c r="G33" s="108"/>
      <c r="H33" s="108"/>
      <c r="I33" s="108"/>
      <c r="J33" s="108"/>
      <c r="K33" s="101"/>
      <c r="L33" s="108"/>
      <c r="M33" s="108"/>
      <c r="N33" s="108"/>
      <c r="O33" s="108"/>
      <c r="P33" s="101"/>
      <c r="Q33" s="108"/>
      <c r="R33" s="106"/>
      <c r="S33" s="108"/>
      <c r="T33" s="108"/>
      <c r="U33" s="108"/>
      <c r="V33" s="108"/>
      <c r="W33" s="118"/>
    </row>
    <row r="34" spans="1:26" ht="14.25" customHeight="1" x14ac:dyDescent="0.35">
      <c r="A34" s="246"/>
      <c r="B34" s="243"/>
      <c r="C34" s="119"/>
      <c r="D34" s="94"/>
      <c r="E34" s="94"/>
      <c r="F34" s="95"/>
      <c r="G34" s="94"/>
      <c r="H34" s="94"/>
      <c r="I34" s="94"/>
      <c r="J34" s="94"/>
      <c r="K34" s="95"/>
      <c r="L34" s="94"/>
      <c r="M34" s="94"/>
      <c r="N34" s="94"/>
      <c r="O34" s="94"/>
      <c r="P34" s="95"/>
      <c r="Q34" s="94"/>
      <c r="R34" s="110"/>
      <c r="S34" s="94"/>
      <c r="T34" s="94"/>
      <c r="U34" s="94"/>
      <c r="V34" s="94"/>
      <c r="W34" s="96"/>
    </row>
    <row r="35" spans="1:26" ht="14.25" customHeight="1" x14ac:dyDescent="0.35">
      <c r="A35" s="246"/>
      <c r="B35" s="244"/>
      <c r="C35" s="117"/>
      <c r="D35" s="108"/>
      <c r="E35" s="108"/>
      <c r="F35" s="101"/>
      <c r="G35" s="108"/>
      <c r="H35" s="108"/>
      <c r="I35" s="108"/>
      <c r="J35" s="108"/>
      <c r="K35" s="101"/>
      <c r="L35" s="108"/>
      <c r="M35" s="108"/>
      <c r="N35" s="108"/>
      <c r="O35" s="108"/>
      <c r="P35" s="101"/>
      <c r="Q35" s="108"/>
      <c r="R35" s="108"/>
      <c r="S35" s="106"/>
      <c r="T35" s="108"/>
      <c r="U35" s="108"/>
      <c r="V35" s="108"/>
      <c r="W35" s="118"/>
    </row>
    <row r="36" spans="1:26" ht="14.25" customHeight="1" x14ac:dyDescent="0.35">
      <c r="A36" s="246"/>
      <c r="B36" s="243"/>
      <c r="C36" s="119"/>
      <c r="D36" s="94"/>
      <c r="E36" s="94"/>
      <c r="F36" s="95"/>
      <c r="G36" s="94"/>
      <c r="H36" s="94"/>
      <c r="I36" s="94"/>
      <c r="J36" s="94"/>
      <c r="K36" s="95"/>
      <c r="L36" s="94"/>
      <c r="M36" s="94"/>
      <c r="N36" s="94"/>
      <c r="O36" s="94"/>
      <c r="P36" s="95"/>
      <c r="Q36" s="94"/>
      <c r="R36" s="94"/>
      <c r="S36" s="110"/>
      <c r="T36" s="94"/>
      <c r="U36" s="94"/>
      <c r="V36" s="94"/>
      <c r="W36" s="96"/>
    </row>
    <row r="37" spans="1:26" ht="14.25" customHeight="1" x14ac:dyDescent="0.35">
      <c r="A37" s="246"/>
      <c r="B37" s="244">
        <f>Neu!B16</f>
        <v>0</v>
      </c>
      <c r="C37" s="117"/>
      <c r="D37" s="108"/>
      <c r="E37" s="108"/>
      <c r="F37" s="101"/>
      <c r="G37" s="108"/>
      <c r="H37" s="108"/>
      <c r="I37" s="108"/>
      <c r="J37" s="108"/>
      <c r="K37" s="101"/>
      <c r="L37" s="108"/>
      <c r="M37" s="108"/>
      <c r="N37" s="108"/>
      <c r="O37" s="108"/>
      <c r="P37" s="101"/>
      <c r="Q37" s="108"/>
      <c r="R37" s="108"/>
      <c r="S37" s="108"/>
      <c r="T37" s="106"/>
      <c r="U37" s="108"/>
      <c r="V37" s="108"/>
      <c r="W37" s="118"/>
    </row>
    <row r="38" spans="1:26" ht="14.25" customHeight="1" x14ac:dyDescent="0.35">
      <c r="A38" s="246"/>
      <c r="B38" s="243"/>
      <c r="C38" s="119"/>
      <c r="D38" s="94"/>
      <c r="E38" s="94"/>
      <c r="F38" s="95"/>
      <c r="G38" s="94"/>
      <c r="H38" s="94"/>
      <c r="I38" s="94"/>
      <c r="J38" s="94"/>
      <c r="K38" s="95"/>
      <c r="L38" s="94"/>
      <c r="M38" s="94"/>
      <c r="N38" s="94"/>
      <c r="O38" s="94"/>
      <c r="P38" s="95"/>
      <c r="Q38" s="94"/>
      <c r="R38" s="94"/>
      <c r="S38" s="94"/>
      <c r="T38" s="110"/>
      <c r="U38" s="94"/>
      <c r="V38" s="94"/>
      <c r="W38" s="96"/>
    </row>
    <row r="39" spans="1:26" ht="14.25" customHeight="1" x14ac:dyDescent="0.35">
      <c r="A39" s="246"/>
      <c r="B39" s="244">
        <f>Neu!B17</f>
        <v>0</v>
      </c>
      <c r="C39" s="117"/>
      <c r="D39" s="108"/>
      <c r="E39" s="108"/>
      <c r="F39" s="101"/>
      <c r="G39" s="108"/>
      <c r="H39" s="108"/>
      <c r="I39" s="108"/>
      <c r="J39" s="108"/>
      <c r="K39" s="101"/>
      <c r="L39" s="108"/>
      <c r="M39" s="108"/>
      <c r="N39" s="108"/>
      <c r="O39" s="108"/>
      <c r="P39" s="101"/>
      <c r="Q39" s="108"/>
      <c r="R39" s="108"/>
      <c r="S39" s="108"/>
      <c r="T39" s="108"/>
      <c r="U39" s="106"/>
      <c r="V39" s="108"/>
      <c r="W39" s="118"/>
    </row>
    <row r="40" spans="1:26" ht="14.25" customHeight="1" x14ac:dyDescent="0.35">
      <c r="A40" s="246"/>
      <c r="B40" s="243"/>
      <c r="C40" s="119"/>
      <c r="D40" s="94"/>
      <c r="E40" s="94"/>
      <c r="F40" s="95"/>
      <c r="G40" s="94"/>
      <c r="H40" s="94"/>
      <c r="I40" s="94"/>
      <c r="J40" s="94"/>
      <c r="K40" s="95"/>
      <c r="L40" s="94"/>
      <c r="M40" s="94"/>
      <c r="N40" s="94"/>
      <c r="O40" s="94"/>
      <c r="P40" s="95"/>
      <c r="Q40" s="94"/>
      <c r="R40" s="94"/>
      <c r="S40" s="94"/>
      <c r="T40" s="94"/>
      <c r="U40" s="110"/>
      <c r="V40" s="94"/>
      <c r="W40" s="96"/>
    </row>
    <row r="41" spans="1:26" ht="14.25" customHeight="1" x14ac:dyDescent="0.35">
      <c r="A41" s="246"/>
      <c r="B41" s="244"/>
      <c r="C41" s="117"/>
      <c r="D41" s="108"/>
      <c r="E41" s="108"/>
      <c r="F41" s="101"/>
      <c r="G41" s="108"/>
      <c r="H41" s="108"/>
      <c r="I41" s="108"/>
      <c r="J41" s="108"/>
      <c r="K41" s="101"/>
      <c r="L41" s="108"/>
      <c r="M41" s="108"/>
      <c r="N41" s="108"/>
      <c r="O41" s="108"/>
      <c r="P41" s="101"/>
      <c r="Q41" s="108"/>
      <c r="R41" s="108"/>
      <c r="S41" s="108"/>
      <c r="T41" s="108"/>
      <c r="U41" s="108"/>
      <c r="V41" s="106"/>
      <c r="W41" s="118"/>
    </row>
    <row r="42" spans="1:26" ht="14.25" customHeight="1" x14ac:dyDescent="0.35">
      <c r="A42" s="246"/>
      <c r="B42" s="243"/>
      <c r="C42" s="119"/>
      <c r="D42" s="94"/>
      <c r="E42" s="94"/>
      <c r="F42" s="95"/>
      <c r="G42" s="94"/>
      <c r="H42" s="94"/>
      <c r="I42" s="94"/>
      <c r="J42" s="94"/>
      <c r="K42" s="95"/>
      <c r="L42" s="94"/>
      <c r="M42" s="94"/>
      <c r="N42" s="94"/>
      <c r="O42" s="94"/>
      <c r="P42" s="95"/>
      <c r="Q42" s="94"/>
      <c r="R42" s="94"/>
      <c r="S42" s="94"/>
      <c r="T42" s="94"/>
      <c r="U42" s="94"/>
      <c r="V42" s="110"/>
      <c r="W42" s="96"/>
    </row>
    <row r="43" spans="1:26" ht="14.25" customHeight="1" x14ac:dyDescent="0.35">
      <c r="A43" s="246"/>
      <c r="B43" s="244">
        <f>Neu!B24</f>
        <v>0</v>
      </c>
      <c r="C43" s="117"/>
      <c r="D43" s="108"/>
      <c r="E43" s="108"/>
      <c r="F43" s="101"/>
      <c r="G43" s="108"/>
      <c r="H43" s="108"/>
      <c r="I43" s="108"/>
      <c r="J43" s="108"/>
      <c r="K43" s="101"/>
      <c r="L43" s="108"/>
      <c r="M43" s="108"/>
      <c r="N43" s="108"/>
      <c r="O43" s="108"/>
      <c r="P43" s="101"/>
      <c r="Q43" s="108"/>
      <c r="R43" s="108"/>
      <c r="S43" s="108"/>
      <c r="T43" s="108"/>
      <c r="U43" s="108"/>
      <c r="V43" s="108"/>
      <c r="W43" s="121"/>
    </row>
    <row r="44" spans="1:26" ht="14.25" customHeight="1" thickBot="1" x14ac:dyDescent="0.4">
      <c r="A44" s="105"/>
      <c r="B44" s="247"/>
      <c r="C44" s="122"/>
      <c r="D44" s="123"/>
      <c r="E44" s="123"/>
      <c r="F44" s="124"/>
      <c r="G44" s="123"/>
      <c r="H44" s="123"/>
      <c r="I44" s="123"/>
      <c r="J44" s="123"/>
      <c r="K44" s="124"/>
      <c r="L44" s="123"/>
      <c r="M44" s="123"/>
      <c r="N44" s="123"/>
      <c r="O44" s="123"/>
      <c r="P44" s="124"/>
      <c r="Q44" s="123"/>
      <c r="R44" s="123"/>
      <c r="S44" s="123"/>
      <c r="T44" s="123"/>
      <c r="U44" s="123"/>
      <c r="V44" s="123"/>
      <c r="W44" s="125"/>
    </row>
    <row r="45" spans="1:26" x14ac:dyDescent="0.35">
      <c r="V45" s="93" t="s">
        <v>159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B3:B4"/>
    <mergeCell ref="C1:W1"/>
  </mergeCells>
  <conditionalFormatting sqref="B3 B5 B7 B9 B11 B13 B15 B17 B19 B21">
    <cfRule type="cellIs" dxfId="5" priority="2" operator="equal">
      <formula>0</formula>
    </cfRule>
  </conditionalFormatting>
  <conditionalFormatting sqref="B23 B25 B27 B29 B31 B33 B35 B37 B39 B41 B43">
    <cfRule type="cellIs" dxfId="4" priority="8" operator="equal">
      <formula>0</formula>
    </cfRule>
  </conditionalFormatting>
  <conditionalFormatting sqref="C2:W2">
    <cfRule type="cellIs" dxfId="3" priority="1" operator="equal">
      <formula>0</formula>
    </cfRule>
  </conditionalFormatting>
  <conditionalFormatting sqref="C3:W44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5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W23"/>
  <sheetViews>
    <sheetView topLeftCell="A4" zoomScale="85" zoomScaleNormal="85" workbookViewId="0">
      <selection activeCell="L11" sqref="L11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52"/>
      <c r="B1" s="252"/>
      <c r="C1" s="252" t="s">
        <v>4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</row>
    <row r="2" spans="1:23" ht="15" thickBot="1" x14ac:dyDescent="0.4">
      <c r="A2" s="252"/>
      <c r="B2" s="252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132">
        <f>Neu!B14</f>
        <v>0</v>
      </c>
      <c r="N2" s="132">
        <f>Neu!B15</f>
        <v>0</v>
      </c>
      <c r="O2" s="132"/>
      <c r="P2" s="132"/>
      <c r="Q2" s="132"/>
      <c r="R2" s="132"/>
      <c r="S2" s="132"/>
      <c r="T2" s="132">
        <f>Neu!$B16</f>
        <v>0</v>
      </c>
      <c r="U2" s="132">
        <f>Neu!$B17</f>
        <v>0</v>
      </c>
      <c r="V2" s="132"/>
      <c r="W2" s="133">
        <f>Neu!$B24</f>
        <v>0</v>
      </c>
    </row>
    <row r="3" spans="1:23" ht="29.15" customHeight="1" x14ac:dyDescent="0.35">
      <c r="A3" s="253" t="s">
        <v>5</v>
      </c>
      <c r="B3" s="180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>
        <f>C13</f>
        <v>0</v>
      </c>
      <c r="N3" s="76">
        <f>C14</f>
        <v>0</v>
      </c>
      <c r="O3" s="76"/>
      <c r="P3" s="76"/>
      <c r="Q3" s="77"/>
      <c r="R3" s="77"/>
      <c r="S3" s="77">
        <f>C19</f>
        <v>0</v>
      </c>
      <c r="T3" s="77">
        <f>C20</f>
        <v>0</v>
      </c>
      <c r="U3" s="77">
        <f>C21</f>
        <v>0</v>
      </c>
      <c r="V3" s="77">
        <f>C22</f>
        <v>0</v>
      </c>
      <c r="W3" s="78">
        <f>C23</f>
        <v>0</v>
      </c>
    </row>
    <row r="4" spans="1:23" ht="29.15" customHeight="1" x14ac:dyDescent="0.35">
      <c r="A4" s="253"/>
      <c r="B4" s="181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/>
      <c r="P4" s="7"/>
      <c r="Q4" s="72"/>
      <c r="R4" s="72"/>
      <c r="S4" s="70">
        <f>D19</f>
        <v>0</v>
      </c>
      <c r="T4" s="70">
        <f>D20</f>
        <v>0</v>
      </c>
      <c r="U4" s="70">
        <f>D21</f>
        <v>0</v>
      </c>
      <c r="V4" s="70">
        <f>D22</f>
        <v>0</v>
      </c>
      <c r="W4" s="6">
        <f>D23</f>
        <v>0</v>
      </c>
    </row>
    <row r="5" spans="1:23" ht="29.15" customHeight="1" x14ac:dyDescent="0.35">
      <c r="A5" s="253"/>
      <c r="B5" s="181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/>
      <c r="P5" s="7"/>
      <c r="Q5" s="72"/>
      <c r="R5" s="72"/>
      <c r="S5" s="70">
        <f>E19</f>
        <v>0</v>
      </c>
      <c r="T5" s="70">
        <f>E20</f>
        <v>0</v>
      </c>
      <c r="U5" s="70">
        <f>E21</f>
        <v>0</v>
      </c>
      <c r="V5" s="70">
        <f>E22</f>
        <v>0</v>
      </c>
      <c r="W5" s="6">
        <f>E23</f>
        <v>0</v>
      </c>
    </row>
    <row r="6" spans="1:23" ht="29.15" customHeight="1" x14ac:dyDescent="0.35">
      <c r="A6" s="253"/>
      <c r="B6" s="181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/>
      <c r="P6" s="7"/>
      <c r="Q6" s="72"/>
      <c r="R6" s="72"/>
      <c r="S6" s="70">
        <f>F19</f>
        <v>0</v>
      </c>
      <c r="T6" s="70">
        <f>F20</f>
        <v>0</v>
      </c>
      <c r="U6" s="70">
        <f>F21</f>
        <v>0</v>
      </c>
      <c r="V6" s="70">
        <f>F22</f>
        <v>0</v>
      </c>
      <c r="W6" s="6">
        <f>F23</f>
        <v>0</v>
      </c>
    </row>
    <row r="7" spans="1:23" ht="29.15" customHeight="1" x14ac:dyDescent="0.35">
      <c r="A7" s="253"/>
      <c r="B7" s="181" t="str">
        <f>Neu!B8</f>
        <v>B64la</v>
      </c>
      <c r="C7" s="79"/>
      <c r="D7" s="145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/>
      <c r="P7" s="7"/>
      <c r="Q7" s="72"/>
      <c r="R7" s="72"/>
      <c r="S7" s="70">
        <f>G19</f>
        <v>0</v>
      </c>
      <c r="T7" s="70">
        <f>G20</f>
        <v>0</v>
      </c>
      <c r="U7" s="70">
        <f>G21</f>
        <v>0</v>
      </c>
      <c r="V7" s="70">
        <f>G22</f>
        <v>0</v>
      </c>
      <c r="W7" s="6">
        <f>G23</f>
        <v>0</v>
      </c>
    </row>
    <row r="8" spans="1:23" ht="29.15" customHeight="1" x14ac:dyDescent="0.35">
      <c r="A8" s="253"/>
      <c r="B8" s="181" t="str">
        <f>Neu!B9</f>
        <v>B63rs</v>
      </c>
      <c r="C8" s="79"/>
      <c r="D8" s="7"/>
      <c r="E8" s="7"/>
      <c r="F8" s="7"/>
      <c r="G8" s="7"/>
      <c r="H8" s="71"/>
      <c r="I8" s="7">
        <f>H9</f>
        <v>0.13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/>
      <c r="P8" s="7"/>
      <c r="Q8" s="72"/>
      <c r="R8" s="72"/>
      <c r="S8" s="70">
        <f>H19</f>
        <v>0</v>
      </c>
      <c r="T8" s="70">
        <f>H20</f>
        <v>0</v>
      </c>
      <c r="U8" s="70">
        <f>H21</f>
        <v>0</v>
      </c>
      <c r="V8" s="70">
        <f>H22</f>
        <v>0</v>
      </c>
      <c r="W8" s="6">
        <f>H23</f>
        <v>0</v>
      </c>
    </row>
    <row r="9" spans="1:23" ht="29.15" customHeight="1" x14ac:dyDescent="0.35">
      <c r="A9" s="253"/>
      <c r="B9" s="181" t="str">
        <f>Neu!B10</f>
        <v>B63ra</v>
      </c>
      <c r="C9" s="79"/>
      <c r="D9" s="145"/>
      <c r="E9" s="7"/>
      <c r="F9" s="7"/>
      <c r="G9" s="7"/>
      <c r="H9" s="7">
        <v>0.13</v>
      </c>
      <c r="I9" s="71"/>
      <c r="J9" s="7">
        <f>I10</f>
        <v>0.05</v>
      </c>
      <c r="K9" s="7">
        <f>I11</f>
        <v>0</v>
      </c>
      <c r="L9" s="7">
        <f>I12</f>
        <v>0</v>
      </c>
      <c r="M9" s="7">
        <f>I13</f>
        <v>0</v>
      </c>
      <c r="N9" s="7">
        <f>H15</f>
        <v>0</v>
      </c>
      <c r="O9" s="7"/>
      <c r="P9" s="7"/>
      <c r="Q9" s="72"/>
      <c r="R9" s="72"/>
      <c r="S9" s="70">
        <f>I19</f>
        <v>0</v>
      </c>
      <c r="T9" s="70">
        <f>I20</f>
        <v>0</v>
      </c>
      <c r="U9" s="70">
        <f>I21</f>
        <v>0</v>
      </c>
      <c r="V9" s="70">
        <f>I22</f>
        <v>0</v>
      </c>
      <c r="W9" s="6">
        <f>I23</f>
        <v>0</v>
      </c>
    </row>
    <row r="10" spans="1:23" ht="29.15" customHeight="1" x14ac:dyDescent="0.35">
      <c r="A10" s="253"/>
      <c r="B10" s="181" t="str">
        <f>Neu!B11</f>
        <v>B31ls</v>
      </c>
      <c r="C10" s="79"/>
      <c r="D10" s="7"/>
      <c r="E10" s="7"/>
      <c r="F10" s="7"/>
      <c r="G10" s="7"/>
      <c r="H10" s="7"/>
      <c r="I10" s="14">
        <v>0.05</v>
      </c>
      <c r="J10" s="71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/>
      <c r="P10" s="7"/>
      <c r="Q10" s="72"/>
      <c r="R10" s="72"/>
      <c r="S10" s="70">
        <f>J19</f>
        <v>0</v>
      </c>
      <c r="T10" s="70">
        <f>J20</f>
        <v>0</v>
      </c>
      <c r="U10" s="70">
        <f>J21</f>
        <v>0</v>
      </c>
      <c r="V10" s="70">
        <f>J22</f>
        <v>0</v>
      </c>
      <c r="W10" s="6">
        <f>J23</f>
        <v>0</v>
      </c>
    </row>
    <row r="11" spans="1:23" ht="29.15" customHeight="1" x14ac:dyDescent="0.35">
      <c r="A11" s="253"/>
      <c r="B11" s="181" t="str">
        <f>Neu!B12</f>
        <v>B64rs</v>
      </c>
      <c r="C11" s="79"/>
      <c r="D11" s="7"/>
      <c r="E11" s="7"/>
      <c r="F11" s="7"/>
      <c r="G11" s="7"/>
      <c r="H11" s="7"/>
      <c r="I11" s="7"/>
      <c r="J11" s="7"/>
      <c r="K11" s="71"/>
      <c r="L11" s="7">
        <v>2.5000000000000001E-2</v>
      </c>
      <c r="M11" s="7">
        <f>K13</f>
        <v>0</v>
      </c>
      <c r="N11" s="7">
        <f>K14</f>
        <v>0</v>
      </c>
      <c r="O11" s="7"/>
      <c r="P11" s="7"/>
      <c r="Q11" s="72"/>
      <c r="R11" s="72"/>
      <c r="S11" s="70">
        <f>K19</f>
        <v>0</v>
      </c>
      <c r="T11" s="70">
        <f>K20</f>
        <v>0</v>
      </c>
      <c r="U11" s="70">
        <f>K21</f>
        <v>0</v>
      </c>
      <c r="V11" s="70">
        <f>K22</f>
        <v>0</v>
      </c>
      <c r="W11" s="6">
        <f>K23</f>
        <v>0</v>
      </c>
    </row>
    <row r="12" spans="1:23" ht="29.15" customHeight="1" x14ac:dyDescent="0.35">
      <c r="A12" s="253"/>
      <c r="B12" s="181" t="str">
        <f>Neu!B13</f>
        <v>B64ra</v>
      </c>
      <c r="C12" s="79"/>
      <c r="D12" s="7"/>
      <c r="E12" s="7"/>
      <c r="F12" s="7"/>
      <c r="G12" s="7"/>
      <c r="H12" s="7"/>
      <c r="I12" s="7"/>
      <c r="J12" s="7"/>
      <c r="K12" s="7">
        <v>0.1</v>
      </c>
      <c r="L12" s="71"/>
      <c r="M12" s="7">
        <f>L13</f>
        <v>0</v>
      </c>
      <c r="N12" s="7">
        <f>L14</f>
        <v>0</v>
      </c>
      <c r="O12" s="7"/>
      <c r="P12" s="7"/>
      <c r="Q12" s="72"/>
      <c r="R12" s="72"/>
      <c r="S12" s="70">
        <f>L19</f>
        <v>0</v>
      </c>
      <c r="T12" s="70">
        <f>L20</f>
        <v>0</v>
      </c>
      <c r="U12" s="70">
        <f>L21</f>
        <v>0</v>
      </c>
      <c r="V12" s="70">
        <f>L22</f>
        <v>0</v>
      </c>
      <c r="W12" s="6">
        <f>L23</f>
        <v>0</v>
      </c>
    </row>
    <row r="13" spans="1:23" ht="29.15" customHeight="1" x14ac:dyDescent="0.35">
      <c r="A13" s="253"/>
      <c r="B13" s="181"/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>
        <f>M14</f>
        <v>0</v>
      </c>
      <c r="O13" s="7"/>
      <c r="P13" s="7"/>
      <c r="Q13" s="72"/>
      <c r="R13" s="72"/>
      <c r="S13" s="70">
        <f>M19</f>
        <v>0</v>
      </c>
      <c r="T13" s="70">
        <f>M20</f>
        <v>0</v>
      </c>
      <c r="U13" s="70">
        <f>M21</f>
        <v>0</v>
      </c>
      <c r="V13" s="70">
        <f>M22</f>
        <v>0</v>
      </c>
      <c r="W13" s="6">
        <f>M23</f>
        <v>0</v>
      </c>
    </row>
    <row r="14" spans="1:23" ht="29.15" customHeight="1" x14ac:dyDescent="0.35">
      <c r="A14" s="253"/>
      <c r="B14" s="181"/>
      <c r="C14" s="79"/>
      <c r="D14" s="7"/>
      <c r="E14" s="7"/>
      <c r="F14" s="7"/>
      <c r="G14" s="7"/>
      <c r="H14" s="7"/>
      <c r="J14" s="7"/>
      <c r="K14" s="7"/>
      <c r="L14" s="7"/>
      <c r="M14" s="7"/>
      <c r="N14" s="71"/>
      <c r="O14" s="7"/>
      <c r="P14" s="7"/>
      <c r="Q14" s="72"/>
      <c r="R14" s="72"/>
      <c r="S14" s="70">
        <f>N19</f>
        <v>0</v>
      </c>
      <c r="T14" s="70">
        <f>N20</f>
        <v>0</v>
      </c>
      <c r="U14" s="70">
        <f>N21</f>
        <v>0</v>
      </c>
      <c r="V14" s="70">
        <f>N22</f>
        <v>0</v>
      </c>
      <c r="W14" s="6">
        <f>N23</f>
        <v>0</v>
      </c>
    </row>
    <row r="15" spans="1:23" ht="29.15" customHeight="1" x14ac:dyDescent="0.35">
      <c r="A15" s="253"/>
      <c r="B15" s="181"/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>
        <f>O19</f>
        <v>0</v>
      </c>
      <c r="T15" s="70">
        <f>O20</f>
        <v>0</v>
      </c>
      <c r="U15" s="70">
        <f>O21</f>
        <v>0</v>
      </c>
      <c r="V15" s="70">
        <f>O22</f>
        <v>0</v>
      </c>
      <c r="W15" s="6">
        <f>O23</f>
        <v>0</v>
      </c>
    </row>
    <row r="16" spans="1:23" ht="29.15" customHeight="1" x14ac:dyDescent="0.35">
      <c r="A16" s="253"/>
      <c r="B16" s="181"/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>
        <f>P19</f>
        <v>0</v>
      </c>
      <c r="T16" s="70">
        <f>P20</f>
        <v>0</v>
      </c>
      <c r="U16" s="70">
        <f>P21</f>
        <v>0</v>
      </c>
      <c r="V16" s="70">
        <f>P22</f>
        <v>0</v>
      </c>
      <c r="W16" s="6">
        <f>P23</f>
        <v>0</v>
      </c>
    </row>
    <row r="17" spans="1:23" ht="29.15" customHeight="1" x14ac:dyDescent="0.35">
      <c r="A17" s="253"/>
      <c r="B17" s="181"/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>
        <f>Q19</f>
        <v>0</v>
      </c>
      <c r="T17" s="70">
        <f>Q20</f>
        <v>0</v>
      </c>
      <c r="U17" s="70">
        <f>Q21</f>
        <v>0</v>
      </c>
      <c r="V17" s="70">
        <f>Q22</f>
        <v>0</v>
      </c>
      <c r="W17" s="6">
        <f>Q23</f>
        <v>0</v>
      </c>
    </row>
    <row r="18" spans="1:23" ht="29.15" customHeight="1" x14ac:dyDescent="0.35">
      <c r="B18" s="181"/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>
        <f>R19</f>
        <v>0</v>
      </c>
      <c r="T18" s="70">
        <f>R20</f>
        <v>0</v>
      </c>
      <c r="U18" s="70">
        <f>R21</f>
        <v>0</v>
      </c>
      <c r="V18" s="70">
        <f>R22</f>
        <v>0</v>
      </c>
      <c r="W18" s="6">
        <f>R23</f>
        <v>0</v>
      </c>
    </row>
    <row r="19" spans="1:23" ht="29.15" customHeight="1" x14ac:dyDescent="0.35">
      <c r="B19" s="181"/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>
        <f>S20</f>
        <v>0</v>
      </c>
      <c r="U19" s="70">
        <f>S21</f>
        <v>0</v>
      </c>
      <c r="V19" s="70">
        <f>S22</f>
        <v>0</v>
      </c>
      <c r="W19" s="6">
        <f>S23</f>
        <v>0</v>
      </c>
    </row>
    <row r="20" spans="1:23" ht="29.15" customHeight="1" x14ac:dyDescent="0.35">
      <c r="B20" s="181"/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>
        <f>T21</f>
        <v>0</v>
      </c>
      <c r="V20" s="70">
        <f>T22</f>
        <v>0</v>
      </c>
      <c r="W20" s="6">
        <f>T23</f>
        <v>0</v>
      </c>
    </row>
    <row r="21" spans="1:23" ht="29.15" customHeight="1" x14ac:dyDescent="0.35">
      <c r="B21" s="181"/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>
        <f>U22</f>
        <v>0</v>
      </c>
      <c r="W21" s="6">
        <f>U23</f>
        <v>0</v>
      </c>
    </row>
    <row r="22" spans="1:23" ht="29.15" customHeight="1" x14ac:dyDescent="0.35">
      <c r="B22" s="181"/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>
        <f>V23</f>
        <v>0</v>
      </c>
    </row>
    <row r="23" spans="1:23" ht="29.15" customHeight="1" thickBot="1" x14ac:dyDescent="0.4">
      <c r="B23" s="5">
        <f>Neu!B24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2" priority="1" operator="equal">
      <formula>0</formula>
    </cfRule>
  </conditionalFormatting>
  <conditionalFormatting sqref="C2:W2">
    <cfRule type="cellIs" dxfId="1" priority="2" operator="equal">
      <formula>0</formula>
    </cfRule>
  </conditionalFormatting>
  <conditionalFormatting sqref="C15:W23 C14:H14 J14:W14 C3:W9 C10:H10 J10:W10 C11:W13">
    <cfRule type="colorScale" priority="12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0" priority="11" operator="equal">
      <formula>0</formula>
    </cfRule>
  </conditionalFormatting>
  <conditionalFormatting sqref="D3:W3 F5:W5 G6:W6 H7:W7 I8:W8 K10:W10 L11:W11 M12:W12 N13:W13 O14:W14 P15:W15 Q16:W16 R17:W17 S18:W18 T19:W19 U20:W20 V21:W21 W22 E4:W4 J9:W9">
    <cfRule type="colorScale" priority="10">
      <colorScale>
        <cfvo type="min"/>
        <cfvo type="max"/>
        <color theme="4" tint="0.79998168889431442"/>
        <color rgb="FFFF0000"/>
      </colorScale>
    </cfRule>
  </conditionalFormatting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"/>
  <sheetViews>
    <sheetView workbookViewId="0">
      <selection activeCell="C12" sqref="C12"/>
    </sheetView>
  </sheetViews>
  <sheetFormatPr defaultColWidth="9.1796875" defaultRowHeight="14.5" x14ac:dyDescent="0.35"/>
  <cols>
    <col min="1" max="1" width="35.453125" style="23" customWidth="1"/>
    <col min="2" max="2" width="10.81640625" style="24" customWidth="1"/>
    <col min="3" max="3" width="9.1796875" style="24"/>
    <col min="4" max="4" width="17.1796875" style="24" customWidth="1"/>
    <col min="5" max="16384" width="9.1796875" style="24"/>
  </cols>
  <sheetData>
    <row r="1" spans="1:4" x14ac:dyDescent="0.35">
      <c r="A1" s="25"/>
      <c r="B1" s="26" t="s">
        <v>15</v>
      </c>
      <c r="C1" s="26" t="s">
        <v>16</v>
      </c>
      <c r="D1" s="26" t="s">
        <v>17</v>
      </c>
    </row>
    <row r="2" spans="1:4" x14ac:dyDescent="0.35">
      <c r="A2" s="25" t="s">
        <v>18</v>
      </c>
      <c r="B2" s="32">
        <v>0</v>
      </c>
      <c r="C2" s="32">
        <v>50</v>
      </c>
      <c r="D2" s="32">
        <v>10</v>
      </c>
    </row>
    <row r="3" spans="1:4" x14ac:dyDescent="0.35">
      <c r="A3" s="25" t="s">
        <v>20</v>
      </c>
      <c r="B3" s="32">
        <v>0</v>
      </c>
      <c r="C3" s="32">
        <v>200</v>
      </c>
      <c r="D3" s="32">
        <v>10</v>
      </c>
    </row>
    <row r="4" spans="1:4" x14ac:dyDescent="0.35">
      <c r="A4" s="25" t="s">
        <v>19</v>
      </c>
      <c r="B4" s="32">
        <v>0</v>
      </c>
      <c r="C4" s="32">
        <v>200</v>
      </c>
      <c r="D4" s="32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B616A-9F24-43F6-9915-1EC9047AF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Neu</vt:lpstr>
      <vt:lpstr>FOR AVY31.smu</vt:lpstr>
      <vt:lpstr>FOR AVY31P.smu</vt:lpstr>
      <vt:lpstr>FOR AVY63.smu</vt:lpstr>
      <vt:lpstr>For AVY63P.smu</vt:lpstr>
      <vt:lpstr>BMP64_l.smu</vt:lpstr>
      <vt:lpstr>BMP64_r.smu</vt:lpstr>
      <vt:lpstr>BMP2SIMPLE_l.smu</vt:lpstr>
      <vt:lpstr>BMP2SIMPLE_r.smu</vt:lpstr>
      <vt:lpstr>BMP_TONIC_l.smu</vt:lpstr>
      <vt:lpstr>BMP_TONIC_r.smu</vt:lpstr>
      <vt:lpstr>BMP1_l.smu</vt:lpstr>
      <vt:lpstr>BMP1_r.smu</vt:lpstr>
      <vt:lpstr>VC_l.smu</vt:lpstr>
      <vt:lpstr>VC_r.smu</vt:lpstr>
      <vt:lpstr>BMP3SIMPLE.smu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cp:lastPrinted>2022-06-01T12:34:38Z</cp:lastPrinted>
  <dcterms:created xsi:type="dcterms:W3CDTF">2020-08-05T22:20:23Z</dcterms:created>
  <dcterms:modified xsi:type="dcterms:W3CDTF">2025-02-21T17:01:52Z</dcterms:modified>
</cp:coreProperties>
</file>