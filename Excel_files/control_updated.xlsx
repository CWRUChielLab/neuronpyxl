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_rels/sheet6.xml.rels" ContentType="application/vnd.openxmlformats-package.relationship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Neu" sheetId="1" state="visible" r:id="rId2"/>
    <sheet name="excitability.smu" sheetId="2" state="visible" r:id="rId3"/>
    <sheet name="BMP.smu" sheetId="3" state="visible" r:id="rId4"/>
    <sheet name="cs_g" sheetId="4" state="visible" r:id="rId5"/>
    <sheet name="cs_E" sheetId="5" state="visible" r:id="rId6"/>
    <sheet name="cs_FAT" sheetId="6" state="visible" r:id="rId7"/>
    <sheet name="es" sheetId="7" state="visible" r:id="rId8"/>
    <sheet name="noise" sheetId="8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<sst xmlns="http://schemas.openxmlformats.org/spreadsheetml/2006/main" count="800" uniqueCount="210">
  <si>
    <t xml:space="preserve">leak</t>
  </si>
  <si>
    <t xml:space="preserve">Na</t>
  </si>
  <si>
    <t xml:space="preserve">K</t>
  </si>
  <si>
    <t xml:space="preserve">KA</t>
  </si>
  <si>
    <t xml:space="preserve">CaN</t>
  </si>
  <si>
    <t xml:space="preserve">Kcas</t>
  </si>
  <si>
    <t xml:space="preserve">Kcaf</t>
  </si>
  <si>
    <t xml:space="preserve">Napp</t>
  </si>
  <si>
    <t xml:space="preserve">HCN</t>
  </si>
  <si>
    <t xml:space="preserve">K_pp</t>
  </si>
  <si>
    <t xml:space="preserve">File</t>
  </si>
  <si>
    <t xml:space="preserve">vdg</t>
  </si>
  <si>
    <t xml:space="preserve">A</t>
  </si>
  <si>
    <t xml:space="preserve">B</t>
  </si>
  <si>
    <t xml:space="preserve">Name</t>
  </si>
  <si>
    <t xml:space="preserve">Template</t>
  </si>
  <si>
    <t xml:space="preserve">cm</t>
  </si>
  <si>
    <t xml:space="preserve">g</t>
  </si>
  <si>
    <t xml:space="preserve">E</t>
  </si>
  <si>
    <t xml:space="preserve">p</t>
  </si>
  <si>
    <t xml:space="preserve">An</t>
  </si>
  <si>
    <t xml:space="preserve">h</t>
  </si>
  <si>
    <t xml:space="preserve">s</t>
  </si>
  <si>
    <t xml:space="preserve">tmx</t>
  </si>
  <si>
    <t xml:space="preserve">tmin</t>
  </si>
  <si>
    <t xml:space="preserve">th1</t>
  </si>
  <si>
    <t xml:space="preserve">ts1</t>
  </si>
  <si>
    <t xml:space="preserve">tp1</t>
  </si>
  <si>
    <t xml:space="preserve">th2</t>
  </si>
  <si>
    <t xml:space="preserve">ts2</t>
  </si>
  <si>
    <t xml:space="preserve">tp2</t>
  </si>
  <si>
    <t xml:space="preserve">Bn</t>
  </si>
  <si>
    <t xml:space="preserve">B4</t>
  </si>
  <si>
    <t xml:space="preserve">B8</t>
  </si>
  <si>
    <t xml:space="preserve">B20</t>
  </si>
  <si>
    <t xml:space="preserve">B30</t>
  </si>
  <si>
    <t xml:space="preserve">B31s</t>
  </si>
  <si>
    <t xml:space="preserve">B31a</t>
  </si>
  <si>
    <t xml:space="preserve">B34</t>
  </si>
  <si>
    <t xml:space="preserve">B35</t>
  </si>
  <si>
    <t xml:space="preserve">B40</t>
  </si>
  <si>
    <t xml:space="preserve">B51s</t>
  </si>
  <si>
    <t xml:space="preserve">B51a</t>
  </si>
  <si>
    <t xml:space="preserve">B52</t>
  </si>
  <si>
    <t xml:space="preserve">B63</t>
  </si>
  <si>
    <t xml:space="preserve">B64s</t>
  </si>
  <si>
    <t xml:space="preserve">B64a</t>
  </si>
  <si>
    <t xml:space="preserve">B65</t>
  </si>
  <si>
    <t xml:space="preserve">CBI2</t>
  </si>
  <si>
    <t xml:space="preserve">Ion pools</t>
  </si>
  <si>
    <t xml:space="preserve">Conductance to ion</t>
  </si>
  <si>
    <t xml:space="preserve">Ion to conductance</t>
  </si>
  <si>
    <t xml:space="preserve">Initial voltage</t>
  </si>
  <si>
    <t xml:space="preserve">ion</t>
  </si>
  <si>
    <t xml:space="preserve">K1</t>
  </si>
  <si>
    <t xml:space="preserve">K2</t>
  </si>
  <si>
    <t xml:space="preserve">ch</t>
  </si>
  <si>
    <t xml:space="preserve">opt1</t>
  </si>
  <si>
    <t xml:space="preserve">opt2</t>
  </si>
  <si>
    <t xml:space="preserve">p1</t>
  </si>
  <si>
    <t xml:space="preserve">p2</t>
  </si>
  <si>
    <t xml:space="preserve">b</t>
  </si>
  <si>
    <t xml:space="preserve">mV</t>
  </si>
  <si>
    <t xml:space="preserve">Ca</t>
  </si>
  <si>
    <t xml:space="preserve">d(ion)/dt = K1*(K2*sum(Ivd) - ion)</t>
  </si>
  <si>
    <t xml:space="preserve">opt1  1: </t>
  </si>
  <si>
    <t xml:space="preserve">fBr = BR</t>
  </si>
  <si>
    <t xml:space="preserve">channel requires ion</t>
  </si>
  <si>
    <t xml:space="preserve">opt2  1: </t>
  </si>
  <si>
    <t xml:space="preserve">dBR/dt = (ion - BR)/p1</t>
  </si>
  <si>
    <t xml:space="preserve"> 2: </t>
  </si>
  <si>
    <t xml:space="preserve">fBr = 1 + BR</t>
  </si>
  <si>
    <t xml:space="preserve">ion enhances channel only</t>
  </si>
  <si>
    <t xml:space="preserve">2: </t>
  </si>
  <si>
    <t xml:space="preserve">BR = ion/(p1 + ion)</t>
  </si>
  <si>
    <t xml:space="preserve">3: </t>
  </si>
  <si>
    <t xml:space="preserve">fBr = 1/(1 + b*(BR))</t>
  </si>
  <si>
    <t xml:space="preserve">ion inhibits channel only</t>
  </si>
  <si>
    <t xml:space="preserve">BR = ion/(p1+ ion) + 1</t>
  </si>
  <si>
    <t xml:space="preserve">minimum activation</t>
  </si>
  <si>
    <t xml:space="preserve">4: </t>
  </si>
  <si>
    <t xml:space="preserve">BR = 1/(1 + p1*ion)</t>
  </si>
  <si>
    <t xml:space="preserve">half in/activation</t>
  </si>
  <si>
    <t xml:space="preserve">5: </t>
  </si>
  <si>
    <t xml:space="preserve">BR = exp((p1+ ion)/p2)</t>
  </si>
  <si>
    <t xml:space="preserve">slope</t>
  </si>
  <si>
    <t xml:space="preserve">power</t>
  </si>
  <si>
    <t xml:space="preserve">maximum tau</t>
  </si>
  <si>
    <t xml:space="preserve">minimum tau</t>
  </si>
  <si>
    <t xml:space="preserve">syntax</t>
  </si>
  <si>
    <t xml:space="preserve">example variables</t>
  </si>
  <si>
    <t xml:space="preserve">IVDxREG</t>
  </si>
  <si>
    <t xml:space="preserve">currrent by conductance and regulation</t>
  </si>
  <si>
    <t xml:space="preserve">example synapses</t>
  </si>
  <si>
    <t xml:space="preserve">smu</t>
  </si>
  <si>
    <t xml:space="preserve">name</t>
  </si>
  <si>
    <t xml:space="preserve">excitability</t>
  </si>
  <si>
    <t xml:space="preserve">graph</t>
  </si>
  <si>
    <t xml:space="preserve">conductance</t>
  </si>
  <si>
    <t xml:space="preserve">    variable.conductance.neuron</t>
  </si>
  <si>
    <t xml:space="preserve">V</t>
  </si>
  <si>
    <t xml:space="preserve">voltage</t>
  </si>
  <si>
    <t xml:space="preserve">Ics</t>
  </si>
  <si>
    <t xml:space="preserve">chem syn current</t>
  </si>
  <si>
    <t xml:space="preserve">f_exc</t>
  </si>
  <si>
    <t xml:space="preserve">fast excitatory</t>
  </si>
  <si>
    <t xml:space="preserve">duration</t>
  </si>
  <si>
    <t xml:space="preserve">store</t>
  </si>
  <si>
    <t xml:space="preserve">example</t>
  </si>
  <si>
    <t xml:space="preserve">    Ivd.Na.N1</t>
  </si>
  <si>
    <t xml:space="preserve">fBR</t>
  </si>
  <si>
    <t xml:space="preserve">fBR.ion.ch.neuron</t>
  </si>
  <si>
    <t xml:space="preserve">Ivd</t>
  </si>
  <si>
    <t xml:space="preserve">current by voltage gated conductance</t>
  </si>
  <si>
    <t xml:space="preserve">Cion</t>
  </si>
  <si>
    <t xml:space="preserve">amount of ion</t>
  </si>
  <si>
    <t xml:space="preserve">s_exc</t>
  </si>
  <si>
    <t xml:space="preserve">slow excitatory</t>
  </si>
  <si>
    <t xml:space="preserve">stepsize</t>
  </si>
  <si>
    <t xml:space="preserve">method</t>
  </si>
  <si>
    <t xml:space="preserve">neuron </t>
  </si>
  <si>
    <t xml:space="preserve">    variable.neuron</t>
  </si>
  <si>
    <t xml:space="preserve">synapse</t>
  </si>
  <si>
    <t xml:space="preserve">variable.pre.post.type</t>
  </si>
  <si>
    <t xml:space="preserve">activation of conductance</t>
  </si>
  <si>
    <t xml:space="preserve">Ies</t>
  </si>
  <si>
    <t xml:space="preserve">elec syn current</t>
  </si>
  <si>
    <t xml:space="preserve">f_inh</t>
  </si>
  <si>
    <t xml:space="preserve">fast inhibitory</t>
  </si>
  <si>
    <t xml:space="preserve">red indicates simlation longer than graph duration</t>
  </si>
  <si>
    <t xml:space="preserve">    V.N1</t>
  </si>
  <si>
    <t xml:space="preserve">Ics.N1.N4.f_exc</t>
  </si>
  <si>
    <t xml:space="preserve">Inactivation of conductance</t>
  </si>
  <si>
    <t xml:space="preserve">slex</t>
  </si>
  <si>
    <t xml:space="preserve">trt current</t>
  </si>
  <si>
    <t xml:space="preserve">s_inh</t>
  </si>
  <si>
    <t xml:space="preserve">slow inhibitory</t>
  </si>
  <si>
    <t xml:space="preserve">graph (ous)</t>
  </si>
  <si>
    <t xml:space="preserve">Ies.N1.N4</t>
  </si>
  <si>
    <t xml:space="preserve">sIVD_reg</t>
  </si>
  <si>
    <t xml:space="preserve">for total current</t>
  </si>
  <si>
    <t xml:space="preserve">time</t>
  </si>
  <si>
    <t xml:space="preserve">variable 1</t>
  </si>
  <si>
    <t xml:space="preserve">variable 2</t>
  </si>
  <si>
    <t xml:space="preserve">variable 3</t>
  </si>
  <si>
    <t xml:space="preserve">variable 4</t>
  </si>
  <si>
    <t xml:space="preserve">Size</t>
  </si>
  <si>
    <t xml:space="preserve">variable</t>
  </si>
  <si>
    <t xml:space="preserve"># ticks</t>
  </si>
  <si>
    <t xml:space="preserve">start</t>
  </si>
  <si>
    <t xml:space="preserve">stop</t>
  </si>
  <si>
    <t xml:space="preserve">color</t>
  </si>
  <si>
    <t xml:space="preserve">min</t>
  </si>
  <si>
    <t xml:space="preserve">max</t>
  </si>
  <si>
    <t xml:space="preserve">white</t>
  </si>
  <si>
    <t xml:space="preserve">V.B4</t>
  </si>
  <si>
    <t xml:space="preserve">red</t>
  </si>
  <si>
    <t xml:space="preserve">V.B8</t>
  </si>
  <si>
    <t xml:space="preserve">green</t>
  </si>
  <si>
    <t xml:space="preserve">V.B20</t>
  </si>
  <si>
    <t xml:space="preserve">orange</t>
  </si>
  <si>
    <t xml:space="preserve">V.B30</t>
  </si>
  <si>
    <t xml:space="preserve">V.B31s</t>
  </si>
  <si>
    <t xml:space="preserve">V.B31a</t>
  </si>
  <si>
    <t xml:space="preserve">V.B34</t>
  </si>
  <si>
    <t xml:space="preserve">V.B35</t>
  </si>
  <si>
    <t xml:space="preserve">V.B40</t>
  </si>
  <si>
    <t xml:space="preserve">V.B51s</t>
  </si>
  <si>
    <t xml:space="preserve">V.B51a</t>
  </si>
  <si>
    <t xml:space="preserve">V.B52</t>
  </si>
  <si>
    <t xml:space="preserve">V.B63</t>
  </si>
  <si>
    <t xml:space="preserve">V.B64s</t>
  </si>
  <si>
    <t xml:space="preserve">V.B64a</t>
  </si>
  <si>
    <t xml:space="preserve">V.B65</t>
  </si>
  <si>
    <t xml:space="preserve">V.CBI2</t>
  </si>
  <si>
    <t xml:space="preserve">                         stimulation (.trt)</t>
  </si>
  <si>
    <t xml:space="preserve">output variables</t>
  </si>
  <si>
    <t xml:space="preserve">Current injection</t>
  </si>
  <si>
    <t xml:space="preserve">Voltage clamp</t>
  </si>
  <si>
    <t xml:space="preserve">all</t>
  </si>
  <si>
    <t xml:space="preserve">type "all" in first cell to output all graphed variables or type individual channels</t>
  </si>
  <si>
    <t xml:space="preserve">neuron</t>
  </si>
  <si>
    <t xml:space="preserve">magnitude</t>
  </si>
  <si>
    <t xml:space="preserve">potential</t>
  </si>
  <si>
    <t xml:space="preserve">BMP</t>
  </si>
  <si>
    <t xml:space="preserve">cyan</t>
  </si>
  <si>
    <t xml:space="preserve">Postsynaptic</t>
  </si>
  <si>
    <t xml:space="preserve">Presynaptic</t>
  </si>
  <si>
    <t xml:space="preserve">fast</t>
  </si>
  <si>
    <t xml:space="preserve">Colorbar</t>
  </si>
  <si>
    <t xml:space="preserve">slow</t>
  </si>
  <si>
    <t xml:space="preserve">taus</t>
  </si>
  <si>
    <t xml:space="preserve">depression</t>
  </si>
  <si>
    <t xml:space="preserve">Voltage dependence</t>
  </si>
  <si>
    <t xml:space="preserve">facilitation</t>
  </si>
  <si>
    <t xml:space="preserve">u1</t>
  </si>
  <si>
    <t xml:space="preserve">u2</t>
  </si>
  <si>
    <t xml:space="preserve">ud</t>
  </si>
  <si>
    <t xml:space="preserve">ur</t>
  </si>
  <si>
    <t xml:space="preserve">tx</t>
  </si>
  <si>
    <t xml:space="preserve">u</t>
  </si>
  <si>
    <t xml:space="preserve">if u2 is empty it is assumed equal to u1</t>
  </si>
  <si>
    <t xml:space="preserve">Ach</t>
  </si>
  <si>
    <t xml:space="preserve">midrange</t>
  </si>
  <si>
    <t xml:space="preserve">Amplitude</t>
  </si>
  <si>
    <t xml:space="preserve">step size</t>
  </si>
  <si>
    <t xml:space="preserve">jitter in step size</t>
  </si>
  <si>
    <t xml:space="preserve">votage-dependent conductance (.vdg)</t>
  </si>
  <si>
    <t xml:space="preserve">chemical synapse (.cs)</t>
  </si>
  <si>
    <t xml:space="preserve">electrical synapse (.es)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</si>
</sst>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General"/>
    <numFmt numFmtId="166" formatCode="@"/>
    <numFmt numFmtId="167" formatCode="0.0"/>
  </numFmts>
  <fonts count="9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  <font>
      <sz val="11"/>
      <name val="Calibri"/>
      <family val="2"/>
      <charset val="1"/>
    </font>
    <font>
      <sz val="9"/>
      <color rgb="FF000000"/>
      <name val="Calibri"/>
      <family val="2"/>
      <charset val="1"/>
    </font>
    <font>
      <sz val="11"/>
      <color rgb="FFC00000"/>
      <name val="Calibri"/>
      <family val="2"/>
      <charset val="1"/>
    </font>
    <font>
      <sz val="11"/>
      <color rgb="FF000000"/>
      <name val="Cambria Math"/>
      <family val="0"/>
    </font>
  </fonts>
  <fills count="16">
    <fill>
      <patternFill patternType="none"/>
    </fill>
    <fill>
      <patternFill patternType="gray125"/>
    </fill>
    <fill>
      <patternFill patternType="solid">
        <fgColor rgb="FFDAE3F3"/>
        <bgColor rgb="FFCCECFF"/>
      </patternFill>
    </fill>
    <fill>
      <patternFill patternType="solid">
        <fgColor rgb="FFFCD6D6"/>
        <bgColor rgb="FFFFCCCC"/>
      </patternFill>
    </fill>
    <fill>
      <patternFill patternType="solid">
        <fgColor rgb="FFB4C7E7"/>
        <bgColor rgb="FF9DC3E6"/>
      </patternFill>
    </fill>
    <fill>
      <patternFill patternType="solid">
        <fgColor rgb="FFFCD0FA"/>
        <bgColor rgb="FFFCD6D6"/>
      </patternFill>
    </fill>
    <fill>
      <patternFill patternType="solid">
        <fgColor rgb="FFFFC000"/>
        <bgColor rgb="FFFF9900"/>
      </patternFill>
    </fill>
    <fill>
      <patternFill patternType="solid">
        <fgColor rgb="FF9DC3E6"/>
        <bgColor rgb="FFB4C7E7"/>
      </patternFill>
    </fill>
    <fill>
      <patternFill patternType="solid">
        <fgColor rgb="FF8FAADC"/>
        <bgColor rgb="FF9DC3E6"/>
      </patternFill>
    </fill>
    <fill>
      <patternFill patternType="solid">
        <fgColor rgb="FFE2F0D9"/>
        <bgColor rgb="FFDAE3F3"/>
      </patternFill>
    </fill>
    <fill>
      <patternFill patternType="solid">
        <fgColor rgb="FF92D050"/>
        <bgColor rgb="FF969696"/>
      </patternFill>
    </fill>
    <fill>
      <patternFill patternType="solid">
        <fgColor rgb="FFCCECFF"/>
        <bgColor rgb="FFDAE3F3"/>
      </patternFill>
    </fill>
    <fill>
      <patternFill patternType="solid">
        <fgColor rgb="FFFFFFFF"/>
        <bgColor rgb="FFE2F0D9"/>
      </patternFill>
    </fill>
    <fill>
      <patternFill patternType="solid">
        <fgColor rgb="FFD9D9D9"/>
        <bgColor rgb="FFDAE3F3"/>
      </patternFill>
    </fill>
    <fill>
      <patternFill patternType="solid">
        <fgColor rgb="FFFFCCCC"/>
        <bgColor rgb="FFFFC7CE"/>
      </patternFill>
    </fill>
    <fill>
      <patternFill patternType="solid">
        <fgColor rgb="FF000000"/>
        <bgColor rgb="FF003300"/>
      </patternFill>
    </fill>
  </fills>
  <borders count="70">
    <border diagonalUp="false" diagonalDown="false">
      <left/>
      <right/>
      <top/>
      <bottom/>
      <diagonal/>
    </border>
    <border diagonalUp="false" diagonalDown="false">
      <left style="medium"/>
      <right style="medium"/>
      <top style="medium"/>
      <bottom style="thin"/>
      <diagonal/>
    </border>
    <border diagonalUp="false" diagonalDown="false">
      <left style="medium"/>
      <right style="medium"/>
      <top style="thin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 style="thin"/>
      <top/>
      <bottom style="medium"/>
      <diagonal/>
    </border>
    <border diagonalUp="false" diagonalDown="false">
      <left style="thin"/>
      <right style="medium"/>
      <top/>
      <bottom style="medium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medium"/>
      <right style="thin"/>
      <top/>
      <bottom style="thin"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/>
      <right/>
      <top style="thin"/>
      <bottom/>
      <diagonal/>
    </border>
    <border diagonalUp="false" diagonalDown="false">
      <left style="medium"/>
      <right/>
      <top style="medium"/>
      <bottom/>
      <diagonal/>
    </border>
    <border diagonalUp="false" diagonalDown="false">
      <left style="medium"/>
      <right/>
      <top style="medium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medium"/>
      <right style="medium"/>
      <top style="thin"/>
      <bottom style="medium"/>
      <diagonal/>
    </border>
    <border diagonalUp="false" diagonalDown="false">
      <left/>
      <right style="thin"/>
      <top style="thin"/>
      <bottom style="medium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medium"/>
      <right style="thick"/>
      <top style="medium"/>
      <bottom style="thin"/>
      <diagonal/>
    </border>
    <border diagonalUp="false" diagonalDown="false">
      <left style="thick"/>
      <right style="medium"/>
      <top style="medium"/>
      <bottom style="thin"/>
      <diagonal/>
    </border>
    <border diagonalUp="false" diagonalDown="false">
      <left style="medium"/>
      <right/>
      <top/>
      <bottom style="thin"/>
      <diagonal/>
    </border>
    <border diagonalUp="false" diagonalDown="false">
      <left style="thick"/>
      <right style="thin"/>
      <top style="thin"/>
      <bottom style="thin"/>
      <diagonal/>
    </border>
    <border diagonalUp="false" diagonalDown="false">
      <left style="medium"/>
      <right/>
      <top style="thin"/>
      <bottom style="thin"/>
      <diagonal/>
    </border>
    <border diagonalUp="false" diagonalDown="false">
      <left style="medium"/>
      <right/>
      <top style="thin"/>
      <bottom style="medium"/>
      <diagonal/>
    </border>
    <border diagonalUp="false" diagonalDown="false">
      <left style="thin"/>
      <right/>
      <top style="thin"/>
      <bottom style="medium"/>
      <diagonal/>
    </border>
    <border diagonalUp="false" diagonalDown="false">
      <left style="thick"/>
      <right style="thin"/>
      <top style="thin"/>
      <bottom style="medium"/>
      <diagonal/>
    </border>
    <border diagonalUp="false" diagonalDown="false">
      <left style="thin"/>
      <right/>
      <top/>
      <bottom/>
      <diagonal/>
    </border>
    <border diagonalUp="false" diagonalDown="false">
      <left style="medium"/>
      <right/>
      <top style="medium"/>
      <bottom style="medium"/>
      <diagonal/>
    </border>
    <border diagonalUp="false" diagonalDown="false">
      <left style="thin"/>
      <right/>
      <top style="medium"/>
      <bottom style="medium"/>
      <diagonal/>
    </border>
    <border diagonalUp="false" diagonalDown="false">
      <left style="thin"/>
      <right style="medium"/>
      <top style="medium"/>
      <bottom style="medium"/>
      <diagonal/>
    </border>
    <border diagonalUp="false" diagonalDown="false">
      <left style="medium"/>
      <right style="thin"/>
      <top style="medium"/>
      <bottom/>
      <diagonal/>
    </border>
    <border diagonalUp="false" diagonalDown="false">
      <left style="thin"/>
      <right style="thin"/>
      <top style="medium"/>
      <bottom/>
      <diagonal/>
    </border>
    <border diagonalUp="false" diagonalDown="false">
      <left style="thin"/>
      <right/>
      <top style="medium"/>
      <bottom/>
      <diagonal/>
    </border>
    <border diagonalUp="false" diagonalDown="false">
      <left style="thin"/>
      <right style="medium"/>
      <top style="medium"/>
      <bottom/>
      <diagonal/>
    </border>
    <border diagonalUp="false" diagonalDown="false">
      <left style="medium"/>
      <right style="thin"/>
      <top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medium"/>
      <top/>
      <bottom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 style="thin"/>
      <right style="thin"/>
      <top/>
      <bottom style="medium"/>
      <diagonal/>
    </border>
    <border diagonalUp="false" diagonalDown="false">
      <left style="thin"/>
      <right/>
      <top/>
      <bottom style="medium"/>
      <diagonal/>
    </border>
    <border diagonalUp="false" diagonalDown="false">
      <left/>
      <right style="thin"/>
      <top style="medium"/>
      <bottom/>
      <diagonal/>
    </border>
    <border diagonalUp="false" diagonalDown="false">
      <left/>
      <right style="thin"/>
      <top/>
      <bottom style="thin"/>
      <diagonal/>
    </border>
    <border diagonalUp="false" diagonalDown="false">
      <left/>
      <right style="thin"/>
      <top style="thin"/>
      <bottom/>
      <diagonal/>
    </border>
    <border diagonalUp="false" diagonalDown="false">
      <left/>
      <right style="thin"/>
      <top/>
      <bottom/>
      <diagonal/>
    </border>
    <border diagonalUp="false" diagonalDown="false">
      <left/>
      <right style="thin"/>
      <top/>
      <bottom style="medium"/>
      <diagonal/>
    </border>
    <border diagonalUp="false" diagonalDown="false">
      <left style="thin"/>
      <right style="thin">
        <color rgb="FFD9D9D9"/>
      </right>
      <top style="thin">
        <color rgb="FFD9D9D9"/>
      </top>
      <bottom style="thin">
        <color rgb="FFD9D9D9"/>
      </bottom>
      <diagonal/>
    </border>
    <border diagonalUp="false" diagonalDown="false">
      <left style="thin">
        <color rgb="FFD9D9D9"/>
      </left>
      <right/>
      <top style="thin">
        <color rgb="FFD9D9D9"/>
      </top>
      <bottom style="thin">
        <color rgb="FFD9D9D9"/>
      </bottom>
      <diagonal/>
    </border>
    <border diagonalUp="false" diagonalDown="false">
      <left style="thin">
        <color rgb="FFD9D9D9"/>
      </left>
      <right style="thin"/>
      <top style="thin">
        <color rgb="FFD9D9D9"/>
      </top>
      <bottom style="thin">
        <color rgb="FFD9D9D9"/>
      </bottom>
      <diagonal/>
    </border>
    <border diagonalUp="false" diagonalDown="false">
      <left/>
      <right style="thin">
        <color rgb="FFD9D9D9"/>
      </right>
      <top style="thin">
        <color rgb="FFD9D9D9"/>
      </top>
      <bottom style="thin">
        <color rgb="FFD9D9D9"/>
      </bottom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 diagonalUp="false" diagonalDown="false">
      <left/>
      <right/>
      <top/>
      <bottom style="medium"/>
      <diagonal/>
    </border>
    <border diagonalUp="false" diagonalDown="false">
      <left style="thin"/>
      <right style="thin">
        <color rgb="FFD9D9D9"/>
      </right>
      <top/>
      <bottom style="thin">
        <color rgb="FFD9D9D9"/>
      </bottom>
      <diagonal/>
    </border>
    <border diagonalUp="false" diagonalDown="false">
      <left style="thin">
        <color rgb="FFD9D9D9"/>
      </left>
      <right/>
      <top/>
      <bottom style="thin">
        <color rgb="FFD9D9D9"/>
      </bottom>
      <diagonal/>
    </border>
    <border diagonalUp="false" diagonalDown="false">
      <left style="thin">
        <color rgb="FFD9D9D9"/>
      </left>
      <right style="thin"/>
      <top/>
      <bottom style="thin">
        <color rgb="FFD9D9D9"/>
      </bottom>
      <diagonal/>
    </border>
    <border diagonalUp="false" diagonalDown="false">
      <left/>
      <right style="thin">
        <color rgb="FFD9D9D9"/>
      </right>
      <top/>
      <bottom style="thin">
        <color rgb="FFD9D9D9"/>
      </bottom>
      <diagonal/>
    </border>
    <border diagonalUp="false" diagonalDown="false">
      <left style="thin">
        <color rgb="FFD9D9D9"/>
      </left>
      <right style="thin">
        <color rgb="FFD9D9D9"/>
      </right>
      <top/>
      <bottom style="thin">
        <color rgb="FFD9D9D9"/>
      </bottom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thin"/>
      <right style="thin"/>
      <top style="medium"/>
      <bottom style="medium"/>
      <diagonal/>
    </border>
    <border diagonalUp="false" diagonalDown="false">
      <left/>
      <right style="medium"/>
      <top/>
      <bottom/>
      <diagonal/>
    </border>
    <border diagonalUp="false" diagonalDown="false">
      <left style="thin"/>
      <right/>
      <top style="medium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8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9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1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11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0" fillId="2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1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1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1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2" borderId="14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2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2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2" borderId="5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12" borderId="15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12" borderId="16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12" borderId="17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12" borderId="3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12" borderId="4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12" borderId="1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2" borderId="1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2" borderId="13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12" borderId="1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12" borderId="1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1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2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2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2" borderId="2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12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2" borderId="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2" borderId="2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2" borderId="23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12" borderId="1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0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4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false">
      <alignment horizontal="left" vertical="bottom" textRotation="0" wrapText="false" indent="1" shrinkToFit="false"/>
      <protection locked="true" hidden="false"/>
    </xf>
    <xf numFmtId="164" fontId="6" fillId="2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2" borderId="2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2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2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2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2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12" borderId="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12" borderId="2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12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12" borderId="28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12" borderId="2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12" borderId="30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12" borderId="3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12" borderId="3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33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0" fillId="2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0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2" borderId="34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2" borderId="35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2" borderId="36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0" xfId="0" applyFont="true" applyBorder="true" applyAlignment="true" applyProtection="false">
      <alignment horizontal="center" vertical="center" textRotation="90" wrapText="false" indent="0" shrinkToFit="false"/>
      <protection locked="true" hidden="false"/>
    </xf>
    <xf numFmtId="164" fontId="6" fillId="13" borderId="3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2" borderId="3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2" borderId="3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2" borderId="4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13" borderId="4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2" borderId="4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2" borderId="3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2" borderId="4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6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12" borderId="4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3" borderId="2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2" borderId="2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2" borderId="4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2" borderId="4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2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3" borderId="1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2" borderId="1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2" borderId="4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2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3" borderId="4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2" borderId="4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3" borderId="3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3" borderId="4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3" borderId="4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3" borderId="4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0" xfId="0" applyFont="false" applyBorder="false" applyAlignment="true" applyProtection="false">
      <alignment horizontal="center" vertical="center" textRotation="90" wrapText="false" indent="0" shrinkToFit="false"/>
      <protection locked="true" hidden="false"/>
    </xf>
    <xf numFmtId="164" fontId="6" fillId="12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2" borderId="4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2" borderId="4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3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3" borderId="5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13" borderId="5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2" borderId="5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2" borderId="5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2" borderId="5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2" borderId="5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2" borderId="55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2" borderId="56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2" borderId="57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2" borderId="58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2" borderId="59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6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2" borderId="4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0" fillId="12" borderId="6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2" borderId="6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2" borderId="63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2" borderId="64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2" borderId="65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14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0" fillId="2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0" fillId="2" borderId="0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2" borderId="66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2" borderId="67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2" borderId="36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68" xfId="0" applyFont="true" applyBorder="true" applyAlignment="true" applyProtection="false">
      <alignment horizontal="center" vertical="center" textRotation="90" wrapText="false" indent="0" shrinkToFit="false"/>
      <protection locked="true" hidden="false"/>
    </xf>
    <xf numFmtId="164" fontId="0" fillId="15" borderId="6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12" borderId="7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12" borderId="69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12" borderId="8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2" borderId="3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5" borderId="4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12" borderId="4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12" borderId="14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12" borderId="47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12" borderId="16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2" borderId="4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2" borderId="44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2" borderId="24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5" borderId="45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2" borderId="1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2" borderId="1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5" borderId="13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4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5" fillId="2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4">
    <dxf>
      <font>
        <strike val="0"/>
        <color rgb="FFDAE3F3"/>
      </font>
    </dxf>
    <dxf>
      <font>
        <strike val="0"/>
        <color rgb="FFDAE3F3"/>
      </font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  <color rgb="FFDAE3F3"/>
      </font>
    </dxf>
    <dxf>
      <font>
        <strike val="0"/>
        <color rgb="FFDAE3F3"/>
      </font>
    </dxf>
    <dxf>
      <font>
        <strike val="0"/>
      </font>
      <fill>
        <patternFill>
          <bgColor rgb="FFE2F0D9"/>
        </patternFill>
      </fill>
    </dxf>
    <dxf>
      <font>
        <strike val="0"/>
        <color rgb="FFDAE3F3"/>
      </font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FF"/>
        </patternFill>
      </fill>
    </dxf>
    <dxf>
      <font>
        <color rgb="FFFFFFFF"/>
      </font>
      <fill>
        <patternFill>
          <bgColor rgb="FFFF6D6D"/>
        </patternFill>
      </fill>
    </dxf>
    <dxf>
      <fill>
        <patternFill>
          <bgColor rgb="FFFFFFFF"/>
        </patternFill>
      </fill>
    </dxf>
    <dxf>
      <font>
        <color rgb="FFFFFFFF"/>
      </font>
      <fill>
        <patternFill>
          <bgColor rgb="FFFF6D6D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FF"/>
        </patternFill>
      </fill>
    </dxf>
    <dxf>
      <font>
        <color rgb="FFFFFFFF"/>
      </font>
      <fill>
        <patternFill>
          <bgColor rgb="FFFF6D6D"/>
        </patternFill>
      </fill>
    </dxf>
    <dxf>
      <fill>
        <patternFill>
          <bgColor rgb="FFFFFFFF"/>
        </patternFill>
      </fill>
    </dxf>
    <dxf>
      <font>
        <color rgb="FFFFFFFF"/>
      </font>
      <fill>
        <patternFill>
          <bgColor rgb="FFFF6D6D"/>
        </patternFill>
      </fill>
    </dxf>
    <dxf>
      <fill>
        <patternFill>
          <bgColor rgb="FFFFFFFF"/>
        </patternFill>
      </fill>
    </dxf>
    <dxf>
      <font>
        <color rgb="FFFFFFFF"/>
      </font>
      <fill>
        <patternFill>
          <bgColor rgb="FFFF6D6D"/>
        </patternFill>
      </fill>
    </dxf>
    <dxf>
      <font>
        <strike val="0"/>
        <color rgb="FFDAE3F3"/>
      </font>
    </dxf>
    <dxf>
      <font>
        <strike val="0"/>
        <color rgb="FFDAE3F3"/>
      </font>
    </dxf>
    <dxf>
      <font>
        <color rgb="FFDAE3F3"/>
      </font>
      <fill>
        <patternFill>
          <bgColor rgb="FFDAE3F3"/>
        </patternFill>
      </fill>
    </dxf>
    <dxf>
      <font>
        <strike val="0"/>
        <color rgb="FFDAE3F3"/>
      </font>
    </dxf>
    <dxf>
      <font>
        <strike val="0"/>
        <color rgb="FFDAE3F3"/>
      </font>
    </dxf>
    <dxf>
      <font>
        <color rgb="FFDAE3F3"/>
      </font>
      <fill>
        <patternFill>
          <bgColor rgb="FFDAE3F3"/>
        </patternFill>
      </fill>
    </dxf>
    <dxf>
      <font>
        <strike val="0"/>
        <color rgb="FFDAE3F3"/>
      </font>
    </dxf>
    <dxf>
      <font>
        <strike val="0"/>
        <color rgb="FFDAE3F3"/>
      </font>
    </dxf>
    <dxf>
      <font>
        <strike val="0"/>
        <color rgb="FFDAE3F3"/>
      </font>
    </dxf>
    <dxf>
      <font>
        <strike val="0"/>
        <color rgb="FFDAE3F3"/>
      </font>
    </dxf>
    <dxf>
      <font>
        <strike val="0"/>
        <color rgb="FFDAE3F3"/>
      </font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B4C7E7"/>
      <rgbColor rgb="FF808080"/>
      <rgbColor rgb="FF8FAADC"/>
      <rgbColor rgb="FF993366"/>
      <rgbColor rgb="FFFCD6D6"/>
      <rgbColor rgb="FFCCECFF"/>
      <rgbColor rgb="FF660066"/>
      <rgbColor rgb="FFFF6D6D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AE3F3"/>
      <rgbColor rgb="FFE2F0D9"/>
      <rgbColor rgb="FFFCD0FA"/>
      <rgbColor rgb="FF9DC3E6"/>
      <rgbColor rgb="FFFFC7CE"/>
      <rgbColor rgb="FFCC99FF"/>
      <rgbColor rgb="FFFFCCCC"/>
      <rgbColor rgb="FF3366FF"/>
      <rgbColor rgb="FF33CCCC"/>
      <rgbColor rgb="FF92D050"/>
      <rgbColor rgb="FFFFC0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36</xdr:col>
      <xdr:colOff>93240</xdr:colOff>
      <xdr:row>5</xdr:row>
      <xdr:rowOff>4680</xdr:rowOff>
    </xdr:from>
    <xdr:to>
      <xdr:col>39</xdr:col>
      <xdr:colOff>43200</xdr:colOff>
      <xdr:row>6</xdr:row>
      <xdr:rowOff>102600</xdr:rowOff>
    </xdr:to>
    <xdr:sp>
      <xdr:nvSpPr>
        <xdr:cNvPr id="0" name="TextBox 1"/>
        <xdr:cNvSpPr/>
      </xdr:nvSpPr>
      <xdr:spPr>
        <a:xfrm>
          <a:off x="20980800" y="928440"/>
          <a:ext cx="2397960" cy="2790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horzOverflow="clip" vertOverflow="clip" lIns="0" rIns="0" tIns="0" bIns="0" anchor="t">
          <a:spAutoFit/>
        </a:bodyPr>
        <a:p>
          <a:pPr>
            <a:lnSpc>
              <a:spcPct val="100000"/>
            </a:lnSpc>
          </a:pPr>
          <a:r>
            <a:rPr b="0" lang="en-US" sz="1100" spc="-1" strike="noStrike">
              <a:solidFill>
                <a:srgbClr val="000000"/>
              </a:solidFill>
              <a:latin typeface="Cambria Math"/>
            </a:rPr>
            <a:t>𝑑𝐴𝑡</a:t>
          </a:r>
          <a:r>
            <a:rPr b="0" lang="en-US" sz="1100" spc="-1" strike="noStrike">
              <a:solidFill>
                <a:srgbClr val="000000"/>
              </a:solidFill>
              <a:latin typeface="Cambria Math"/>
            </a:rPr>
            <a:t>/𝑑𝑡=(𝑋𝑡 −(𝑢_1+𝑢_2 )(𝑑𝐴𝑡⁄𝑑𝑡)−𝐴𝑡)/(𝑢_1 𝑢_2 )</a:t>
          </a:r>
          <a:endParaRPr b="0" lang="en-US" sz="1100" spc="-1" strike="noStrike">
            <a:latin typeface="Times New Roman"/>
          </a:endParaRPr>
        </a:p>
      </xdr:txBody>
    </xdr:sp>
    <xdr:clientData/>
  </xdr:twoCellAnchor>
</xdr:wsDr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IO62"/>
  <sheetViews>
    <sheetView showFormulas="false" showGridLines="true" showRowColHeaders="true" showZeros="true" rightToLeft="false" tabSelected="true" showOutlineSymbols="true" defaultGridColor="true" view="normal" topLeftCell="A1" colorId="64" zoomScale="90" zoomScaleNormal="90" zoomScalePageLayoutView="100" workbookViewId="0">
      <pane xSplit="1" ySplit="0" topLeftCell="B1" activePane="topRight" state="frozen"/>
      <selection pane="topLeft" activeCell="A1" activeCellId="0" sqref="A1"/>
      <selection pane="topRight" activeCell="I15" activeCellId="0" sqref="I15"/>
    </sheetView>
  </sheetViews>
  <sheetFormatPr defaultColWidth="9.1796875" defaultRowHeight="14.25" zeroHeight="false" outlineLevelRow="0" outlineLevelCol="0"/>
  <cols>
    <col collapsed="false" customWidth="false" hidden="false" outlineLevel="0" max="2" min="1" style="1" width="9.18"/>
    <col collapsed="false" customWidth="true" hidden="false" outlineLevel="0" max="3" min="3" style="1" width="10.45"/>
    <col collapsed="false" customWidth="true" hidden="false" outlineLevel="0" max="4" min="4" style="1" width="8.18"/>
    <col collapsed="false" customWidth="true" hidden="false" outlineLevel="0" max="5" min="5" style="1" width="8.54"/>
    <col collapsed="false" customWidth="true" hidden="false" outlineLevel="0" max="6" min="6" style="1" width="6.27"/>
    <col collapsed="false" customWidth="true" hidden="false" outlineLevel="0" max="13" min="7" style="1" width="6"/>
    <col collapsed="false" customWidth="true" hidden="false" outlineLevel="0" max="14" min="14" style="1" width="8.54"/>
    <col collapsed="false" customWidth="true" hidden="false" outlineLevel="0" max="15" min="15" style="1" width="10.18"/>
    <col collapsed="false" customWidth="true" hidden="false" outlineLevel="0" max="25" min="16" style="1" width="6"/>
    <col collapsed="false" customWidth="true" hidden="false" outlineLevel="0" max="26" min="26" style="1" width="7.18"/>
    <col collapsed="false" customWidth="true" hidden="false" outlineLevel="0" max="27" min="27" style="1" width="8.27"/>
    <col collapsed="false" customWidth="true" hidden="false" outlineLevel="0" max="33" min="28" style="1" width="6"/>
    <col collapsed="false" customWidth="true" hidden="false" outlineLevel="0" max="37" min="34" style="1" width="5.27"/>
    <col collapsed="false" customWidth="true" hidden="false" outlineLevel="0" max="38" min="38" style="1" width="6.46"/>
    <col collapsed="false" customWidth="true" hidden="false" outlineLevel="0" max="39" min="39" style="1" width="5.82"/>
    <col collapsed="false" customWidth="true" hidden="false" outlineLevel="0" max="40" min="40" style="1" width="5.27"/>
    <col collapsed="false" customWidth="true" hidden="false" outlineLevel="0" max="41" min="41" style="1" width="6.54"/>
    <col collapsed="false" customWidth="true" hidden="false" outlineLevel="0" max="42" min="42" style="1" width="8.27"/>
    <col collapsed="false" customWidth="true" hidden="false" outlineLevel="0" max="52" min="43" style="1" width="5.27"/>
    <col collapsed="false" customWidth="true" hidden="false" outlineLevel="0" max="54" min="53" style="1" width="6.54"/>
    <col collapsed="false" customWidth="true" hidden="false" outlineLevel="0" max="55" min="55" style="1" width="5.18"/>
    <col collapsed="false" customWidth="true" hidden="false" outlineLevel="0" max="56" min="56" style="1" width="5.82"/>
    <col collapsed="false" customWidth="true" hidden="false" outlineLevel="0" max="57" min="57" style="1" width="3.73"/>
    <col collapsed="false" customWidth="true" hidden="false" outlineLevel="0" max="59" min="58" style="1" width="5.18"/>
    <col collapsed="false" customWidth="true" hidden="false" outlineLevel="0" max="60" min="60" style="1" width="3.82"/>
    <col collapsed="false" customWidth="true" hidden="false" outlineLevel="0" max="61" min="61" style="1" width="6.18"/>
    <col collapsed="false" customWidth="true" hidden="false" outlineLevel="0" max="62" min="62" style="1" width="4"/>
    <col collapsed="false" customWidth="true" hidden="false" outlineLevel="0" max="66" min="63" style="1" width="6.18"/>
    <col collapsed="false" customWidth="true" hidden="false" outlineLevel="0" max="67" min="67" style="1" width="3.82"/>
    <col collapsed="false" customWidth="true" hidden="false" outlineLevel="0" max="68" min="68" style="1" width="7.27"/>
    <col collapsed="false" customWidth="true" hidden="false" outlineLevel="0" max="69" min="69" style="1" width="7.82"/>
    <col collapsed="false" customWidth="true" hidden="false" outlineLevel="0" max="71" min="70" style="1" width="6.18"/>
    <col collapsed="false" customWidth="true" hidden="false" outlineLevel="0" max="72" min="72" style="1" width="4"/>
    <col collapsed="false" customWidth="true" hidden="false" outlineLevel="0" max="74" min="73" style="1" width="6.18"/>
    <col collapsed="false" customWidth="true" hidden="false" outlineLevel="0" max="75" min="75" style="1" width="3.53"/>
    <col collapsed="false" customWidth="true" hidden="false" outlineLevel="0" max="78" min="76" style="1" width="6.18"/>
    <col collapsed="false" customWidth="true" hidden="false" outlineLevel="0" max="79" min="79" style="1" width="4"/>
    <col collapsed="false" customWidth="true" hidden="false" outlineLevel="0" max="80" min="80" style="1" width="7.18"/>
    <col collapsed="false" customWidth="true" hidden="false" outlineLevel="0" max="81" min="81" style="1" width="7.73"/>
    <col collapsed="false" customWidth="true" hidden="false" outlineLevel="0" max="83" min="82" style="1" width="6.18"/>
    <col collapsed="false" customWidth="true" hidden="false" outlineLevel="0" max="84" min="84" style="1" width="4.54"/>
    <col collapsed="false" customWidth="true" hidden="false" outlineLevel="0" max="86" min="85" style="1" width="6.18"/>
    <col collapsed="false" customWidth="true" hidden="false" outlineLevel="0" max="87" min="87" style="1" width="4.27"/>
    <col collapsed="false" customWidth="true" hidden="false" outlineLevel="0" max="88" min="88" style="1" width="6.46"/>
    <col collapsed="false" customWidth="true" hidden="false" outlineLevel="0" max="89" min="89" style="1" width="2.82"/>
    <col collapsed="false" customWidth="true" hidden="false" outlineLevel="0" max="90" min="90" style="1" width="4.18"/>
    <col collapsed="false" customWidth="true" hidden="false" outlineLevel="0" max="91" min="91" style="1" width="4.54"/>
    <col collapsed="false" customWidth="true" hidden="false" outlineLevel="0" max="92" min="92" style="1" width="5.27"/>
    <col collapsed="false" customWidth="true" hidden="false" outlineLevel="0" max="93" min="93" style="1" width="5.54"/>
    <col collapsed="false" customWidth="true" hidden="false" outlineLevel="0" max="94" min="94" style="1" width="3"/>
    <col collapsed="false" customWidth="true" hidden="false" outlineLevel="0" max="95" min="95" style="1" width="7.27"/>
    <col collapsed="false" customWidth="true" hidden="false" outlineLevel="0" max="96" min="96" style="1" width="7.54"/>
    <col collapsed="false" customWidth="true" hidden="false" outlineLevel="0" max="97" min="97" style="1" width="5.82"/>
    <col collapsed="false" customWidth="true" hidden="false" outlineLevel="0" max="98" min="98" style="1" width="5.73"/>
    <col collapsed="false" customWidth="true" hidden="false" outlineLevel="0" max="99" min="99" style="1" width="4"/>
    <col collapsed="false" customWidth="true" hidden="false" outlineLevel="0" max="101" min="100" style="1" width="5.27"/>
    <col collapsed="false" customWidth="true" hidden="false" outlineLevel="0" max="102" min="102" style="1" width="4"/>
    <col collapsed="false" customWidth="true" hidden="false" outlineLevel="0" max="103" min="103" style="1" width="4.54"/>
    <col collapsed="false" customWidth="true" hidden="false" outlineLevel="0" max="104" min="104" style="1" width="6.82"/>
    <col collapsed="false" customWidth="true" hidden="false" outlineLevel="0" max="105" min="105" style="1" width="6.46"/>
    <col collapsed="false" customWidth="true" hidden="false" outlineLevel="0" max="106" min="106" style="1" width="3"/>
    <col collapsed="false" customWidth="true" hidden="false" outlineLevel="0" max="107" min="107" style="1" width="7.27"/>
    <col collapsed="false" customWidth="true" hidden="false" outlineLevel="0" max="108" min="108" style="1" width="7.46"/>
    <col collapsed="false" customWidth="true" hidden="false" outlineLevel="0" max="109" min="109" style="1" width="6.27"/>
    <col collapsed="false" customWidth="true" hidden="false" outlineLevel="0" max="110" min="110" style="1" width="5.73"/>
    <col collapsed="false" customWidth="true" hidden="false" outlineLevel="0" max="111" min="111" style="1" width="4"/>
    <col collapsed="false" customWidth="true" hidden="false" outlineLevel="0" max="112" min="112" style="1" width="5.27"/>
    <col collapsed="false" customWidth="true" hidden="false" outlineLevel="0" max="114" min="113" style="1" width="4"/>
    <col collapsed="false" customWidth="true" hidden="false" outlineLevel="0" max="120" min="115" style="1" width="6.18"/>
    <col collapsed="false" customWidth="true" hidden="false" outlineLevel="0" max="121" min="121" style="1" width="3.82"/>
    <col collapsed="false" customWidth="true" hidden="false" outlineLevel="0" max="129" min="122" style="1" width="6.18"/>
    <col collapsed="false" customWidth="true" hidden="false" outlineLevel="0" max="130" min="130" style="1" width="6.82"/>
    <col collapsed="false" customWidth="true" hidden="false" outlineLevel="0" max="132" min="131" style="1" width="6.18"/>
    <col collapsed="false" customWidth="true" hidden="false" outlineLevel="0" max="133" min="133" style="1" width="4"/>
    <col collapsed="false" customWidth="true" hidden="false" outlineLevel="0" max="134" min="134" style="1" width="7.18"/>
    <col collapsed="false" customWidth="true" hidden="false" outlineLevel="0" max="137" min="135" style="1" width="6.18"/>
    <col collapsed="false" customWidth="true" hidden="false" outlineLevel="0" max="138" min="138" style="1" width="4.54"/>
    <col collapsed="false" customWidth="true" hidden="false" outlineLevel="0" max="140" min="139" style="1" width="6.18"/>
    <col collapsed="false" customWidth="true" hidden="false" outlineLevel="0" max="141" min="141" style="1" width="4.27"/>
    <col collapsed="false" customWidth="true" hidden="false" outlineLevel="0" max="147" min="142" style="1" width="6.18"/>
    <col collapsed="false" customWidth="true" hidden="false" outlineLevel="0" max="148" min="148" style="1" width="3.82"/>
    <col collapsed="false" customWidth="true" hidden="false" outlineLevel="0" max="149" min="149" style="1" width="7.18"/>
    <col collapsed="false" customWidth="true" hidden="false" outlineLevel="0" max="156" min="150" style="1" width="6.18"/>
    <col collapsed="false" customWidth="true" hidden="false" outlineLevel="0" max="157" min="157" style="1" width="6.82"/>
    <col collapsed="false" customWidth="true" hidden="false" outlineLevel="0" max="159" min="158" style="1" width="6.18"/>
    <col collapsed="false" customWidth="true" hidden="false" outlineLevel="0" max="160" min="160" style="1" width="4"/>
    <col collapsed="false" customWidth="true" hidden="false" outlineLevel="0" max="161" min="161" style="1" width="7.18"/>
    <col collapsed="false" customWidth="true" hidden="false" outlineLevel="0" max="164" min="162" style="1" width="6.18"/>
    <col collapsed="false" customWidth="true" hidden="false" outlineLevel="0" max="165" min="165" style="1" width="4.54"/>
    <col collapsed="false" customWidth="true" hidden="false" outlineLevel="0" max="167" min="166" style="1" width="6.18"/>
    <col collapsed="false" customWidth="true" hidden="false" outlineLevel="0" max="168" min="168" style="1" width="4.27"/>
    <col collapsed="false" customWidth="true" hidden="false" outlineLevel="0" max="174" min="169" style="1" width="6.18"/>
    <col collapsed="false" customWidth="true" hidden="false" outlineLevel="0" max="175" min="175" style="1" width="3.82"/>
    <col collapsed="false" customWidth="true" hidden="false" outlineLevel="0" max="176" min="176" style="1" width="6.18"/>
    <col collapsed="false" customWidth="true" hidden="false" outlineLevel="0" max="177" min="177" style="1" width="7.54"/>
    <col collapsed="false" customWidth="true" hidden="false" outlineLevel="0" max="186" min="178" style="1" width="6.18"/>
    <col collapsed="false" customWidth="true" hidden="false" outlineLevel="0" max="187" min="187" style="1" width="4"/>
    <col collapsed="false" customWidth="true" hidden="false" outlineLevel="0" max="188" min="188" style="1" width="7.18"/>
    <col collapsed="false" customWidth="true" hidden="false" outlineLevel="0" max="191" min="189" style="1" width="6.18"/>
    <col collapsed="false" customWidth="true" hidden="false" outlineLevel="0" max="192" min="192" style="1" width="4.54"/>
    <col collapsed="false" customWidth="true" hidden="false" outlineLevel="0" max="194" min="193" style="1" width="6.18"/>
    <col collapsed="false" customWidth="true" hidden="false" outlineLevel="0" max="195" min="195" style="1" width="4.27"/>
    <col collapsed="false" customWidth="true" hidden="false" outlineLevel="0" max="196" min="196" style="1" width="6.82"/>
    <col collapsed="false" customWidth="true" hidden="false" outlineLevel="0" max="197" min="197" style="1" width="4.46"/>
    <col collapsed="false" customWidth="true" hidden="false" outlineLevel="0" max="201" min="198" style="1" width="7.54"/>
    <col collapsed="false" customWidth="true" hidden="false" outlineLevel="0" max="202" min="202" style="1" width="4.18"/>
    <col collapsed="false" customWidth="true" hidden="false" outlineLevel="0" max="206" min="203" style="1" width="7.54"/>
    <col collapsed="false" customWidth="true" hidden="false" outlineLevel="0" max="207" min="207" style="1" width="5"/>
    <col collapsed="false" customWidth="true" hidden="false" outlineLevel="0" max="209" min="208" style="1" width="7.54"/>
    <col collapsed="false" customWidth="true" hidden="false" outlineLevel="0" max="210" min="210" style="1" width="5.46"/>
    <col collapsed="false" customWidth="true" hidden="false" outlineLevel="0" max="213" min="211" style="1" width="7.54"/>
    <col collapsed="false" customWidth="true" hidden="false" outlineLevel="0" max="214" min="214" style="1" width="4.82"/>
    <col collapsed="false" customWidth="true" hidden="false" outlineLevel="0" max="218" min="215" style="1" width="7.54"/>
    <col collapsed="false" customWidth="true" hidden="false" outlineLevel="0" max="219" min="219" style="1" width="5.54"/>
    <col collapsed="false" customWidth="true" hidden="false" outlineLevel="0" max="221" min="220" style="1" width="7.54"/>
    <col collapsed="false" customWidth="true" hidden="false" outlineLevel="0" max="222" min="222" style="1" width="5.46"/>
    <col collapsed="false" customWidth="true" hidden="false" outlineLevel="0" max="223" min="223" style="1" width="8"/>
    <col collapsed="false" customWidth="true" hidden="false" outlineLevel="0" max="224" min="224" style="1" width="5.18"/>
    <col collapsed="false" customWidth="true" hidden="false" outlineLevel="0" max="228" min="225" style="1" width="8"/>
    <col collapsed="false" customWidth="true" hidden="false" outlineLevel="0" max="229" min="229" style="1" width="5.18"/>
    <col collapsed="false" customWidth="true" hidden="false" outlineLevel="0" max="233" min="230" style="1" width="8"/>
    <col collapsed="false" customWidth="true" hidden="false" outlineLevel="0" max="234" min="234" style="1" width="5.18"/>
    <col collapsed="false" customWidth="true" hidden="false" outlineLevel="0" max="236" min="235" style="1" width="8"/>
    <col collapsed="false" customWidth="true" hidden="false" outlineLevel="0" max="237" min="237" style="1" width="5.18"/>
    <col collapsed="false" customWidth="true" hidden="false" outlineLevel="0" max="240" min="238" style="1" width="8"/>
    <col collapsed="false" customWidth="true" hidden="false" outlineLevel="0" max="241" min="241" style="1" width="5.18"/>
    <col collapsed="false" customWidth="true" hidden="false" outlineLevel="0" max="245" min="242" style="1" width="8"/>
    <col collapsed="false" customWidth="true" hidden="false" outlineLevel="0" max="246" min="246" style="1" width="5.18"/>
    <col collapsed="false" customWidth="true" hidden="false" outlineLevel="0" max="248" min="247" style="1" width="8"/>
    <col collapsed="false" customWidth="true" hidden="false" outlineLevel="0" max="249" min="249" style="1" width="5.18"/>
    <col collapsed="false" customWidth="false" hidden="false" outlineLevel="0" max="970" min="250" style="1" width="9.18"/>
  </cols>
  <sheetData>
    <row r="1" customFormat="false" ht="13.8" hidden="false" customHeight="false" outlineLevel="0" collapsed="false">
      <c r="E1" s="2" t="s">
        <v>0</v>
      </c>
      <c r="F1" s="2"/>
      <c r="G1" s="3" t="s">
        <v>1</v>
      </c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4" t="s">
        <v>2</v>
      </c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5" t="s">
        <v>3</v>
      </c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F1" s="5"/>
      <c r="CG1" s="5"/>
      <c r="CH1" s="5"/>
      <c r="CI1" s="5"/>
      <c r="CJ1" s="6" t="s">
        <v>4</v>
      </c>
      <c r="CK1" s="6"/>
      <c r="CL1" s="6"/>
      <c r="CM1" s="6"/>
      <c r="CN1" s="6"/>
      <c r="CO1" s="6"/>
      <c r="CP1" s="6"/>
      <c r="CQ1" s="6"/>
      <c r="CR1" s="6"/>
      <c r="CS1" s="6"/>
      <c r="CT1" s="6"/>
      <c r="CU1" s="6"/>
      <c r="CV1" s="6"/>
      <c r="CW1" s="6"/>
      <c r="CX1" s="6"/>
      <c r="CY1" s="6"/>
      <c r="CZ1" s="6"/>
      <c r="DA1" s="6"/>
      <c r="DB1" s="6"/>
      <c r="DC1" s="6"/>
      <c r="DD1" s="6"/>
      <c r="DE1" s="6"/>
      <c r="DF1" s="6"/>
      <c r="DG1" s="6"/>
      <c r="DH1" s="6"/>
      <c r="DI1" s="6"/>
      <c r="DJ1" s="6"/>
      <c r="DK1" s="7" t="s">
        <v>5</v>
      </c>
      <c r="DL1" s="7"/>
      <c r="DM1" s="7"/>
      <c r="DN1" s="7"/>
      <c r="DO1" s="7"/>
      <c r="DP1" s="7"/>
      <c r="DQ1" s="7"/>
      <c r="DR1" s="7"/>
      <c r="DS1" s="7"/>
      <c r="DT1" s="7"/>
      <c r="DU1" s="7"/>
      <c r="DV1" s="7"/>
      <c r="DW1" s="7"/>
      <c r="DX1" s="7"/>
      <c r="DY1" s="7"/>
      <c r="DZ1" s="7"/>
      <c r="EA1" s="7"/>
      <c r="EB1" s="7"/>
      <c r="EC1" s="7"/>
      <c r="ED1" s="7"/>
      <c r="EE1" s="7"/>
      <c r="EF1" s="7"/>
      <c r="EG1" s="7"/>
      <c r="EH1" s="7"/>
      <c r="EI1" s="7"/>
      <c r="EJ1" s="7"/>
      <c r="EK1" s="7"/>
      <c r="EL1" s="8" t="s">
        <v>6</v>
      </c>
      <c r="EM1" s="8"/>
      <c r="EN1" s="8"/>
      <c r="EO1" s="8"/>
      <c r="EP1" s="8"/>
      <c r="EQ1" s="8"/>
      <c r="ER1" s="8"/>
      <c r="ES1" s="8"/>
      <c r="ET1" s="8"/>
      <c r="EU1" s="8"/>
      <c r="EV1" s="8"/>
      <c r="EW1" s="8"/>
      <c r="EX1" s="8"/>
      <c r="EY1" s="8"/>
      <c r="EZ1" s="8"/>
      <c r="FA1" s="8"/>
      <c r="FB1" s="8"/>
      <c r="FC1" s="8"/>
      <c r="FD1" s="8"/>
      <c r="FE1" s="8"/>
      <c r="FF1" s="8"/>
      <c r="FG1" s="8"/>
      <c r="FH1" s="8"/>
      <c r="FI1" s="8"/>
      <c r="FJ1" s="8"/>
      <c r="FK1" s="8"/>
      <c r="FL1" s="8"/>
      <c r="FM1" s="9" t="s">
        <v>7</v>
      </c>
      <c r="FN1" s="9"/>
      <c r="FO1" s="9"/>
      <c r="FP1" s="9"/>
      <c r="FQ1" s="9"/>
      <c r="FR1" s="9"/>
      <c r="FS1" s="9"/>
      <c r="FT1" s="9"/>
      <c r="FU1" s="9"/>
      <c r="FV1" s="9"/>
      <c r="FW1" s="9"/>
      <c r="FX1" s="9"/>
      <c r="FY1" s="9"/>
      <c r="FZ1" s="9"/>
      <c r="GA1" s="9"/>
      <c r="GB1" s="9"/>
      <c r="GC1" s="9"/>
      <c r="GD1" s="9"/>
      <c r="GE1" s="9"/>
      <c r="GF1" s="9"/>
      <c r="GG1" s="9"/>
      <c r="GH1" s="9"/>
      <c r="GI1" s="9"/>
      <c r="GJ1" s="9"/>
      <c r="GK1" s="9"/>
      <c r="GL1" s="9"/>
      <c r="GM1" s="9"/>
      <c r="GN1" s="10" t="s">
        <v>8</v>
      </c>
      <c r="GO1" s="10"/>
      <c r="GP1" s="10"/>
      <c r="GQ1" s="10"/>
      <c r="GR1" s="10"/>
      <c r="GS1" s="10"/>
      <c r="GT1" s="10"/>
      <c r="GU1" s="10"/>
      <c r="GV1" s="10"/>
      <c r="GW1" s="10"/>
      <c r="GX1" s="10"/>
      <c r="GY1" s="10"/>
      <c r="GZ1" s="10"/>
      <c r="HA1" s="10"/>
      <c r="HB1" s="10"/>
      <c r="HC1" s="10"/>
      <c r="HD1" s="10"/>
      <c r="HE1" s="10"/>
      <c r="HF1" s="10"/>
      <c r="HG1" s="10"/>
      <c r="HH1" s="10"/>
      <c r="HI1" s="10"/>
      <c r="HJ1" s="10"/>
      <c r="HK1" s="10"/>
      <c r="HL1" s="10"/>
      <c r="HM1" s="10"/>
      <c r="HN1" s="10"/>
      <c r="HO1" s="11" t="s">
        <v>9</v>
      </c>
      <c r="HP1" s="11"/>
      <c r="HQ1" s="11"/>
      <c r="HR1" s="11"/>
      <c r="HS1" s="11"/>
      <c r="HT1" s="11"/>
      <c r="HU1" s="11"/>
      <c r="HV1" s="11"/>
      <c r="HW1" s="11"/>
      <c r="HX1" s="11"/>
      <c r="HY1" s="11"/>
      <c r="HZ1" s="11"/>
      <c r="IA1" s="11"/>
      <c r="IB1" s="11"/>
      <c r="IC1" s="11"/>
      <c r="ID1" s="11"/>
      <c r="IE1" s="11"/>
      <c r="IF1" s="11"/>
      <c r="IG1" s="11"/>
      <c r="IH1" s="11"/>
      <c r="II1" s="11"/>
      <c r="IJ1" s="11"/>
      <c r="IK1" s="11"/>
      <c r="IL1" s="11"/>
      <c r="IM1" s="11"/>
      <c r="IN1" s="11"/>
      <c r="IO1" s="11"/>
    </row>
    <row r="2" customFormat="false" ht="13.8" hidden="false" customHeight="false" outlineLevel="0" collapsed="false">
      <c r="D2" s="12" t="s">
        <v>10</v>
      </c>
      <c r="E2" s="13" t="s">
        <v>11</v>
      </c>
      <c r="F2" s="13"/>
      <c r="G2" s="14" t="s">
        <v>11</v>
      </c>
      <c r="H2" s="14"/>
      <c r="I2" s="14"/>
      <c r="J2" s="15" t="s">
        <v>12</v>
      </c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6" t="s">
        <v>13</v>
      </c>
      <c r="W2" s="16"/>
      <c r="X2" s="16"/>
      <c r="Y2" s="16"/>
      <c r="Z2" s="16"/>
      <c r="AA2" s="16"/>
      <c r="AB2" s="16"/>
      <c r="AC2" s="16"/>
      <c r="AD2" s="16"/>
      <c r="AE2" s="16"/>
      <c r="AF2" s="16"/>
      <c r="AG2" s="16"/>
      <c r="AH2" s="14" t="s">
        <v>11</v>
      </c>
      <c r="AI2" s="14"/>
      <c r="AJ2" s="14"/>
      <c r="AK2" s="15" t="s">
        <v>12</v>
      </c>
      <c r="AL2" s="15"/>
      <c r="AM2" s="15"/>
      <c r="AN2" s="15"/>
      <c r="AO2" s="15"/>
      <c r="AP2" s="15"/>
      <c r="AQ2" s="15"/>
      <c r="AR2" s="15"/>
      <c r="AS2" s="15"/>
      <c r="AT2" s="15"/>
      <c r="AU2" s="15"/>
      <c r="AV2" s="15"/>
      <c r="AW2" s="16" t="s">
        <v>13</v>
      </c>
      <c r="AX2" s="16"/>
      <c r="AY2" s="16"/>
      <c r="AZ2" s="16"/>
      <c r="BA2" s="16"/>
      <c r="BB2" s="16"/>
      <c r="BC2" s="16"/>
      <c r="BD2" s="16"/>
      <c r="BE2" s="16"/>
      <c r="BF2" s="16"/>
      <c r="BG2" s="16"/>
      <c r="BH2" s="16"/>
      <c r="BI2" s="14" t="s">
        <v>11</v>
      </c>
      <c r="BJ2" s="14"/>
      <c r="BK2" s="14"/>
      <c r="BL2" s="15" t="s">
        <v>12</v>
      </c>
      <c r="BM2" s="15"/>
      <c r="BN2" s="15"/>
      <c r="BO2" s="15"/>
      <c r="BP2" s="15"/>
      <c r="BQ2" s="15"/>
      <c r="BR2" s="15"/>
      <c r="BS2" s="15"/>
      <c r="BT2" s="15"/>
      <c r="BU2" s="15"/>
      <c r="BV2" s="15"/>
      <c r="BW2" s="15"/>
      <c r="BX2" s="16" t="s">
        <v>13</v>
      </c>
      <c r="BY2" s="16"/>
      <c r="BZ2" s="16"/>
      <c r="CA2" s="16"/>
      <c r="CB2" s="16"/>
      <c r="CC2" s="16"/>
      <c r="CD2" s="16"/>
      <c r="CE2" s="16"/>
      <c r="CF2" s="16"/>
      <c r="CG2" s="16"/>
      <c r="CH2" s="16"/>
      <c r="CI2" s="16"/>
      <c r="CJ2" s="14" t="s">
        <v>11</v>
      </c>
      <c r="CK2" s="14"/>
      <c r="CL2" s="14"/>
      <c r="CM2" s="15" t="s">
        <v>12</v>
      </c>
      <c r="CN2" s="15"/>
      <c r="CO2" s="15"/>
      <c r="CP2" s="15"/>
      <c r="CQ2" s="15"/>
      <c r="CR2" s="15"/>
      <c r="CS2" s="15"/>
      <c r="CT2" s="15"/>
      <c r="CU2" s="15"/>
      <c r="CV2" s="15"/>
      <c r="CW2" s="15"/>
      <c r="CX2" s="15"/>
      <c r="CY2" s="16" t="s">
        <v>13</v>
      </c>
      <c r="CZ2" s="16"/>
      <c r="DA2" s="16"/>
      <c r="DB2" s="16"/>
      <c r="DC2" s="16"/>
      <c r="DD2" s="16"/>
      <c r="DE2" s="16"/>
      <c r="DF2" s="16"/>
      <c r="DG2" s="16"/>
      <c r="DH2" s="16"/>
      <c r="DI2" s="16"/>
      <c r="DJ2" s="16"/>
      <c r="DK2" s="14" t="s">
        <v>11</v>
      </c>
      <c r="DL2" s="14"/>
      <c r="DM2" s="14"/>
      <c r="DN2" s="15" t="s">
        <v>12</v>
      </c>
      <c r="DO2" s="15"/>
      <c r="DP2" s="15"/>
      <c r="DQ2" s="15"/>
      <c r="DR2" s="15"/>
      <c r="DS2" s="15"/>
      <c r="DT2" s="15"/>
      <c r="DU2" s="15"/>
      <c r="DV2" s="15"/>
      <c r="DW2" s="15"/>
      <c r="DX2" s="15"/>
      <c r="DY2" s="15"/>
      <c r="DZ2" s="16" t="s">
        <v>13</v>
      </c>
      <c r="EA2" s="16"/>
      <c r="EB2" s="16"/>
      <c r="EC2" s="16"/>
      <c r="ED2" s="16"/>
      <c r="EE2" s="16"/>
      <c r="EF2" s="16"/>
      <c r="EG2" s="16"/>
      <c r="EH2" s="16"/>
      <c r="EI2" s="16"/>
      <c r="EJ2" s="16"/>
      <c r="EK2" s="16"/>
      <c r="EL2" s="14" t="s">
        <v>11</v>
      </c>
      <c r="EM2" s="14"/>
      <c r="EN2" s="14"/>
      <c r="EO2" s="15" t="s">
        <v>12</v>
      </c>
      <c r="EP2" s="15"/>
      <c r="EQ2" s="15"/>
      <c r="ER2" s="15"/>
      <c r="ES2" s="15"/>
      <c r="ET2" s="15"/>
      <c r="EU2" s="15"/>
      <c r="EV2" s="15"/>
      <c r="EW2" s="15"/>
      <c r="EX2" s="15"/>
      <c r="EY2" s="15"/>
      <c r="EZ2" s="15"/>
      <c r="FA2" s="16" t="s">
        <v>13</v>
      </c>
      <c r="FB2" s="16"/>
      <c r="FC2" s="16"/>
      <c r="FD2" s="16"/>
      <c r="FE2" s="16"/>
      <c r="FF2" s="16"/>
      <c r="FG2" s="16"/>
      <c r="FH2" s="16"/>
      <c r="FI2" s="16"/>
      <c r="FJ2" s="16"/>
      <c r="FK2" s="16"/>
      <c r="FL2" s="16"/>
      <c r="FM2" s="14" t="s">
        <v>11</v>
      </c>
      <c r="FN2" s="14"/>
      <c r="FO2" s="14"/>
      <c r="FP2" s="15" t="s">
        <v>12</v>
      </c>
      <c r="FQ2" s="15"/>
      <c r="FR2" s="15"/>
      <c r="FS2" s="15"/>
      <c r="FT2" s="15"/>
      <c r="FU2" s="15"/>
      <c r="FV2" s="15"/>
      <c r="FW2" s="15"/>
      <c r="FX2" s="15"/>
      <c r="FY2" s="15"/>
      <c r="FZ2" s="15"/>
      <c r="GA2" s="15"/>
      <c r="GB2" s="16" t="s">
        <v>13</v>
      </c>
      <c r="GC2" s="16"/>
      <c r="GD2" s="16"/>
      <c r="GE2" s="16"/>
      <c r="GF2" s="16"/>
      <c r="GG2" s="16"/>
      <c r="GH2" s="16"/>
      <c r="GI2" s="16"/>
      <c r="GJ2" s="16"/>
      <c r="GK2" s="16"/>
      <c r="GL2" s="16"/>
      <c r="GM2" s="16"/>
      <c r="GN2" s="14" t="s">
        <v>11</v>
      </c>
      <c r="GO2" s="14"/>
      <c r="GP2" s="14"/>
      <c r="GQ2" s="15" t="s">
        <v>12</v>
      </c>
      <c r="GR2" s="15"/>
      <c r="GS2" s="15"/>
      <c r="GT2" s="15"/>
      <c r="GU2" s="15"/>
      <c r="GV2" s="15"/>
      <c r="GW2" s="15"/>
      <c r="GX2" s="15"/>
      <c r="GY2" s="15"/>
      <c r="GZ2" s="15"/>
      <c r="HA2" s="15"/>
      <c r="HB2" s="15"/>
      <c r="HC2" s="16" t="s">
        <v>13</v>
      </c>
      <c r="HD2" s="16"/>
      <c r="HE2" s="16"/>
      <c r="HF2" s="16"/>
      <c r="HG2" s="16"/>
      <c r="HH2" s="16"/>
      <c r="HI2" s="16"/>
      <c r="HJ2" s="16"/>
      <c r="HK2" s="16"/>
      <c r="HL2" s="16"/>
      <c r="HM2" s="16"/>
      <c r="HN2" s="16"/>
      <c r="HO2" s="14" t="s">
        <v>11</v>
      </c>
      <c r="HP2" s="14"/>
      <c r="HQ2" s="14"/>
      <c r="HR2" s="15" t="s">
        <v>12</v>
      </c>
      <c r="HS2" s="15"/>
      <c r="HT2" s="15"/>
      <c r="HU2" s="15"/>
      <c r="HV2" s="15"/>
      <c r="HW2" s="15"/>
      <c r="HX2" s="15"/>
      <c r="HY2" s="15"/>
      <c r="HZ2" s="15"/>
      <c r="IA2" s="15"/>
      <c r="IB2" s="15"/>
      <c r="IC2" s="15"/>
      <c r="ID2" s="16" t="s">
        <v>13</v>
      </c>
      <c r="IE2" s="16"/>
      <c r="IF2" s="16"/>
      <c r="IG2" s="16"/>
      <c r="IH2" s="16"/>
      <c r="II2" s="16"/>
      <c r="IJ2" s="16"/>
      <c r="IK2" s="16"/>
      <c r="IL2" s="16"/>
      <c r="IM2" s="16"/>
      <c r="IN2" s="16"/>
      <c r="IO2" s="16"/>
    </row>
    <row r="3" customFormat="false" ht="13.8" hidden="false" customHeight="false" outlineLevel="0" collapsed="false">
      <c r="B3" s="17" t="s">
        <v>14</v>
      </c>
      <c r="C3" s="18" t="s">
        <v>15</v>
      </c>
      <c r="D3" s="19" t="s">
        <v>16</v>
      </c>
      <c r="E3" s="20" t="s">
        <v>17</v>
      </c>
      <c r="F3" s="21" t="s">
        <v>18</v>
      </c>
      <c r="G3" s="22" t="s">
        <v>17</v>
      </c>
      <c r="H3" s="23" t="s">
        <v>19</v>
      </c>
      <c r="I3" s="23" t="s">
        <v>18</v>
      </c>
      <c r="J3" s="23" t="s">
        <v>20</v>
      </c>
      <c r="K3" s="23" t="s">
        <v>21</v>
      </c>
      <c r="L3" s="23" t="s">
        <v>22</v>
      </c>
      <c r="M3" s="23" t="s">
        <v>19</v>
      </c>
      <c r="N3" s="23" t="s">
        <v>23</v>
      </c>
      <c r="O3" s="23" t="s">
        <v>24</v>
      </c>
      <c r="P3" s="23" t="s">
        <v>25</v>
      </c>
      <c r="Q3" s="23" t="s">
        <v>26</v>
      </c>
      <c r="R3" s="23" t="s">
        <v>27</v>
      </c>
      <c r="S3" s="23" t="s">
        <v>28</v>
      </c>
      <c r="T3" s="23" t="s">
        <v>29</v>
      </c>
      <c r="U3" s="23" t="s">
        <v>30</v>
      </c>
      <c r="V3" s="23" t="s">
        <v>31</v>
      </c>
      <c r="W3" s="23" t="s">
        <v>21</v>
      </c>
      <c r="X3" s="23" t="s">
        <v>22</v>
      </c>
      <c r="Y3" s="23" t="s">
        <v>19</v>
      </c>
      <c r="Z3" s="23" t="s">
        <v>23</v>
      </c>
      <c r="AA3" s="23" t="s">
        <v>24</v>
      </c>
      <c r="AB3" s="23" t="s">
        <v>25</v>
      </c>
      <c r="AC3" s="23" t="s">
        <v>26</v>
      </c>
      <c r="AD3" s="23" t="s">
        <v>27</v>
      </c>
      <c r="AE3" s="23" t="s">
        <v>28</v>
      </c>
      <c r="AF3" s="23" t="s">
        <v>29</v>
      </c>
      <c r="AG3" s="24" t="s">
        <v>30</v>
      </c>
      <c r="AH3" s="22" t="s">
        <v>17</v>
      </c>
      <c r="AI3" s="23" t="s">
        <v>19</v>
      </c>
      <c r="AJ3" s="23" t="s">
        <v>18</v>
      </c>
      <c r="AK3" s="23" t="s">
        <v>20</v>
      </c>
      <c r="AL3" s="23" t="s">
        <v>21</v>
      </c>
      <c r="AM3" s="23" t="s">
        <v>22</v>
      </c>
      <c r="AN3" s="23" t="s">
        <v>19</v>
      </c>
      <c r="AO3" s="23" t="s">
        <v>23</v>
      </c>
      <c r="AP3" s="23" t="s">
        <v>24</v>
      </c>
      <c r="AQ3" s="23" t="s">
        <v>25</v>
      </c>
      <c r="AR3" s="23" t="s">
        <v>26</v>
      </c>
      <c r="AS3" s="23" t="s">
        <v>27</v>
      </c>
      <c r="AT3" s="23" t="s">
        <v>28</v>
      </c>
      <c r="AU3" s="23" t="s">
        <v>29</v>
      </c>
      <c r="AV3" s="23" t="s">
        <v>30</v>
      </c>
      <c r="AW3" s="23" t="s">
        <v>31</v>
      </c>
      <c r="AX3" s="23" t="s">
        <v>21</v>
      </c>
      <c r="AY3" s="23" t="s">
        <v>22</v>
      </c>
      <c r="AZ3" s="23" t="s">
        <v>19</v>
      </c>
      <c r="BA3" s="23" t="s">
        <v>23</v>
      </c>
      <c r="BB3" s="23" t="s">
        <v>24</v>
      </c>
      <c r="BC3" s="23" t="s">
        <v>25</v>
      </c>
      <c r="BD3" s="23" t="s">
        <v>26</v>
      </c>
      <c r="BE3" s="23" t="s">
        <v>27</v>
      </c>
      <c r="BF3" s="23" t="s">
        <v>28</v>
      </c>
      <c r="BG3" s="23" t="s">
        <v>29</v>
      </c>
      <c r="BH3" s="24" t="s">
        <v>30</v>
      </c>
      <c r="BI3" s="22" t="s">
        <v>17</v>
      </c>
      <c r="BJ3" s="23" t="s">
        <v>19</v>
      </c>
      <c r="BK3" s="23" t="s">
        <v>18</v>
      </c>
      <c r="BL3" s="23" t="s">
        <v>20</v>
      </c>
      <c r="BM3" s="23" t="s">
        <v>21</v>
      </c>
      <c r="BN3" s="23" t="s">
        <v>22</v>
      </c>
      <c r="BO3" s="23" t="s">
        <v>19</v>
      </c>
      <c r="BP3" s="23" t="s">
        <v>23</v>
      </c>
      <c r="BQ3" s="23" t="s">
        <v>24</v>
      </c>
      <c r="BR3" s="23" t="s">
        <v>25</v>
      </c>
      <c r="BS3" s="23" t="s">
        <v>26</v>
      </c>
      <c r="BT3" s="23" t="s">
        <v>27</v>
      </c>
      <c r="BU3" s="23" t="s">
        <v>28</v>
      </c>
      <c r="BV3" s="23" t="s">
        <v>29</v>
      </c>
      <c r="BW3" s="23" t="s">
        <v>30</v>
      </c>
      <c r="BX3" s="23" t="s">
        <v>31</v>
      </c>
      <c r="BY3" s="23" t="s">
        <v>21</v>
      </c>
      <c r="BZ3" s="23" t="s">
        <v>22</v>
      </c>
      <c r="CA3" s="23" t="s">
        <v>19</v>
      </c>
      <c r="CB3" s="23" t="s">
        <v>23</v>
      </c>
      <c r="CC3" s="23" t="s">
        <v>24</v>
      </c>
      <c r="CD3" s="23" t="s">
        <v>25</v>
      </c>
      <c r="CE3" s="23" t="s">
        <v>26</v>
      </c>
      <c r="CF3" s="23" t="s">
        <v>27</v>
      </c>
      <c r="CG3" s="23" t="s">
        <v>28</v>
      </c>
      <c r="CH3" s="23" t="s">
        <v>29</v>
      </c>
      <c r="CI3" s="24" t="s">
        <v>30</v>
      </c>
      <c r="CJ3" s="22" t="s">
        <v>17</v>
      </c>
      <c r="CK3" s="23" t="s">
        <v>19</v>
      </c>
      <c r="CL3" s="23" t="s">
        <v>18</v>
      </c>
      <c r="CM3" s="23" t="s">
        <v>20</v>
      </c>
      <c r="CN3" s="23" t="s">
        <v>21</v>
      </c>
      <c r="CO3" s="23" t="s">
        <v>22</v>
      </c>
      <c r="CP3" s="23" t="s">
        <v>19</v>
      </c>
      <c r="CQ3" s="23" t="s">
        <v>23</v>
      </c>
      <c r="CR3" s="23" t="s">
        <v>24</v>
      </c>
      <c r="CS3" s="23" t="s">
        <v>25</v>
      </c>
      <c r="CT3" s="23" t="s">
        <v>26</v>
      </c>
      <c r="CU3" s="23" t="s">
        <v>27</v>
      </c>
      <c r="CV3" s="23" t="s">
        <v>28</v>
      </c>
      <c r="CW3" s="23" t="s">
        <v>29</v>
      </c>
      <c r="CX3" s="23" t="s">
        <v>30</v>
      </c>
      <c r="CY3" s="23" t="s">
        <v>31</v>
      </c>
      <c r="CZ3" s="23" t="s">
        <v>21</v>
      </c>
      <c r="DA3" s="23" t="s">
        <v>22</v>
      </c>
      <c r="DB3" s="23" t="s">
        <v>19</v>
      </c>
      <c r="DC3" s="23" t="s">
        <v>23</v>
      </c>
      <c r="DD3" s="23" t="s">
        <v>24</v>
      </c>
      <c r="DE3" s="23" t="s">
        <v>25</v>
      </c>
      <c r="DF3" s="23" t="s">
        <v>26</v>
      </c>
      <c r="DG3" s="23" t="s">
        <v>27</v>
      </c>
      <c r="DH3" s="23" t="s">
        <v>28</v>
      </c>
      <c r="DI3" s="23" t="s">
        <v>29</v>
      </c>
      <c r="DJ3" s="24" t="s">
        <v>30</v>
      </c>
      <c r="DK3" s="22" t="s">
        <v>17</v>
      </c>
      <c r="DL3" s="23" t="s">
        <v>19</v>
      </c>
      <c r="DM3" s="23" t="s">
        <v>18</v>
      </c>
      <c r="DN3" s="23" t="s">
        <v>20</v>
      </c>
      <c r="DO3" s="23" t="s">
        <v>21</v>
      </c>
      <c r="DP3" s="23" t="s">
        <v>22</v>
      </c>
      <c r="DQ3" s="23" t="s">
        <v>19</v>
      </c>
      <c r="DR3" s="23" t="s">
        <v>23</v>
      </c>
      <c r="DS3" s="23" t="s">
        <v>24</v>
      </c>
      <c r="DT3" s="23" t="s">
        <v>25</v>
      </c>
      <c r="DU3" s="23" t="s">
        <v>26</v>
      </c>
      <c r="DV3" s="23" t="s">
        <v>27</v>
      </c>
      <c r="DW3" s="23" t="s">
        <v>28</v>
      </c>
      <c r="DX3" s="23" t="s">
        <v>29</v>
      </c>
      <c r="DY3" s="23" t="s">
        <v>30</v>
      </c>
      <c r="DZ3" s="23" t="s">
        <v>31</v>
      </c>
      <c r="EA3" s="23" t="s">
        <v>21</v>
      </c>
      <c r="EB3" s="23" t="s">
        <v>22</v>
      </c>
      <c r="EC3" s="23" t="s">
        <v>19</v>
      </c>
      <c r="ED3" s="23" t="s">
        <v>23</v>
      </c>
      <c r="EE3" s="23" t="s">
        <v>24</v>
      </c>
      <c r="EF3" s="23" t="s">
        <v>25</v>
      </c>
      <c r="EG3" s="23" t="s">
        <v>26</v>
      </c>
      <c r="EH3" s="23" t="s">
        <v>27</v>
      </c>
      <c r="EI3" s="23" t="s">
        <v>28</v>
      </c>
      <c r="EJ3" s="23" t="s">
        <v>29</v>
      </c>
      <c r="EK3" s="24" t="s">
        <v>30</v>
      </c>
      <c r="EL3" s="22" t="s">
        <v>17</v>
      </c>
      <c r="EM3" s="23" t="s">
        <v>19</v>
      </c>
      <c r="EN3" s="23" t="s">
        <v>18</v>
      </c>
      <c r="EO3" s="23" t="s">
        <v>20</v>
      </c>
      <c r="EP3" s="23" t="s">
        <v>21</v>
      </c>
      <c r="EQ3" s="23" t="s">
        <v>22</v>
      </c>
      <c r="ER3" s="23" t="s">
        <v>19</v>
      </c>
      <c r="ES3" s="23" t="s">
        <v>23</v>
      </c>
      <c r="ET3" s="23" t="s">
        <v>24</v>
      </c>
      <c r="EU3" s="23" t="s">
        <v>25</v>
      </c>
      <c r="EV3" s="23" t="s">
        <v>26</v>
      </c>
      <c r="EW3" s="23" t="s">
        <v>27</v>
      </c>
      <c r="EX3" s="23" t="s">
        <v>28</v>
      </c>
      <c r="EY3" s="23" t="s">
        <v>29</v>
      </c>
      <c r="EZ3" s="23" t="s">
        <v>30</v>
      </c>
      <c r="FA3" s="23" t="s">
        <v>31</v>
      </c>
      <c r="FB3" s="23" t="s">
        <v>21</v>
      </c>
      <c r="FC3" s="23" t="s">
        <v>22</v>
      </c>
      <c r="FD3" s="23" t="s">
        <v>19</v>
      </c>
      <c r="FE3" s="23" t="s">
        <v>23</v>
      </c>
      <c r="FF3" s="23" t="s">
        <v>24</v>
      </c>
      <c r="FG3" s="23" t="s">
        <v>25</v>
      </c>
      <c r="FH3" s="23" t="s">
        <v>26</v>
      </c>
      <c r="FI3" s="23" t="s">
        <v>27</v>
      </c>
      <c r="FJ3" s="23" t="s">
        <v>28</v>
      </c>
      <c r="FK3" s="23" t="s">
        <v>29</v>
      </c>
      <c r="FL3" s="24" t="s">
        <v>30</v>
      </c>
      <c r="FM3" s="22" t="s">
        <v>17</v>
      </c>
      <c r="FN3" s="23" t="s">
        <v>19</v>
      </c>
      <c r="FO3" s="23" t="s">
        <v>18</v>
      </c>
      <c r="FP3" s="23" t="s">
        <v>20</v>
      </c>
      <c r="FQ3" s="23" t="s">
        <v>21</v>
      </c>
      <c r="FR3" s="23" t="s">
        <v>22</v>
      </c>
      <c r="FS3" s="23" t="s">
        <v>19</v>
      </c>
      <c r="FT3" s="23" t="s">
        <v>23</v>
      </c>
      <c r="FU3" s="23" t="s">
        <v>24</v>
      </c>
      <c r="FV3" s="23" t="s">
        <v>25</v>
      </c>
      <c r="FW3" s="23" t="s">
        <v>26</v>
      </c>
      <c r="FX3" s="23" t="s">
        <v>27</v>
      </c>
      <c r="FY3" s="23" t="s">
        <v>28</v>
      </c>
      <c r="FZ3" s="23" t="s">
        <v>29</v>
      </c>
      <c r="GA3" s="23" t="s">
        <v>30</v>
      </c>
      <c r="GB3" s="23" t="s">
        <v>31</v>
      </c>
      <c r="GC3" s="23" t="s">
        <v>21</v>
      </c>
      <c r="GD3" s="23" t="s">
        <v>22</v>
      </c>
      <c r="GE3" s="23" t="s">
        <v>19</v>
      </c>
      <c r="GF3" s="23" t="s">
        <v>23</v>
      </c>
      <c r="GG3" s="23" t="s">
        <v>24</v>
      </c>
      <c r="GH3" s="23" t="s">
        <v>25</v>
      </c>
      <c r="GI3" s="23" t="s">
        <v>26</v>
      </c>
      <c r="GJ3" s="23" t="s">
        <v>27</v>
      </c>
      <c r="GK3" s="23" t="s">
        <v>28</v>
      </c>
      <c r="GL3" s="23" t="s">
        <v>29</v>
      </c>
      <c r="GM3" s="24" t="s">
        <v>30</v>
      </c>
      <c r="GN3" s="22" t="s">
        <v>17</v>
      </c>
      <c r="GO3" s="23" t="s">
        <v>19</v>
      </c>
      <c r="GP3" s="23" t="s">
        <v>18</v>
      </c>
      <c r="GQ3" s="23" t="s">
        <v>20</v>
      </c>
      <c r="GR3" s="23" t="s">
        <v>21</v>
      </c>
      <c r="GS3" s="23" t="s">
        <v>22</v>
      </c>
      <c r="GT3" s="23" t="s">
        <v>19</v>
      </c>
      <c r="GU3" s="23" t="s">
        <v>23</v>
      </c>
      <c r="GV3" s="23" t="s">
        <v>24</v>
      </c>
      <c r="GW3" s="23" t="s">
        <v>25</v>
      </c>
      <c r="GX3" s="23" t="s">
        <v>26</v>
      </c>
      <c r="GY3" s="23" t="s">
        <v>27</v>
      </c>
      <c r="GZ3" s="23" t="s">
        <v>28</v>
      </c>
      <c r="HA3" s="23" t="s">
        <v>29</v>
      </c>
      <c r="HB3" s="23" t="s">
        <v>30</v>
      </c>
      <c r="HC3" s="23" t="s">
        <v>31</v>
      </c>
      <c r="HD3" s="23" t="s">
        <v>21</v>
      </c>
      <c r="HE3" s="23" t="s">
        <v>22</v>
      </c>
      <c r="HF3" s="23" t="s">
        <v>19</v>
      </c>
      <c r="HG3" s="23" t="s">
        <v>23</v>
      </c>
      <c r="HH3" s="23" t="s">
        <v>24</v>
      </c>
      <c r="HI3" s="23" t="s">
        <v>25</v>
      </c>
      <c r="HJ3" s="23" t="s">
        <v>26</v>
      </c>
      <c r="HK3" s="23" t="s">
        <v>27</v>
      </c>
      <c r="HL3" s="23" t="s">
        <v>28</v>
      </c>
      <c r="HM3" s="23" t="s">
        <v>29</v>
      </c>
      <c r="HN3" s="24" t="s">
        <v>30</v>
      </c>
      <c r="HO3" s="22" t="s">
        <v>17</v>
      </c>
      <c r="HP3" s="23" t="s">
        <v>19</v>
      </c>
      <c r="HQ3" s="23" t="s">
        <v>18</v>
      </c>
      <c r="HR3" s="23" t="s">
        <v>20</v>
      </c>
      <c r="HS3" s="23" t="s">
        <v>21</v>
      </c>
      <c r="HT3" s="23" t="s">
        <v>22</v>
      </c>
      <c r="HU3" s="23" t="s">
        <v>19</v>
      </c>
      <c r="HV3" s="23" t="s">
        <v>23</v>
      </c>
      <c r="HW3" s="23" t="s">
        <v>24</v>
      </c>
      <c r="HX3" s="23" t="s">
        <v>25</v>
      </c>
      <c r="HY3" s="23" t="s">
        <v>26</v>
      </c>
      <c r="HZ3" s="23" t="s">
        <v>27</v>
      </c>
      <c r="IA3" s="23" t="s">
        <v>28</v>
      </c>
      <c r="IB3" s="23" t="s">
        <v>29</v>
      </c>
      <c r="IC3" s="23" t="s">
        <v>30</v>
      </c>
      <c r="ID3" s="23" t="s">
        <v>31</v>
      </c>
      <c r="IE3" s="23" t="s">
        <v>21</v>
      </c>
      <c r="IF3" s="23" t="s">
        <v>22</v>
      </c>
      <c r="IG3" s="23" t="s">
        <v>19</v>
      </c>
      <c r="IH3" s="23" t="s">
        <v>23</v>
      </c>
      <c r="II3" s="23" t="s">
        <v>24</v>
      </c>
      <c r="IJ3" s="23" t="s">
        <v>25</v>
      </c>
      <c r="IK3" s="23" t="s">
        <v>26</v>
      </c>
      <c r="IL3" s="23" t="s">
        <v>27</v>
      </c>
      <c r="IM3" s="23" t="s">
        <v>28</v>
      </c>
      <c r="IN3" s="23" t="s">
        <v>29</v>
      </c>
      <c r="IO3" s="24" t="s">
        <v>30</v>
      </c>
    </row>
    <row r="4" customFormat="false" ht="14.35" hidden="false" customHeight="false" outlineLevel="0" collapsed="false">
      <c r="A4" s="25" t="str">
        <f aca="false">Neu!B4</f>
        <v>B4</v>
      </c>
      <c r="B4" s="26" t="s">
        <v>32</v>
      </c>
      <c r="C4" s="27"/>
      <c r="D4" s="28" t="n">
        <v>0.007</v>
      </c>
      <c r="E4" s="29" t="n">
        <v>0.1</v>
      </c>
      <c r="F4" s="30" t="n">
        <v>-55</v>
      </c>
      <c r="G4" s="29" t="n">
        <v>60</v>
      </c>
      <c r="H4" s="31" t="n">
        <v>3</v>
      </c>
      <c r="I4" s="31" t="n">
        <v>30</v>
      </c>
      <c r="J4" s="31" t="n">
        <v>0</v>
      </c>
      <c r="K4" s="31" t="n">
        <v>-28.5</v>
      </c>
      <c r="L4" s="31" t="n">
        <v>8.6</v>
      </c>
      <c r="M4" s="31" t="n">
        <v>1</v>
      </c>
      <c r="N4" s="31" t="n">
        <v>0.0006</v>
      </c>
      <c r="O4" s="31" t="n">
        <v>0.0001</v>
      </c>
      <c r="P4" s="31" t="n">
        <v>-40.5</v>
      </c>
      <c r="Q4" s="31" t="n">
        <v>6</v>
      </c>
      <c r="R4" s="31" t="n">
        <v>1</v>
      </c>
      <c r="S4" s="31"/>
      <c r="T4" s="31"/>
      <c r="U4" s="31"/>
      <c r="V4" s="31" t="n">
        <v>0</v>
      </c>
      <c r="W4" s="31" t="n">
        <v>-38</v>
      </c>
      <c r="X4" s="31" t="n">
        <v>5</v>
      </c>
      <c r="Y4" s="31" t="n">
        <v>1</v>
      </c>
      <c r="Z4" s="31" t="n">
        <v>0.005</v>
      </c>
      <c r="AA4" s="31" t="n">
        <v>0.0002</v>
      </c>
      <c r="AB4" s="31" t="n">
        <v>-37</v>
      </c>
      <c r="AC4" s="31" t="n">
        <v>11.6</v>
      </c>
      <c r="AD4" s="31" t="n">
        <v>1</v>
      </c>
      <c r="AE4" s="31"/>
      <c r="AF4" s="31"/>
      <c r="AG4" s="30"/>
      <c r="AH4" s="29" t="n">
        <v>100</v>
      </c>
      <c r="AI4" s="31" t="n">
        <v>4</v>
      </c>
      <c r="AJ4" s="31" t="n">
        <v>-80</v>
      </c>
      <c r="AK4" s="31" t="n">
        <v>0</v>
      </c>
      <c r="AL4" s="31" t="n">
        <v>-30</v>
      </c>
      <c r="AM4" s="31" t="n">
        <v>9.8</v>
      </c>
      <c r="AN4" s="31" t="n">
        <v>1</v>
      </c>
      <c r="AO4" s="31" t="n">
        <v>0.025</v>
      </c>
      <c r="AP4" s="31" t="n">
        <v>0.0002</v>
      </c>
      <c r="AQ4" s="31" t="n">
        <v>0</v>
      </c>
      <c r="AR4" s="31" t="n">
        <v>9</v>
      </c>
      <c r="AS4" s="31" t="n">
        <v>1</v>
      </c>
      <c r="AT4" s="31"/>
      <c r="AU4" s="31"/>
      <c r="AV4" s="31"/>
      <c r="AW4" s="31"/>
      <c r="AX4" s="31"/>
      <c r="AY4" s="31"/>
      <c r="AZ4" s="31"/>
      <c r="BA4" s="31"/>
      <c r="BB4" s="31"/>
      <c r="BC4" s="31"/>
      <c r="BD4" s="31"/>
      <c r="BE4" s="31"/>
      <c r="BF4" s="31"/>
      <c r="BG4" s="31"/>
      <c r="BH4" s="30"/>
      <c r="BI4" s="29" t="n">
        <v>5</v>
      </c>
      <c r="BJ4" s="31" t="n">
        <v>3</v>
      </c>
      <c r="BK4" s="31" t="n">
        <v>-70</v>
      </c>
      <c r="BL4" s="31" t="n">
        <v>0</v>
      </c>
      <c r="BM4" s="31" t="n">
        <v>-55</v>
      </c>
      <c r="BN4" s="31" t="n">
        <v>15</v>
      </c>
      <c r="BO4" s="31" t="n">
        <v>1</v>
      </c>
      <c r="BP4" s="31" t="n">
        <v>0.017</v>
      </c>
      <c r="BQ4" s="31" t="n">
        <v>0.001</v>
      </c>
      <c r="BR4" s="31" t="n">
        <v>-30</v>
      </c>
      <c r="BS4" s="31" t="n">
        <v>20</v>
      </c>
      <c r="BT4" s="31" t="n">
        <v>1</v>
      </c>
      <c r="BU4" s="31" t="n">
        <v>-120</v>
      </c>
      <c r="BV4" s="31" t="n">
        <v>24</v>
      </c>
      <c r="BW4" s="31" t="n">
        <v>1</v>
      </c>
      <c r="BX4" s="31" t="n">
        <v>0</v>
      </c>
      <c r="BY4" s="31" t="n">
        <v>-65</v>
      </c>
      <c r="BZ4" s="31" t="n">
        <v>5</v>
      </c>
      <c r="CA4" s="31" t="n">
        <v>1</v>
      </c>
      <c r="CB4" s="31" t="n">
        <v>0.224</v>
      </c>
      <c r="CC4" s="31" t="n">
        <v>0.0001</v>
      </c>
      <c r="CD4" s="31" t="n">
        <v>-54.4</v>
      </c>
      <c r="CE4" s="31" t="n">
        <v>30.8</v>
      </c>
      <c r="CF4" s="31" t="n">
        <v>1</v>
      </c>
      <c r="CG4" s="31"/>
      <c r="CH4" s="31"/>
      <c r="CI4" s="30"/>
      <c r="CJ4" s="29" t="n">
        <v>0.16</v>
      </c>
      <c r="CK4" s="31" t="n">
        <v>2</v>
      </c>
      <c r="CL4" s="31" t="n">
        <v>60</v>
      </c>
      <c r="CM4" s="31" t="n">
        <v>0</v>
      </c>
      <c r="CN4" s="31" t="n">
        <v>0.15</v>
      </c>
      <c r="CO4" s="31" t="n">
        <v>5</v>
      </c>
      <c r="CP4" s="31" t="n">
        <v>1</v>
      </c>
      <c r="CQ4" s="31" t="n">
        <v>0.01</v>
      </c>
      <c r="CR4" s="31" t="n">
        <v>5E-005</v>
      </c>
      <c r="CS4" s="31" t="n">
        <v>3</v>
      </c>
      <c r="CT4" s="31" t="n">
        <v>18.4</v>
      </c>
      <c r="CU4" s="31" t="n">
        <v>1</v>
      </c>
      <c r="CV4" s="31" t="n">
        <v>-4</v>
      </c>
      <c r="CW4" s="31" t="n">
        <v>-4.6</v>
      </c>
      <c r="CX4" s="31" t="n">
        <v>1</v>
      </c>
      <c r="CY4" s="31" t="n">
        <v>0</v>
      </c>
      <c r="CZ4" s="31" t="n">
        <v>-15</v>
      </c>
      <c r="DA4" s="31" t="n">
        <v>11</v>
      </c>
      <c r="DB4" s="31" t="n">
        <v>1</v>
      </c>
      <c r="DC4" s="31" t="n">
        <v>0.62</v>
      </c>
      <c r="DD4" s="31" t="n">
        <v>0.00372</v>
      </c>
      <c r="DE4" s="31" t="n">
        <v>-18</v>
      </c>
      <c r="DF4" s="31" t="n">
        <v>18</v>
      </c>
      <c r="DG4" s="31" t="n">
        <v>1</v>
      </c>
      <c r="DH4" s="31" t="n">
        <v>-20</v>
      </c>
      <c r="DI4" s="31" t="n">
        <v>-15</v>
      </c>
      <c r="DJ4" s="30" t="n">
        <v>1</v>
      </c>
      <c r="DK4" s="29" t="n">
        <v>0.8</v>
      </c>
      <c r="DL4" s="31"/>
      <c r="DM4" s="31" t="n">
        <v>-66.2</v>
      </c>
      <c r="DN4" s="31"/>
      <c r="DO4" s="31"/>
      <c r="DP4" s="31"/>
      <c r="DQ4" s="31"/>
      <c r="DR4" s="31"/>
      <c r="DS4" s="31"/>
      <c r="DT4" s="31"/>
      <c r="DU4" s="31"/>
      <c r="DV4" s="31"/>
      <c r="DW4" s="31"/>
      <c r="DX4" s="31"/>
      <c r="DY4" s="31"/>
      <c r="DZ4" s="31"/>
      <c r="EA4" s="31"/>
      <c r="EB4" s="31"/>
      <c r="EC4" s="31"/>
      <c r="ED4" s="31"/>
      <c r="EE4" s="31"/>
      <c r="EF4" s="31"/>
      <c r="EG4" s="31"/>
      <c r="EH4" s="31"/>
      <c r="EI4" s="31"/>
      <c r="EJ4" s="31"/>
      <c r="EK4" s="30"/>
      <c r="EL4" s="29" t="n">
        <v>0.02</v>
      </c>
      <c r="EM4" s="31" t="n">
        <v>1</v>
      </c>
      <c r="EN4" s="31" t="n">
        <v>-65</v>
      </c>
      <c r="EO4" s="31" t="n">
        <v>0</v>
      </c>
      <c r="EP4" s="31" t="n">
        <v>23.5</v>
      </c>
      <c r="EQ4" s="31" t="n">
        <v>10.5</v>
      </c>
      <c r="ER4" s="31" t="n">
        <v>1</v>
      </c>
      <c r="ES4" s="31" t="n">
        <v>0.001</v>
      </c>
      <c r="ET4" s="31"/>
      <c r="EU4" s="31"/>
      <c r="EV4" s="31"/>
      <c r="EW4" s="31"/>
      <c r="EX4" s="31"/>
      <c r="EY4" s="31"/>
      <c r="EZ4" s="31"/>
      <c r="FA4" s="31"/>
      <c r="FB4" s="31"/>
      <c r="FC4" s="31"/>
      <c r="FD4" s="31"/>
      <c r="FE4" s="31"/>
      <c r="FF4" s="31"/>
      <c r="FG4" s="31"/>
      <c r="FH4" s="31"/>
      <c r="FI4" s="31"/>
      <c r="FJ4" s="31"/>
      <c r="FK4" s="31"/>
      <c r="FL4" s="30"/>
      <c r="FM4" s="29"/>
      <c r="FN4" s="31"/>
      <c r="FO4" s="31"/>
      <c r="FP4" s="31"/>
      <c r="FQ4" s="31"/>
      <c r="FR4" s="31"/>
      <c r="FS4" s="31"/>
      <c r="FT4" s="31"/>
      <c r="FU4" s="31"/>
      <c r="FV4" s="31"/>
      <c r="FW4" s="31"/>
      <c r="FX4" s="31"/>
      <c r="FY4" s="31"/>
      <c r="FZ4" s="31"/>
      <c r="GA4" s="31"/>
      <c r="GB4" s="31"/>
      <c r="GC4" s="31"/>
      <c r="GD4" s="31"/>
      <c r="GE4" s="31"/>
      <c r="GF4" s="31"/>
      <c r="GG4" s="31"/>
      <c r="GH4" s="31"/>
      <c r="GI4" s="31"/>
      <c r="GJ4" s="31"/>
      <c r="GK4" s="31"/>
      <c r="GL4" s="31"/>
      <c r="GM4" s="30"/>
      <c r="GN4" s="29"/>
      <c r="GO4" s="31"/>
      <c r="GP4" s="31"/>
      <c r="GQ4" s="31"/>
      <c r="GR4" s="31"/>
      <c r="GS4" s="31"/>
      <c r="GT4" s="31"/>
      <c r="GU4" s="31"/>
      <c r="GV4" s="31"/>
      <c r="GW4" s="31"/>
      <c r="GX4" s="31"/>
      <c r="GY4" s="31"/>
      <c r="GZ4" s="31"/>
      <c r="HA4" s="31"/>
      <c r="HB4" s="31"/>
      <c r="HC4" s="31"/>
      <c r="HD4" s="31"/>
      <c r="HE4" s="31"/>
      <c r="HF4" s="31"/>
      <c r="HG4" s="31"/>
      <c r="HH4" s="31"/>
      <c r="HI4" s="31"/>
      <c r="HJ4" s="31"/>
      <c r="HK4" s="31"/>
      <c r="HL4" s="31"/>
      <c r="HM4" s="31"/>
      <c r="HN4" s="30"/>
      <c r="HO4" s="29"/>
      <c r="HP4" s="31"/>
      <c r="HQ4" s="31"/>
      <c r="HR4" s="31"/>
      <c r="HS4" s="31"/>
      <c r="HT4" s="31"/>
      <c r="HU4" s="31"/>
      <c r="HV4" s="31"/>
      <c r="HW4" s="31"/>
      <c r="HX4" s="31"/>
      <c r="HY4" s="31"/>
      <c r="HZ4" s="31"/>
      <c r="IA4" s="31"/>
      <c r="IB4" s="31"/>
      <c r="IC4" s="31"/>
      <c r="ID4" s="31"/>
      <c r="IE4" s="31"/>
      <c r="IF4" s="31"/>
      <c r="IG4" s="31"/>
      <c r="IH4" s="31"/>
      <c r="II4" s="31"/>
      <c r="IJ4" s="31"/>
      <c r="IK4" s="31"/>
      <c r="IL4" s="31"/>
      <c r="IM4" s="31"/>
      <c r="IN4" s="31"/>
      <c r="IO4" s="30"/>
    </row>
    <row r="5" customFormat="false" ht="14.35" hidden="false" customHeight="false" outlineLevel="0" collapsed="false">
      <c r="A5" s="25" t="str">
        <f aca="false">Neu!B5</f>
        <v>B8</v>
      </c>
      <c r="B5" s="26" t="s">
        <v>33</v>
      </c>
      <c r="C5" s="27"/>
      <c r="D5" s="28" t="n">
        <v>0.01</v>
      </c>
      <c r="E5" s="32" t="n">
        <v>0.09</v>
      </c>
      <c r="F5" s="28" t="n">
        <v>-59</v>
      </c>
      <c r="G5" s="32" t="n">
        <v>25</v>
      </c>
      <c r="H5" s="33" t="n">
        <v>3</v>
      </c>
      <c r="I5" s="33" t="n">
        <v>30</v>
      </c>
      <c r="J5" s="33" t="n">
        <v>0</v>
      </c>
      <c r="K5" s="33" t="n">
        <v>-37</v>
      </c>
      <c r="L5" s="33" t="n">
        <v>5</v>
      </c>
      <c r="M5" s="33" t="n">
        <v>1</v>
      </c>
      <c r="N5" s="33" t="n">
        <v>0.006</v>
      </c>
      <c r="O5" s="33" t="n">
        <v>0.001</v>
      </c>
      <c r="P5" s="33" t="n">
        <v>-43</v>
      </c>
      <c r="Q5" s="33" t="n">
        <v>4</v>
      </c>
      <c r="R5" s="33" t="n">
        <v>1</v>
      </c>
      <c r="S5" s="33"/>
      <c r="T5" s="33"/>
      <c r="U5" s="33"/>
      <c r="V5" s="33" t="n">
        <v>0</v>
      </c>
      <c r="W5" s="33" t="n">
        <v>-43</v>
      </c>
      <c r="X5" s="33" t="n">
        <v>5</v>
      </c>
      <c r="Y5" s="33" t="n">
        <v>1</v>
      </c>
      <c r="Z5" s="33" t="n">
        <v>0.02</v>
      </c>
      <c r="AA5" s="33" t="n">
        <v>0.005</v>
      </c>
      <c r="AB5" s="33" t="n">
        <v>-38</v>
      </c>
      <c r="AC5" s="33" t="n">
        <v>10</v>
      </c>
      <c r="AD5" s="33" t="n">
        <v>1</v>
      </c>
      <c r="AE5" s="33"/>
      <c r="AF5" s="33"/>
      <c r="AG5" s="28"/>
      <c r="AH5" s="32" t="n">
        <v>21</v>
      </c>
      <c r="AI5" s="33" t="n">
        <v>4</v>
      </c>
      <c r="AJ5" s="33" t="n">
        <v>-70</v>
      </c>
      <c r="AK5" s="33" t="n">
        <v>0</v>
      </c>
      <c r="AL5" s="33" t="n">
        <v>-23</v>
      </c>
      <c r="AM5" s="33" t="n">
        <v>9</v>
      </c>
      <c r="AN5" s="33" t="n">
        <v>1</v>
      </c>
      <c r="AO5" s="33" t="n">
        <v>0.04</v>
      </c>
      <c r="AP5" s="33" t="n">
        <v>0.004</v>
      </c>
      <c r="AQ5" s="33" t="n">
        <v>-8</v>
      </c>
      <c r="AR5" s="33" t="n">
        <v>10</v>
      </c>
      <c r="AS5" s="33" t="n">
        <v>1</v>
      </c>
      <c r="AT5" s="33"/>
      <c r="AU5" s="33"/>
      <c r="AV5" s="33"/>
      <c r="AW5" s="33"/>
      <c r="AX5" s="33"/>
      <c r="AY5" s="33"/>
      <c r="AZ5" s="33"/>
      <c r="BA5" s="33"/>
      <c r="BB5" s="33"/>
      <c r="BC5" s="33"/>
      <c r="BD5" s="33"/>
      <c r="BE5" s="33"/>
      <c r="BF5" s="33"/>
      <c r="BG5" s="33"/>
      <c r="BH5" s="28"/>
      <c r="BI5" s="32"/>
      <c r="BJ5" s="33"/>
      <c r="BK5" s="33"/>
      <c r="BL5" s="33"/>
      <c r="BM5" s="33"/>
      <c r="BN5" s="33"/>
      <c r="BO5" s="33"/>
      <c r="BP5" s="33"/>
      <c r="BQ5" s="33"/>
      <c r="BR5" s="33"/>
      <c r="BS5" s="33"/>
      <c r="BT5" s="33"/>
      <c r="BU5" s="33"/>
      <c r="BV5" s="33"/>
      <c r="BW5" s="33"/>
      <c r="BX5" s="33"/>
      <c r="BY5" s="33"/>
      <c r="BZ5" s="33"/>
      <c r="CA5" s="33"/>
      <c r="CB5" s="33"/>
      <c r="CC5" s="33"/>
      <c r="CD5" s="33"/>
      <c r="CE5" s="33"/>
      <c r="CF5" s="33"/>
      <c r="CG5" s="33"/>
      <c r="CH5" s="33"/>
      <c r="CI5" s="28"/>
      <c r="CJ5" s="32"/>
      <c r="CK5" s="33"/>
      <c r="CL5" s="33"/>
      <c r="CM5" s="33"/>
      <c r="CN5" s="33"/>
      <c r="CO5" s="33"/>
      <c r="CP5" s="33"/>
      <c r="CQ5" s="33"/>
      <c r="CR5" s="33"/>
      <c r="CS5" s="33"/>
      <c r="CT5" s="33"/>
      <c r="CU5" s="33"/>
      <c r="CV5" s="33"/>
      <c r="CW5" s="33"/>
      <c r="CX5" s="33"/>
      <c r="CY5" s="33"/>
      <c r="CZ5" s="33"/>
      <c r="DA5" s="33"/>
      <c r="DB5" s="33"/>
      <c r="DC5" s="33"/>
      <c r="DD5" s="33"/>
      <c r="DE5" s="33"/>
      <c r="DF5" s="33"/>
      <c r="DG5" s="33"/>
      <c r="DH5" s="33"/>
      <c r="DI5" s="33"/>
      <c r="DJ5" s="28"/>
      <c r="DK5" s="32"/>
      <c r="DL5" s="33"/>
      <c r="DM5" s="33"/>
      <c r="DN5" s="33"/>
      <c r="DO5" s="33"/>
      <c r="DP5" s="33"/>
      <c r="DQ5" s="33"/>
      <c r="DR5" s="33"/>
      <c r="DS5" s="33"/>
      <c r="DT5" s="33"/>
      <c r="DU5" s="33"/>
      <c r="DV5" s="33"/>
      <c r="DW5" s="33"/>
      <c r="DX5" s="33"/>
      <c r="DY5" s="33"/>
      <c r="DZ5" s="33"/>
      <c r="EA5" s="33"/>
      <c r="EB5" s="33"/>
      <c r="EC5" s="33"/>
      <c r="ED5" s="33"/>
      <c r="EE5" s="33"/>
      <c r="EF5" s="33"/>
      <c r="EG5" s="33"/>
      <c r="EH5" s="33"/>
      <c r="EI5" s="33"/>
      <c r="EJ5" s="33"/>
      <c r="EK5" s="28"/>
      <c r="EL5" s="32"/>
      <c r="EM5" s="33"/>
      <c r="EN5" s="33"/>
      <c r="EO5" s="33"/>
      <c r="EP5" s="33"/>
      <c r="EQ5" s="33"/>
      <c r="ER5" s="33"/>
      <c r="ES5" s="33"/>
      <c r="ET5" s="33"/>
      <c r="EU5" s="33"/>
      <c r="EV5" s="33"/>
      <c r="EW5" s="33"/>
      <c r="EX5" s="33"/>
      <c r="EY5" s="33"/>
      <c r="EZ5" s="33"/>
      <c r="FA5" s="33"/>
      <c r="FB5" s="33"/>
      <c r="FC5" s="33"/>
      <c r="FD5" s="33"/>
      <c r="FE5" s="33"/>
      <c r="FF5" s="33"/>
      <c r="FG5" s="33"/>
      <c r="FH5" s="33"/>
      <c r="FI5" s="33"/>
      <c r="FJ5" s="33"/>
      <c r="FK5" s="33"/>
      <c r="FL5" s="28"/>
      <c r="FM5" s="32"/>
      <c r="FN5" s="33"/>
      <c r="FO5" s="33"/>
      <c r="FP5" s="33"/>
      <c r="FQ5" s="33"/>
      <c r="FR5" s="33"/>
      <c r="FS5" s="33"/>
      <c r="FT5" s="33"/>
      <c r="FU5" s="33"/>
      <c r="FV5" s="33"/>
      <c r="FW5" s="33"/>
      <c r="FX5" s="33"/>
      <c r="FY5" s="33"/>
      <c r="FZ5" s="33"/>
      <c r="GA5" s="33"/>
      <c r="GB5" s="33"/>
      <c r="GC5" s="33"/>
      <c r="GD5" s="33"/>
      <c r="GE5" s="33"/>
      <c r="GF5" s="33"/>
      <c r="GG5" s="33"/>
      <c r="GH5" s="33"/>
      <c r="GI5" s="33"/>
      <c r="GJ5" s="33"/>
      <c r="GK5" s="33"/>
      <c r="GL5" s="33"/>
      <c r="GM5" s="28"/>
      <c r="GN5" s="32"/>
      <c r="GO5" s="33"/>
      <c r="GP5" s="33"/>
      <c r="GQ5" s="33"/>
      <c r="GR5" s="33"/>
      <c r="GS5" s="33"/>
      <c r="GT5" s="33"/>
      <c r="GU5" s="33"/>
      <c r="GV5" s="33"/>
      <c r="GW5" s="33"/>
      <c r="GX5" s="33"/>
      <c r="GY5" s="33"/>
      <c r="GZ5" s="33"/>
      <c r="HA5" s="33"/>
      <c r="HB5" s="33"/>
      <c r="HC5" s="33"/>
      <c r="HD5" s="33"/>
      <c r="HE5" s="33"/>
      <c r="HF5" s="33"/>
      <c r="HG5" s="33"/>
      <c r="HH5" s="33"/>
      <c r="HI5" s="33"/>
      <c r="HJ5" s="33"/>
      <c r="HK5" s="33"/>
      <c r="HL5" s="33"/>
      <c r="HM5" s="33"/>
      <c r="HN5" s="28"/>
      <c r="HO5" s="32"/>
      <c r="HP5" s="33"/>
      <c r="HQ5" s="33"/>
      <c r="HR5" s="33"/>
      <c r="HS5" s="33"/>
      <c r="HT5" s="33"/>
      <c r="HU5" s="33"/>
      <c r="HV5" s="33"/>
      <c r="HW5" s="33"/>
      <c r="HX5" s="33"/>
      <c r="HY5" s="33"/>
      <c r="HZ5" s="33"/>
      <c r="IA5" s="33"/>
      <c r="IB5" s="33"/>
      <c r="IC5" s="33"/>
      <c r="ID5" s="33"/>
      <c r="IE5" s="33"/>
      <c r="IF5" s="33"/>
      <c r="IG5" s="33"/>
      <c r="IH5" s="33"/>
      <c r="II5" s="33"/>
      <c r="IJ5" s="33"/>
      <c r="IK5" s="33"/>
      <c r="IL5" s="33"/>
      <c r="IM5" s="33"/>
      <c r="IN5" s="33"/>
      <c r="IO5" s="28"/>
    </row>
    <row r="6" customFormat="false" ht="14.35" hidden="false" customHeight="false" outlineLevel="0" collapsed="false">
      <c r="A6" s="25" t="str">
        <f aca="false">Neu!B6</f>
        <v>B20</v>
      </c>
      <c r="B6" s="26" t="s">
        <v>34</v>
      </c>
      <c r="C6" s="27"/>
      <c r="D6" s="28" t="n">
        <v>0.01</v>
      </c>
      <c r="E6" s="32" t="n">
        <v>0.05</v>
      </c>
      <c r="F6" s="28" t="n">
        <v>-60</v>
      </c>
      <c r="G6" s="32" t="n">
        <v>28</v>
      </c>
      <c r="H6" s="33" t="n">
        <v>3</v>
      </c>
      <c r="I6" s="33" t="n">
        <v>30</v>
      </c>
      <c r="J6" s="33" t="n">
        <v>0</v>
      </c>
      <c r="K6" s="33" t="n">
        <v>-39</v>
      </c>
      <c r="L6" s="33" t="n">
        <v>5</v>
      </c>
      <c r="M6" s="33" t="n">
        <v>1</v>
      </c>
      <c r="N6" s="33" t="n">
        <v>0.006</v>
      </c>
      <c r="O6" s="33" t="n">
        <v>0.001</v>
      </c>
      <c r="P6" s="33" t="n">
        <v>-45</v>
      </c>
      <c r="Q6" s="33" t="n">
        <v>4</v>
      </c>
      <c r="R6" s="33" t="n">
        <v>1</v>
      </c>
      <c r="S6" s="33"/>
      <c r="T6" s="33"/>
      <c r="U6" s="33"/>
      <c r="V6" s="33" t="n">
        <v>0</v>
      </c>
      <c r="W6" s="33" t="n">
        <v>-45</v>
      </c>
      <c r="X6" s="33" t="n">
        <v>5</v>
      </c>
      <c r="Y6" s="33" t="n">
        <v>1</v>
      </c>
      <c r="Z6" s="33" t="n">
        <v>0.02</v>
      </c>
      <c r="AA6" s="33" t="n">
        <v>0.005</v>
      </c>
      <c r="AB6" s="33" t="n">
        <v>-40</v>
      </c>
      <c r="AC6" s="33" t="n">
        <v>10</v>
      </c>
      <c r="AD6" s="33" t="n">
        <v>1</v>
      </c>
      <c r="AE6" s="33"/>
      <c r="AF6" s="33"/>
      <c r="AG6" s="28"/>
      <c r="AH6" s="32" t="n">
        <v>34</v>
      </c>
      <c r="AI6" s="33" t="n">
        <v>4</v>
      </c>
      <c r="AJ6" s="33" t="n">
        <v>-70</v>
      </c>
      <c r="AK6" s="33" t="n">
        <v>0</v>
      </c>
      <c r="AL6" s="33" t="n">
        <v>-25</v>
      </c>
      <c r="AM6" s="33" t="n">
        <v>9</v>
      </c>
      <c r="AN6" s="33" t="n">
        <v>1</v>
      </c>
      <c r="AO6" s="33" t="n">
        <v>0.03</v>
      </c>
      <c r="AP6" s="33" t="n">
        <v>0.003</v>
      </c>
      <c r="AQ6" s="33" t="n">
        <v>-10</v>
      </c>
      <c r="AR6" s="33" t="n">
        <v>10</v>
      </c>
      <c r="AS6" s="33" t="n">
        <v>1</v>
      </c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28"/>
      <c r="BI6" s="32" t="n">
        <v>1.25</v>
      </c>
      <c r="BJ6" s="33" t="n">
        <v>2</v>
      </c>
      <c r="BK6" s="33" t="n">
        <v>-60</v>
      </c>
      <c r="BL6" s="33" t="n">
        <v>0</v>
      </c>
      <c r="BM6" s="33" t="n">
        <v>-60</v>
      </c>
      <c r="BN6" s="33" t="n">
        <v>1</v>
      </c>
      <c r="BO6" s="33" t="n">
        <v>1</v>
      </c>
      <c r="BP6" s="33" t="n">
        <v>0.2</v>
      </c>
      <c r="BQ6" s="33" t="n">
        <v>0.02</v>
      </c>
      <c r="BR6" s="33" t="n">
        <v>-56</v>
      </c>
      <c r="BS6" s="33" t="n">
        <v>1</v>
      </c>
      <c r="BT6" s="33" t="n">
        <v>2</v>
      </c>
      <c r="BU6" s="33"/>
      <c r="BV6" s="33"/>
      <c r="BW6" s="33"/>
      <c r="BX6" s="33" t="n">
        <v>0</v>
      </c>
      <c r="BY6" s="33" t="n">
        <v>-55</v>
      </c>
      <c r="BZ6" s="33" t="n">
        <v>1</v>
      </c>
      <c r="CA6" s="33" t="n">
        <v>2</v>
      </c>
      <c r="CB6" s="33" t="n">
        <v>0.5</v>
      </c>
      <c r="CC6" s="33"/>
      <c r="CD6" s="33"/>
      <c r="CE6" s="33"/>
      <c r="CF6" s="33"/>
      <c r="CG6" s="33"/>
      <c r="CH6" s="33"/>
      <c r="CI6" s="28"/>
      <c r="CJ6" s="32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28"/>
      <c r="DK6" s="32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28"/>
      <c r="EL6" s="32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  <c r="EY6" s="33"/>
      <c r="EZ6" s="33"/>
      <c r="FA6" s="33"/>
      <c r="FB6" s="33"/>
      <c r="FC6" s="33"/>
      <c r="FD6" s="33"/>
      <c r="FE6" s="33"/>
      <c r="FF6" s="33"/>
      <c r="FG6" s="33"/>
      <c r="FH6" s="33"/>
      <c r="FI6" s="33"/>
      <c r="FJ6" s="33"/>
      <c r="FK6" s="33"/>
      <c r="FL6" s="28"/>
      <c r="FM6" s="32"/>
      <c r="FN6" s="33"/>
      <c r="FO6" s="33"/>
      <c r="FP6" s="33"/>
      <c r="FQ6" s="33"/>
      <c r="FR6" s="33"/>
      <c r="FS6" s="33"/>
      <c r="FT6" s="33"/>
      <c r="FU6" s="33"/>
      <c r="FV6" s="33"/>
      <c r="FW6" s="33"/>
      <c r="FX6" s="33"/>
      <c r="FY6" s="33"/>
      <c r="FZ6" s="33"/>
      <c r="GA6" s="33"/>
      <c r="GB6" s="33"/>
      <c r="GC6" s="33"/>
      <c r="GD6" s="33"/>
      <c r="GE6" s="33"/>
      <c r="GF6" s="33"/>
      <c r="GG6" s="33"/>
      <c r="GH6" s="33"/>
      <c r="GI6" s="33"/>
      <c r="GJ6" s="33"/>
      <c r="GK6" s="33"/>
      <c r="GL6" s="33"/>
      <c r="GM6" s="28"/>
      <c r="GN6" s="32"/>
      <c r="GO6" s="33"/>
      <c r="GP6" s="33"/>
      <c r="GQ6" s="33"/>
      <c r="GR6" s="33"/>
      <c r="GS6" s="33"/>
      <c r="GT6" s="33"/>
      <c r="GU6" s="33"/>
      <c r="GV6" s="33"/>
      <c r="GW6" s="33"/>
      <c r="GX6" s="33"/>
      <c r="GY6" s="33"/>
      <c r="GZ6" s="33"/>
      <c r="HA6" s="33"/>
      <c r="HB6" s="33"/>
      <c r="HC6" s="33"/>
      <c r="HD6" s="33"/>
      <c r="HE6" s="33"/>
      <c r="HF6" s="33"/>
      <c r="HG6" s="33"/>
      <c r="HH6" s="33"/>
      <c r="HI6" s="33"/>
      <c r="HJ6" s="33"/>
      <c r="HK6" s="33"/>
      <c r="HL6" s="33"/>
      <c r="HM6" s="33"/>
      <c r="HN6" s="28"/>
      <c r="HO6" s="32"/>
      <c r="HP6" s="33"/>
      <c r="HQ6" s="33"/>
      <c r="HR6" s="33"/>
      <c r="HS6" s="33"/>
      <c r="HT6" s="33"/>
      <c r="HU6" s="33"/>
      <c r="HV6" s="33"/>
      <c r="HW6" s="33"/>
      <c r="HX6" s="33"/>
      <c r="HY6" s="33"/>
      <c r="HZ6" s="33"/>
      <c r="IA6" s="33"/>
      <c r="IB6" s="33"/>
      <c r="IC6" s="33"/>
      <c r="ID6" s="33"/>
      <c r="IE6" s="33"/>
      <c r="IF6" s="33"/>
      <c r="IG6" s="33"/>
      <c r="IH6" s="33"/>
      <c r="II6" s="33"/>
      <c r="IJ6" s="33"/>
      <c r="IK6" s="33"/>
      <c r="IL6" s="33"/>
      <c r="IM6" s="33"/>
      <c r="IN6" s="33"/>
      <c r="IO6" s="28"/>
    </row>
    <row r="7" customFormat="false" ht="14.35" hidden="false" customHeight="false" outlineLevel="0" collapsed="false">
      <c r="A7" s="25" t="str">
        <f aca="false">Neu!B7</f>
        <v>B30</v>
      </c>
      <c r="B7" s="26" t="s">
        <v>35</v>
      </c>
      <c r="C7" s="27"/>
      <c r="D7" s="28" t="n">
        <v>0.01</v>
      </c>
      <c r="E7" s="32" t="n">
        <v>0.1</v>
      </c>
      <c r="F7" s="28" t="n">
        <v>-55</v>
      </c>
      <c r="G7" s="32" t="n">
        <v>25</v>
      </c>
      <c r="H7" s="33" t="n">
        <v>3</v>
      </c>
      <c r="I7" s="33" t="n">
        <v>30</v>
      </c>
      <c r="J7" s="33" t="n">
        <v>0</v>
      </c>
      <c r="K7" s="33" t="n">
        <v>-37</v>
      </c>
      <c r="L7" s="33" t="n">
        <v>5</v>
      </c>
      <c r="M7" s="33" t="n">
        <v>1</v>
      </c>
      <c r="N7" s="33" t="n">
        <v>0.006</v>
      </c>
      <c r="O7" s="33" t="n">
        <v>0.001</v>
      </c>
      <c r="P7" s="33" t="n">
        <v>-43</v>
      </c>
      <c r="Q7" s="33" t="n">
        <v>4</v>
      </c>
      <c r="R7" s="33" t="n">
        <v>1</v>
      </c>
      <c r="S7" s="33"/>
      <c r="T7" s="33"/>
      <c r="U7" s="33"/>
      <c r="V7" s="33" t="n">
        <v>0</v>
      </c>
      <c r="W7" s="33" t="n">
        <v>-43</v>
      </c>
      <c r="X7" s="33" t="n">
        <v>5</v>
      </c>
      <c r="Y7" s="33" t="n">
        <v>1</v>
      </c>
      <c r="Z7" s="33" t="n">
        <v>0.02</v>
      </c>
      <c r="AA7" s="33" t="n">
        <v>0.005</v>
      </c>
      <c r="AB7" s="33" t="n">
        <v>-38</v>
      </c>
      <c r="AC7" s="33" t="n">
        <v>10</v>
      </c>
      <c r="AD7" s="33" t="n">
        <v>1</v>
      </c>
      <c r="AE7" s="33"/>
      <c r="AF7" s="33"/>
      <c r="AG7" s="28"/>
      <c r="AH7" s="32" t="n">
        <v>16</v>
      </c>
      <c r="AI7" s="33" t="n">
        <v>4</v>
      </c>
      <c r="AJ7" s="33" t="n">
        <v>-70</v>
      </c>
      <c r="AK7" s="33" t="n">
        <v>0</v>
      </c>
      <c r="AL7" s="33" t="n">
        <v>-23</v>
      </c>
      <c r="AM7" s="33" t="n">
        <v>9</v>
      </c>
      <c r="AN7" s="33" t="n">
        <v>1</v>
      </c>
      <c r="AO7" s="33" t="n">
        <v>0.04</v>
      </c>
      <c r="AP7" s="33" t="n">
        <v>0.004</v>
      </c>
      <c r="AQ7" s="33" t="n">
        <v>-8</v>
      </c>
      <c r="AR7" s="33" t="n">
        <v>10</v>
      </c>
      <c r="AS7" s="33" t="n">
        <v>1</v>
      </c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28"/>
      <c r="BI7" s="32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28"/>
      <c r="CJ7" s="32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28"/>
      <c r="DK7" s="32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28"/>
      <c r="EL7" s="32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  <c r="EY7" s="33"/>
      <c r="EZ7" s="33"/>
      <c r="FA7" s="33"/>
      <c r="FB7" s="33"/>
      <c r="FC7" s="33"/>
      <c r="FD7" s="33"/>
      <c r="FE7" s="33"/>
      <c r="FF7" s="33"/>
      <c r="FG7" s="33"/>
      <c r="FH7" s="33"/>
      <c r="FI7" s="33"/>
      <c r="FJ7" s="33"/>
      <c r="FK7" s="33"/>
      <c r="FL7" s="28"/>
      <c r="FM7" s="32"/>
      <c r="FN7" s="33"/>
      <c r="FO7" s="33"/>
      <c r="FP7" s="33"/>
      <c r="FQ7" s="33"/>
      <c r="FR7" s="33"/>
      <c r="FS7" s="33"/>
      <c r="FT7" s="33"/>
      <c r="FU7" s="33"/>
      <c r="FV7" s="33"/>
      <c r="FW7" s="33"/>
      <c r="FX7" s="33"/>
      <c r="FY7" s="33"/>
      <c r="FZ7" s="33"/>
      <c r="GA7" s="33"/>
      <c r="GB7" s="33"/>
      <c r="GC7" s="33"/>
      <c r="GD7" s="33"/>
      <c r="GE7" s="33"/>
      <c r="GF7" s="33"/>
      <c r="GG7" s="33"/>
      <c r="GH7" s="33"/>
      <c r="GI7" s="33"/>
      <c r="GJ7" s="33"/>
      <c r="GK7" s="33"/>
      <c r="GL7" s="33"/>
      <c r="GM7" s="28"/>
      <c r="GN7" s="32"/>
      <c r="GO7" s="33"/>
      <c r="GP7" s="33"/>
      <c r="GQ7" s="33"/>
      <c r="GR7" s="33"/>
      <c r="GS7" s="33"/>
      <c r="GT7" s="33"/>
      <c r="GU7" s="33"/>
      <c r="GV7" s="33"/>
      <c r="GW7" s="33"/>
      <c r="GX7" s="33"/>
      <c r="GY7" s="33"/>
      <c r="GZ7" s="33"/>
      <c r="HA7" s="33"/>
      <c r="HB7" s="33"/>
      <c r="HC7" s="33"/>
      <c r="HD7" s="33"/>
      <c r="HE7" s="33"/>
      <c r="HF7" s="33"/>
      <c r="HG7" s="33"/>
      <c r="HH7" s="33"/>
      <c r="HI7" s="33"/>
      <c r="HJ7" s="33"/>
      <c r="HK7" s="33"/>
      <c r="HL7" s="33"/>
      <c r="HM7" s="33"/>
      <c r="HN7" s="28"/>
      <c r="HO7" s="32"/>
      <c r="HP7" s="33"/>
      <c r="HQ7" s="33"/>
      <c r="HR7" s="33"/>
      <c r="HS7" s="33"/>
      <c r="HT7" s="33"/>
      <c r="HU7" s="33"/>
      <c r="HV7" s="33"/>
      <c r="HW7" s="33"/>
      <c r="HX7" s="33"/>
      <c r="HY7" s="33"/>
      <c r="HZ7" s="33"/>
      <c r="IA7" s="33"/>
      <c r="IB7" s="33"/>
      <c r="IC7" s="33"/>
      <c r="ID7" s="33"/>
      <c r="IE7" s="33"/>
      <c r="IF7" s="33"/>
      <c r="IG7" s="33"/>
      <c r="IH7" s="33"/>
      <c r="II7" s="33"/>
      <c r="IJ7" s="33"/>
      <c r="IK7" s="33"/>
      <c r="IL7" s="33"/>
      <c r="IM7" s="33"/>
      <c r="IN7" s="33"/>
      <c r="IO7" s="28"/>
    </row>
    <row r="8" customFormat="false" ht="14.35" hidden="false" customHeight="false" outlineLevel="0" collapsed="false">
      <c r="A8" s="25" t="str">
        <f aca="false">Neu!B8</f>
        <v>B31s</v>
      </c>
      <c r="B8" s="26" t="s">
        <v>36</v>
      </c>
      <c r="C8" s="27"/>
      <c r="D8" s="28" t="n">
        <v>0.01</v>
      </c>
      <c r="E8" s="32" t="n">
        <v>0.05</v>
      </c>
      <c r="F8" s="28" t="n">
        <v>-60</v>
      </c>
      <c r="G8" s="32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  <c r="AE8" s="33"/>
      <c r="AF8" s="33"/>
      <c r="AG8" s="28"/>
      <c r="AH8" s="32"/>
      <c r="AI8" s="33"/>
      <c r="AJ8" s="33"/>
      <c r="AK8" s="33"/>
      <c r="AL8" s="33"/>
      <c r="AM8" s="33"/>
      <c r="AN8" s="33"/>
      <c r="AO8" s="33"/>
      <c r="AP8" s="33"/>
      <c r="AQ8" s="33"/>
      <c r="AR8" s="33"/>
      <c r="AS8" s="33"/>
      <c r="AT8" s="33"/>
      <c r="AU8" s="33"/>
      <c r="AV8" s="33"/>
      <c r="AW8" s="33"/>
      <c r="AX8" s="33"/>
      <c r="AY8" s="33"/>
      <c r="AZ8" s="33"/>
      <c r="BA8" s="33"/>
      <c r="BB8" s="33"/>
      <c r="BC8" s="33"/>
      <c r="BD8" s="33"/>
      <c r="BE8" s="33"/>
      <c r="BF8" s="33"/>
      <c r="BG8" s="33"/>
      <c r="BH8" s="28"/>
      <c r="BI8" s="32"/>
      <c r="BJ8" s="33"/>
      <c r="BK8" s="33"/>
      <c r="BL8" s="33"/>
      <c r="BM8" s="33"/>
      <c r="BN8" s="33"/>
      <c r="BO8" s="33"/>
      <c r="BP8" s="33"/>
      <c r="BQ8" s="33"/>
      <c r="BR8" s="33"/>
      <c r="BS8" s="33"/>
      <c r="BT8" s="33"/>
      <c r="BU8" s="33"/>
      <c r="BV8" s="33"/>
      <c r="BW8" s="33"/>
      <c r="BX8" s="33"/>
      <c r="BY8" s="33"/>
      <c r="BZ8" s="33"/>
      <c r="CA8" s="33"/>
      <c r="CB8" s="33"/>
      <c r="CC8" s="33"/>
      <c r="CD8" s="33"/>
      <c r="CE8" s="33"/>
      <c r="CF8" s="33"/>
      <c r="CG8" s="33"/>
      <c r="CH8" s="33"/>
      <c r="CI8" s="28"/>
      <c r="CJ8" s="32"/>
      <c r="CK8" s="33"/>
      <c r="CL8" s="33"/>
      <c r="CM8" s="33"/>
      <c r="CN8" s="33"/>
      <c r="CO8" s="33"/>
      <c r="CP8" s="33"/>
      <c r="CQ8" s="33"/>
      <c r="CR8" s="33"/>
      <c r="CS8" s="33"/>
      <c r="CT8" s="33"/>
      <c r="CU8" s="33"/>
      <c r="CV8" s="33"/>
      <c r="CW8" s="33"/>
      <c r="CX8" s="33"/>
      <c r="CY8" s="33"/>
      <c r="CZ8" s="33"/>
      <c r="DA8" s="33"/>
      <c r="DB8" s="33"/>
      <c r="DC8" s="33"/>
      <c r="DD8" s="33"/>
      <c r="DE8" s="33"/>
      <c r="DF8" s="33"/>
      <c r="DG8" s="33"/>
      <c r="DH8" s="33"/>
      <c r="DI8" s="33"/>
      <c r="DJ8" s="28"/>
      <c r="DK8" s="32"/>
      <c r="DL8" s="33"/>
      <c r="DM8" s="33"/>
      <c r="DN8" s="33"/>
      <c r="DO8" s="33"/>
      <c r="DP8" s="33"/>
      <c r="DQ8" s="33"/>
      <c r="DR8" s="33"/>
      <c r="DS8" s="33"/>
      <c r="DT8" s="33"/>
      <c r="DU8" s="33"/>
      <c r="DV8" s="33"/>
      <c r="DW8" s="33"/>
      <c r="DX8" s="33"/>
      <c r="DY8" s="33"/>
      <c r="DZ8" s="33"/>
      <c r="EA8" s="33"/>
      <c r="EB8" s="33"/>
      <c r="EC8" s="33"/>
      <c r="ED8" s="33"/>
      <c r="EE8" s="33"/>
      <c r="EF8" s="33"/>
      <c r="EG8" s="33"/>
      <c r="EH8" s="33"/>
      <c r="EI8" s="33"/>
      <c r="EJ8" s="33"/>
      <c r="EK8" s="28"/>
      <c r="EL8" s="32"/>
      <c r="EM8" s="33"/>
      <c r="EN8" s="33"/>
      <c r="EO8" s="33"/>
      <c r="EP8" s="33"/>
      <c r="EQ8" s="33"/>
      <c r="ER8" s="33"/>
      <c r="ES8" s="33"/>
      <c r="ET8" s="33"/>
      <c r="EU8" s="33"/>
      <c r="EV8" s="33"/>
      <c r="EW8" s="33"/>
      <c r="EX8" s="33"/>
      <c r="EY8" s="33"/>
      <c r="EZ8" s="33"/>
      <c r="FA8" s="33"/>
      <c r="FB8" s="33"/>
      <c r="FC8" s="33"/>
      <c r="FD8" s="33"/>
      <c r="FE8" s="33"/>
      <c r="FF8" s="33"/>
      <c r="FG8" s="33"/>
      <c r="FH8" s="33"/>
      <c r="FI8" s="33"/>
      <c r="FJ8" s="33"/>
      <c r="FK8" s="33"/>
      <c r="FL8" s="28"/>
      <c r="FM8" s="32"/>
      <c r="FN8" s="33"/>
      <c r="FO8" s="33"/>
      <c r="FP8" s="33"/>
      <c r="FQ8" s="33"/>
      <c r="FR8" s="33"/>
      <c r="FS8" s="33"/>
      <c r="FT8" s="33"/>
      <c r="FU8" s="33"/>
      <c r="FV8" s="33"/>
      <c r="FW8" s="33"/>
      <c r="FX8" s="33"/>
      <c r="FY8" s="33"/>
      <c r="FZ8" s="33"/>
      <c r="GA8" s="33"/>
      <c r="GB8" s="33"/>
      <c r="GC8" s="33"/>
      <c r="GD8" s="33"/>
      <c r="GE8" s="33"/>
      <c r="GF8" s="33"/>
      <c r="GG8" s="33"/>
      <c r="GH8" s="33"/>
      <c r="GI8" s="33"/>
      <c r="GJ8" s="33"/>
      <c r="GK8" s="33"/>
      <c r="GL8" s="33"/>
      <c r="GM8" s="28"/>
      <c r="GN8" s="32"/>
      <c r="GO8" s="33"/>
      <c r="GP8" s="33"/>
      <c r="GQ8" s="33"/>
      <c r="GR8" s="33"/>
      <c r="GS8" s="33"/>
      <c r="GT8" s="33"/>
      <c r="GU8" s="33"/>
      <c r="GV8" s="33"/>
      <c r="GW8" s="33"/>
      <c r="GX8" s="33"/>
      <c r="GY8" s="33"/>
      <c r="GZ8" s="33"/>
      <c r="HA8" s="33"/>
      <c r="HB8" s="33"/>
      <c r="HC8" s="33"/>
      <c r="HD8" s="33"/>
      <c r="HE8" s="33"/>
      <c r="HF8" s="33"/>
      <c r="HG8" s="33"/>
      <c r="HH8" s="33"/>
      <c r="HI8" s="33"/>
      <c r="HJ8" s="33"/>
      <c r="HK8" s="33"/>
      <c r="HL8" s="33"/>
      <c r="HM8" s="33"/>
      <c r="HN8" s="28"/>
      <c r="HO8" s="32"/>
      <c r="HP8" s="33"/>
      <c r="HQ8" s="33"/>
      <c r="HR8" s="33"/>
      <c r="HS8" s="33"/>
      <c r="HT8" s="33"/>
      <c r="HU8" s="33"/>
      <c r="HV8" s="33"/>
      <c r="HW8" s="33"/>
      <c r="HX8" s="33"/>
      <c r="HY8" s="33"/>
      <c r="HZ8" s="33"/>
      <c r="IA8" s="33"/>
      <c r="IB8" s="33"/>
      <c r="IC8" s="33"/>
      <c r="ID8" s="33"/>
      <c r="IE8" s="33"/>
      <c r="IF8" s="33"/>
      <c r="IG8" s="33"/>
      <c r="IH8" s="33"/>
      <c r="II8" s="33"/>
      <c r="IJ8" s="33"/>
      <c r="IK8" s="33"/>
      <c r="IL8" s="33"/>
      <c r="IM8" s="33"/>
      <c r="IN8" s="33"/>
      <c r="IO8" s="28"/>
    </row>
    <row r="9" customFormat="false" ht="14.35" hidden="false" customHeight="false" outlineLevel="0" collapsed="false">
      <c r="A9" s="25" t="str">
        <f aca="false">Neu!B9</f>
        <v>B31a</v>
      </c>
      <c r="B9" s="26" t="s">
        <v>37</v>
      </c>
      <c r="C9" s="27"/>
      <c r="D9" s="28" t="n">
        <v>0.01</v>
      </c>
      <c r="E9" s="32" t="n">
        <v>0.04</v>
      </c>
      <c r="F9" s="28" t="n">
        <v>-57</v>
      </c>
      <c r="G9" s="32" t="n">
        <v>25</v>
      </c>
      <c r="H9" s="33" t="n">
        <v>3</v>
      </c>
      <c r="I9" s="33" t="n">
        <v>30</v>
      </c>
      <c r="J9" s="33" t="n">
        <v>0</v>
      </c>
      <c r="K9" s="33" t="n">
        <v>-37</v>
      </c>
      <c r="L9" s="33" t="n">
        <v>5</v>
      </c>
      <c r="M9" s="33" t="n">
        <v>1</v>
      </c>
      <c r="N9" s="33" t="n">
        <v>0.006</v>
      </c>
      <c r="O9" s="33" t="n">
        <v>0.001</v>
      </c>
      <c r="P9" s="33" t="n">
        <v>-43</v>
      </c>
      <c r="Q9" s="33" t="n">
        <v>4</v>
      </c>
      <c r="R9" s="33" t="n">
        <v>1</v>
      </c>
      <c r="S9" s="33"/>
      <c r="T9" s="33"/>
      <c r="U9" s="33"/>
      <c r="V9" s="33" t="n">
        <v>0</v>
      </c>
      <c r="W9" s="33" t="n">
        <v>-43</v>
      </c>
      <c r="X9" s="33" t="n">
        <v>5</v>
      </c>
      <c r="Y9" s="33" t="n">
        <v>1</v>
      </c>
      <c r="Z9" s="33" t="n">
        <v>0.02</v>
      </c>
      <c r="AA9" s="33" t="n">
        <v>0.005</v>
      </c>
      <c r="AB9" s="33" t="n">
        <v>-38</v>
      </c>
      <c r="AC9" s="33" t="n">
        <v>10</v>
      </c>
      <c r="AD9" s="33" t="n">
        <v>1</v>
      </c>
      <c r="AE9" s="33"/>
      <c r="AF9" s="33"/>
      <c r="AG9" s="28"/>
      <c r="AH9" s="32" t="n">
        <v>12</v>
      </c>
      <c r="AI9" s="33" t="n">
        <v>4</v>
      </c>
      <c r="AJ9" s="33" t="n">
        <v>-70</v>
      </c>
      <c r="AK9" s="33" t="n">
        <v>0</v>
      </c>
      <c r="AL9" s="33" t="n">
        <v>-23</v>
      </c>
      <c r="AM9" s="33" t="n">
        <v>9</v>
      </c>
      <c r="AN9" s="33" t="n">
        <v>1</v>
      </c>
      <c r="AO9" s="33" t="n">
        <v>0.04</v>
      </c>
      <c r="AP9" s="33" t="n">
        <v>0.004</v>
      </c>
      <c r="AQ9" s="33" t="n">
        <v>-8</v>
      </c>
      <c r="AR9" s="33" t="n">
        <v>10</v>
      </c>
      <c r="AS9" s="33" t="n">
        <v>1</v>
      </c>
      <c r="AT9" s="33"/>
      <c r="AU9" s="33"/>
      <c r="AV9" s="33"/>
      <c r="AW9" s="33"/>
      <c r="AX9" s="33"/>
      <c r="AY9" s="33"/>
      <c r="AZ9" s="33"/>
      <c r="BA9" s="33"/>
      <c r="BB9" s="33"/>
      <c r="BC9" s="33"/>
      <c r="BD9" s="33"/>
      <c r="BE9" s="33"/>
      <c r="BF9" s="33"/>
      <c r="BG9" s="33"/>
      <c r="BH9" s="28"/>
      <c r="BI9" s="32"/>
      <c r="BJ9" s="33"/>
      <c r="BK9" s="33"/>
      <c r="BL9" s="33"/>
      <c r="BM9" s="33"/>
      <c r="BN9" s="33"/>
      <c r="BO9" s="33"/>
      <c r="BP9" s="33"/>
      <c r="BQ9" s="33"/>
      <c r="BR9" s="33"/>
      <c r="BS9" s="33"/>
      <c r="BT9" s="33"/>
      <c r="BU9" s="33"/>
      <c r="BV9" s="33"/>
      <c r="BW9" s="33"/>
      <c r="BX9" s="33"/>
      <c r="BY9" s="33"/>
      <c r="BZ9" s="33"/>
      <c r="CA9" s="33"/>
      <c r="CB9" s="33"/>
      <c r="CC9" s="33"/>
      <c r="CD9" s="33"/>
      <c r="CE9" s="33"/>
      <c r="CF9" s="33"/>
      <c r="CG9" s="33"/>
      <c r="CH9" s="33"/>
      <c r="CI9" s="28"/>
      <c r="CJ9" s="32"/>
      <c r="CK9" s="33"/>
      <c r="CL9" s="33"/>
      <c r="CM9" s="33"/>
      <c r="CN9" s="33"/>
      <c r="CO9" s="33"/>
      <c r="CP9" s="33"/>
      <c r="CQ9" s="33"/>
      <c r="CR9" s="33"/>
      <c r="CS9" s="33"/>
      <c r="CT9" s="33"/>
      <c r="CU9" s="33"/>
      <c r="CV9" s="33"/>
      <c r="CW9" s="33"/>
      <c r="CX9" s="33"/>
      <c r="CY9" s="33"/>
      <c r="CZ9" s="33"/>
      <c r="DA9" s="33"/>
      <c r="DB9" s="33"/>
      <c r="DC9" s="33"/>
      <c r="DD9" s="33"/>
      <c r="DE9" s="33"/>
      <c r="DF9" s="33"/>
      <c r="DG9" s="33"/>
      <c r="DH9" s="33"/>
      <c r="DI9" s="33"/>
      <c r="DJ9" s="28"/>
      <c r="DK9" s="32"/>
      <c r="DL9" s="33"/>
      <c r="DM9" s="33"/>
      <c r="DN9" s="33"/>
      <c r="DO9" s="33"/>
      <c r="DP9" s="33"/>
      <c r="DQ9" s="33"/>
      <c r="DR9" s="33"/>
      <c r="DS9" s="33"/>
      <c r="DT9" s="33"/>
      <c r="DU9" s="33"/>
      <c r="DV9" s="33"/>
      <c r="DW9" s="33"/>
      <c r="DX9" s="33"/>
      <c r="DY9" s="33"/>
      <c r="DZ9" s="33"/>
      <c r="EA9" s="33"/>
      <c r="EB9" s="33"/>
      <c r="EC9" s="33"/>
      <c r="ED9" s="33"/>
      <c r="EE9" s="33"/>
      <c r="EF9" s="33"/>
      <c r="EG9" s="33"/>
      <c r="EH9" s="33"/>
      <c r="EI9" s="33"/>
      <c r="EJ9" s="33"/>
      <c r="EK9" s="28"/>
      <c r="EL9" s="32"/>
      <c r="EM9" s="33"/>
      <c r="EN9" s="33"/>
      <c r="EO9" s="33"/>
      <c r="EP9" s="33"/>
      <c r="EQ9" s="33"/>
      <c r="ER9" s="33"/>
      <c r="ES9" s="33"/>
      <c r="ET9" s="33"/>
      <c r="EU9" s="33"/>
      <c r="EV9" s="33"/>
      <c r="EW9" s="33"/>
      <c r="EX9" s="33"/>
      <c r="EY9" s="33"/>
      <c r="EZ9" s="33"/>
      <c r="FA9" s="33"/>
      <c r="FB9" s="33"/>
      <c r="FC9" s="33"/>
      <c r="FD9" s="33"/>
      <c r="FE9" s="33"/>
      <c r="FF9" s="33"/>
      <c r="FG9" s="33"/>
      <c r="FH9" s="33"/>
      <c r="FI9" s="33"/>
      <c r="FJ9" s="33"/>
      <c r="FK9" s="33"/>
      <c r="FL9" s="28"/>
      <c r="FM9" s="32"/>
      <c r="FN9" s="33"/>
      <c r="FO9" s="33"/>
      <c r="FP9" s="33"/>
      <c r="FQ9" s="33"/>
      <c r="FR9" s="33"/>
      <c r="FS9" s="33"/>
      <c r="FT9" s="33"/>
      <c r="FU9" s="33"/>
      <c r="FV9" s="33"/>
      <c r="FW9" s="33"/>
      <c r="FX9" s="33"/>
      <c r="FY9" s="33"/>
      <c r="FZ9" s="33"/>
      <c r="GA9" s="33"/>
      <c r="GB9" s="33"/>
      <c r="GC9" s="33"/>
      <c r="GD9" s="33"/>
      <c r="GE9" s="33"/>
      <c r="GF9" s="33"/>
      <c r="GG9" s="33"/>
      <c r="GH9" s="33"/>
      <c r="GI9" s="33"/>
      <c r="GJ9" s="33"/>
      <c r="GK9" s="33"/>
      <c r="GL9" s="33"/>
      <c r="GM9" s="28"/>
      <c r="GN9" s="32"/>
      <c r="GO9" s="33"/>
      <c r="GP9" s="33"/>
      <c r="GQ9" s="33"/>
      <c r="GR9" s="33"/>
      <c r="GS9" s="33"/>
      <c r="GT9" s="33"/>
      <c r="GU9" s="33"/>
      <c r="GV9" s="33"/>
      <c r="GW9" s="33"/>
      <c r="GX9" s="33"/>
      <c r="GY9" s="33"/>
      <c r="GZ9" s="33"/>
      <c r="HA9" s="33"/>
      <c r="HB9" s="33"/>
      <c r="HC9" s="33"/>
      <c r="HD9" s="33"/>
      <c r="HE9" s="33"/>
      <c r="HF9" s="33"/>
      <c r="HG9" s="33"/>
      <c r="HH9" s="33"/>
      <c r="HI9" s="33"/>
      <c r="HJ9" s="33"/>
      <c r="HK9" s="33"/>
      <c r="HL9" s="33"/>
      <c r="HM9" s="33"/>
      <c r="HN9" s="28"/>
      <c r="HO9" s="32"/>
      <c r="HP9" s="33"/>
      <c r="HQ9" s="33"/>
      <c r="HR9" s="33"/>
      <c r="HS9" s="33"/>
      <c r="HT9" s="33"/>
      <c r="HU9" s="33"/>
      <c r="HV9" s="33"/>
      <c r="HW9" s="33"/>
      <c r="HX9" s="33"/>
      <c r="HY9" s="33"/>
      <c r="HZ9" s="33"/>
      <c r="IA9" s="33"/>
      <c r="IB9" s="33"/>
      <c r="IC9" s="33"/>
      <c r="ID9" s="33"/>
      <c r="IE9" s="33"/>
      <c r="IF9" s="33"/>
      <c r="IG9" s="33"/>
      <c r="IH9" s="33"/>
      <c r="II9" s="33"/>
      <c r="IJ9" s="33"/>
      <c r="IK9" s="33"/>
      <c r="IL9" s="33"/>
      <c r="IM9" s="33"/>
      <c r="IN9" s="33"/>
      <c r="IO9" s="28"/>
    </row>
    <row r="10" customFormat="false" ht="14.35" hidden="false" customHeight="false" outlineLevel="0" collapsed="false">
      <c r="A10" s="25" t="str">
        <f aca="false">Neu!B10</f>
        <v>B34</v>
      </c>
      <c r="B10" s="26" t="s">
        <v>38</v>
      </c>
      <c r="C10" s="27"/>
      <c r="D10" s="28" t="n">
        <v>0.01</v>
      </c>
      <c r="E10" s="32" t="n">
        <v>0.09</v>
      </c>
      <c r="F10" s="28" t="n">
        <v>-59</v>
      </c>
      <c r="G10" s="32" t="n">
        <v>25</v>
      </c>
      <c r="H10" s="33" t="n">
        <v>3</v>
      </c>
      <c r="I10" s="33" t="n">
        <v>30</v>
      </c>
      <c r="J10" s="33" t="n">
        <v>0</v>
      </c>
      <c r="K10" s="33" t="n">
        <v>-39</v>
      </c>
      <c r="L10" s="33" t="n">
        <v>5</v>
      </c>
      <c r="M10" s="33" t="n">
        <v>1</v>
      </c>
      <c r="N10" s="33" t="n">
        <v>0.006</v>
      </c>
      <c r="O10" s="33" t="n">
        <v>0.001</v>
      </c>
      <c r="P10" s="33" t="n">
        <v>-45</v>
      </c>
      <c r="Q10" s="33" t="n">
        <v>4</v>
      </c>
      <c r="R10" s="33" t="n">
        <v>1</v>
      </c>
      <c r="S10" s="33"/>
      <c r="T10" s="33"/>
      <c r="U10" s="33"/>
      <c r="V10" s="33" t="n">
        <v>0</v>
      </c>
      <c r="W10" s="33" t="n">
        <v>-45</v>
      </c>
      <c r="X10" s="33" t="n">
        <v>5</v>
      </c>
      <c r="Y10" s="33" t="n">
        <v>1</v>
      </c>
      <c r="Z10" s="33" t="n">
        <v>0.02</v>
      </c>
      <c r="AA10" s="33" t="n">
        <v>0.005</v>
      </c>
      <c r="AB10" s="33" t="n">
        <v>-40</v>
      </c>
      <c r="AC10" s="33" t="n">
        <v>10</v>
      </c>
      <c r="AD10" s="33" t="n">
        <v>1</v>
      </c>
      <c r="AE10" s="33"/>
      <c r="AF10" s="33"/>
      <c r="AG10" s="28"/>
      <c r="AH10" s="32" t="n">
        <v>19</v>
      </c>
      <c r="AI10" s="33" t="n">
        <v>4</v>
      </c>
      <c r="AJ10" s="33" t="n">
        <v>-70</v>
      </c>
      <c r="AK10" s="33" t="n">
        <v>0</v>
      </c>
      <c r="AL10" s="33" t="n">
        <v>-25</v>
      </c>
      <c r="AM10" s="33" t="n">
        <v>9</v>
      </c>
      <c r="AN10" s="33" t="n">
        <v>1</v>
      </c>
      <c r="AO10" s="33" t="n">
        <v>0.04</v>
      </c>
      <c r="AP10" s="33" t="n">
        <v>0.004</v>
      </c>
      <c r="AQ10" s="33" t="n">
        <v>-10</v>
      </c>
      <c r="AR10" s="33" t="n">
        <v>10</v>
      </c>
      <c r="AS10" s="33" t="n">
        <v>1</v>
      </c>
      <c r="AT10" s="33"/>
      <c r="AU10" s="33"/>
      <c r="AV10" s="33"/>
      <c r="AW10" s="33"/>
      <c r="AX10" s="33"/>
      <c r="AY10" s="33"/>
      <c r="AZ10" s="33"/>
      <c r="BA10" s="33"/>
      <c r="BB10" s="33"/>
      <c r="BC10" s="33"/>
      <c r="BD10" s="33"/>
      <c r="BE10" s="33"/>
      <c r="BF10" s="33"/>
      <c r="BG10" s="33"/>
      <c r="BH10" s="28"/>
      <c r="BI10" s="32" t="n">
        <v>1.25</v>
      </c>
      <c r="BJ10" s="33" t="n">
        <v>2</v>
      </c>
      <c r="BK10" s="33" t="n">
        <v>-60</v>
      </c>
      <c r="BL10" s="33" t="n">
        <v>0</v>
      </c>
      <c r="BM10" s="33" t="n">
        <v>-60</v>
      </c>
      <c r="BN10" s="33" t="n">
        <v>1</v>
      </c>
      <c r="BO10" s="33" t="n">
        <v>1</v>
      </c>
      <c r="BP10" s="33" t="n">
        <v>0.2</v>
      </c>
      <c r="BQ10" s="33" t="n">
        <v>0.02</v>
      </c>
      <c r="BR10" s="33" t="n">
        <v>-56</v>
      </c>
      <c r="BS10" s="33" t="n">
        <v>1</v>
      </c>
      <c r="BT10" s="33" t="n">
        <v>2</v>
      </c>
      <c r="BU10" s="33"/>
      <c r="BV10" s="33"/>
      <c r="BW10" s="33"/>
      <c r="BX10" s="33" t="n">
        <v>0</v>
      </c>
      <c r="BY10" s="33" t="n">
        <v>-55</v>
      </c>
      <c r="BZ10" s="33" t="n">
        <v>1</v>
      </c>
      <c r="CA10" s="33" t="n">
        <v>2</v>
      </c>
      <c r="CB10" s="33" t="n">
        <v>0.5</v>
      </c>
      <c r="CC10" s="33"/>
      <c r="CD10" s="33"/>
      <c r="CE10" s="33"/>
      <c r="CF10" s="33"/>
      <c r="CG10" s="33"/>
      <c r="CH10" s="33"/>
      <c r="CI10" s="28"/>
      <c r="CJ10" s="32"/>
      <c r="CK10" s="33"/>
      <c r="CL10" s="33"/>
      <c r="CM10" s="33"/>
      <c r="CN10" s="33"/>
      <c r="CO10" s="33"/>
      <c r="CP10" s="33"/>
      <c r="CQ10" s="33"/>
      <c r="CR10" s="33"/>
      <c r="CS10" s="33"/>
      <c r="CT10" s="33"/>
      <c r="CU10" s="33"/>
      <c r="CV10" s="33"/>
      <c r="CW10" s="33"/>
      <c r="CX10" s="33"/>
      <c r="CY10" s="33"/>
      <c r="CZ10" s="33"/>
      <c r="DA10" s="33"/>
      <c r="DB10" s="33"/>
      <c r="DC10" s="33"/>
      <c r="DD10" s="33"/>
      <c r="DE10" s="33"/>
      <c r="DF10" s="33"/>
      <c r="DG10" s="33"/>
      <c r="DH10" s="33"/>
      <c r="DI10" s="33"/>
      <c r="DJ10" s="28"/>
      <c r="DK10" s="32"/>
      <c r="DL10" s="33"/>
      <c r="DM10" s="33"/>
      <c r="DN10" s="33"/>
      <c r="DO10" s="33"/>
      <c r="DP10" s="33"/>
      <c r="DQ10" s="33"/>
      <c r="DR10" s="33"/>
      <c r="DS10" s="33"/>
      <c r="DT10" s="33"/>
      <c r="DU10" s="33"/>
      <c r="DV10" s="33"/>
      <c r="DW10" s="33"/>
      <c r="DX10" s="33"/>
      <c r="DY10" s="33"/>
      <c r="DZ10" s="33"/>
      <c r="EA10" s="33"/>
      <c r="EB10" s="33"/>
      <c r="EC10" s="33"/>
      <c r="ED10" s="33"/>
      <c r="EE10" s="33"/>
      <c r="EF10" s="33"/>
      <c r="EG10" s="33"/>
      <c r="EH10" s="33"/>
      <c r="EI10" s="33"/>
      <c r="EJ10" s="33"/>
      <c r="EK10" s="28"/>
      <c r="EL10" s="32"/>
      <c r="EM10" s="33"/>
      <c r="EN10" s="33"/>
      <c r="EO10" s="33"/>
      <c r="EP10" s="33"/>
      <c r="EQ10" s="33"/>
      <c r="ER10" s="33"/>
      <c r="ES10" s="33"/>
      <c r="ET10" s="33"/>
      <c r="EU10" s="33"/>
      <c r="EV10" s="33"/>
      <c r="EW10" s="33"/>
      <c r="EX10" s="33"/>
      <c r="EY10" s="33"/>
      <c r="EZ10" s="33"/>
      <c r="FA10" s="33"/>
      <c r="FB10" s="33"/>
      <c r="FC10" s="33"/>
      <c r="FD10" s="33"/>
      <c r="FE10" s="33"/>
      <c r="FF10" s="33"/>
      <c r="FG10" s="33"/>
      <c r="FH10" s="33"/>
      <c r="FI10" s="33"/>
      <c r="FJ10" s="33"/>
      <c r="FK10" s="33"/>
      <c r="FL10" s="28"/>
      <c r="FM10" s="32"/>
      <c r="FN10" s="33"/>
      <c r="FO10" s="33"/>
      <c r="FP10" s="33"/>
      <c r="FQ10" s="33"/>
      <c r="FR10" s="33"/>
      <c r="FS10" s="33"/>
      <c r="FT10" s="33"/>
      <c r="FU10" s="33"/>
      <c r="FV10" s="33"/>
      <c r="FW10" s="33"/>
      <c r="FX10" s="33"/>
      <c r="FY10" s="33"/>
      <c r="FZ10" s="33"/>
      <c r="GA10" s="33"/>
      <c r="GB10" s="33"/>
      <c r="GC10" s="33"/>
      <c r="GD10" s="33"/>
      <c r="GE10" s="33"/>
      <c r="GF10" s="33"/>
      <c r="GG10" s="33"/>
      <c r="GH10" s="33"/>
      <c r="GI10" s="33"/>
      <c r="GJ10" s="33"/>
      <c r="GK10" s="33"/>
      <c r="GL10" s="33"/>
      <c r="GM10" s="28"/>
      <c r="GN10" s="32"/>
      <c r="GO10" s="33"/>
      <c r="GP10" s="33"/>
      <c r="GQ10" s="33"/>
      <c r="GR10" s="33"/>
      <c r="GS10" s="33"/>
      <c r="GT10" s="33"/>
      <c r="GU10" s="33"/>
      <c r="GV10" s="33"/>
      <c r="GW10" s="33"/>
      <c r="GX10" s="33"/>
      <c r="GY10" s="33"/>
      <c r="GZ10" s="33"/>
      <c r="HA10" s="33"/>
      <c r="HB10" s="33"/>
      <c r="HC10" s="33"/>
      <c r="HD10" s="33"/>
      <c r="HE10" s="33"/>
      <c r="HF10" s="33"/>
      <c r="HG10" s="33"/>
      <c r="HH10" s="33"/>
      <c r="HI10" s="33"/>
      <c r="HJ10" s="33"/>
      <c r="HK10" s="33"/>
      <c r="HL10" s="33"/>
      <c r="HM10" s="33"/>
      <c r="HN10" s="28"/>
      <c r="HO10" s="32"/>
      <c r="HP10" s="33"/>
      <c r="HQ10" s="33"/>
      <c r="HR10" s="33"/>
      <c r="HS10" s="33"/>
      <c r="HT10" s="33"/>
      <c r="HU10" s="33"/>
      <c r="HV10" s="33"/>
      <c r="HW10" s="33"/>
      <c r="HX10" s="33"/>
      <c r="HY10" s="33"/>
      <c r="HZ10" s="33"/>
      <c r="IA10" s="33"/>
      <c r="IB10" s="33"/>
      <c r="IC10" s="33"/>
      <c r="ID10" s="33"/>
      <c r="IE10" s="33"/>
      <c r="IF10" s="33"/>
      <c r="IG10" s="33"/>
      <c r="IH10" s="33"/>
      <c r="II10" s="33"/>
      <c r="IJ10" s="33"/>
      <c r="IK10" s="33"/>
      <c r="IL10" s="33"/>
      <c r="IM10" s="33"/>
      <c r="IN10" s="33"/>
      <c r="IO10" s="28"/>
    </row>
    <row r="11" customFormat="false" ht="14.35" hidden="false" customHeight="false" outlineLevel="0" collapsed="false">
      <c r="A11" s="25" t="str">
        <f aca="false">Neu!B11</f>
        <v>B35</v>
      </c>
      <c r="B11" s="26" t="s">
        <v>39</v>
      </c>
      <c r="C11" s="27"/>
      <c r="D11" s="28" t="n">
        <v>0.0005</v>
      </c>
      <c r="E11" s="32" t="n">
        <v>0.1</v>
      </c>
      <c r="F11" s="28" t="n">
        <v>-60</v>
      </c>
      <c r="G11" s="32" t="n">
        <v>7.5</v>
      </c>
      <c r="H11" s="33" t="n">
        <v>3</v>
      </c>
      <c r="I11" s="33" t="n">
        <v>50</v>
      </c>
      <c r="J11" s="33" t="n">
        <v>0</v>
      </c>
      <c r="K11" s="33" t="n">
        <v>-39</v>
      </c>
      <c r="L11" s="33" t="n">
        <v>5</v>
      </c>
      <c r="M11" s="33" t="n">
        <v>1</v>
      </c>
      <c r="N11" s="33" t="n">
        <v>0.003</v>
      </c>
      <c r="O11" s="33" t="n">
        <v>0.0009</v>
      </c>
      <c r="P11" s="33" t="n">
        <v>-40</v>
      </c>
      <c r="Q11" s="33" t="n">
        <v>2</v>
      </c>
      <c r="R11" s="33" t="n">
        <v>1</v>
      </c>
      <c r="S11" s="33"/>
      <c r="T11" s="33"/>
      <c r="U11" s="33"/>
      <c r="V11" s="33" t="n">
        <v>0</v>
      </c>
      <c r="W11" s="33" t="n">
        <v>-49</v>
      </c>
      <c r="X11" s="33" t="n">
        <v>9</v>
      </c>
      <c r="Y11" s="33" t="n">
        <v>1</v>
      </c>
      <c r="Z11" s="33" t="n">
        <v>0.02</v>
      </c>
      <c r="AA11" s="33" t="n">
        <v>0.0048</v>
      </c>
      <c r="AB11" s="33" t="n">
        <v>-36</v>
      </c>
      <c r="AC11" s="33" t="n">
        <v>3.5</v>
      </c>
      <c r="AD11" s="33" t="n">
        <v>1</v>
      </c>
      <c r="AE11" s="33"/>
      <c r="AF11" s="33"/>
      <c r="AG11" s="28"/>
      <c r="AH11" s="32" t="n">
        <v>25</v>
      </c>
      <c r="AI11" s="33" t="n">
        <v>4</v>
      </c>
      <c r="AJ11" s="33" t="n">
        <v>-70</v>
      </c>
      <c r="AK11" s="33" t="n">
        <v>0</v>
      </c>
      <c r="AL11" s="33" t="n">
        <v>-23.5</v>
      </c>
      <c r="AM11" s="33" t="n">
        <v>9</v>
      </c>
      <c r="AN11" s="33" t="n">
        <v>1</v>
      </c>
      <c r="AO11" s="33" t="n">
        <v>0.034</v>
      </c>
      <c r="AP11" s="33" t="n">
        <v>0.003</v>
      </c>
      <c r="AQ11" s="33" t="n">
        <v>-10</v>
      </c>
      <c r="AR11" s="33" t="n">
        <v>10</v>
      </c>
      <c r="AS11" s="33" t="n">
        <v>1</v>
      </c>
      <c r="AT11" s="33"/>
      <c r="AU11" s="33"/>
      <c r="AV11" s="33"/>
      <c r="AW11" s="33" t="n">
        <v>0.15</v>
      </c>
      <c r="AX11" s="33" t="n">
        <v>-14.4</v>
      </c>
      <c r="AY11" s="33" t="n">
        <v>1.5</v>
      </c>
      <c r="AZ11" s="33" t="n">
        <v>2</v>
      </c>
      <c r="BA11" s="33" t="n">
        <v>0.4</v>
      </c>
      <c r="BB11" s="33" t="n">
        <v>0.04</v>
      </c>
      <c r="BC11" s="33" t="n">
        <v>-21</v>
      </c>
      <c r="BD11" s="33" t="n">
        <v>8</v>
      </c>
      <c r="BE11" s="33" t="n">
        <v>1</v>
      </c>
      <c r="BF11" s="33"/>
      <c r="BG11" s="33"/>
      <c r="BH11" s="28"/>
      <c r="BI11" s="32"/>
      <c r="BJ11" s="33"/>
      <c r="BK11" s="33"/>
      <c r="BL11" s="33"/>
      <c r="BM11" s="33"/>
      <c r="BN11" s="33"/>
      <c r="BO11" s="33"/>
      <c r="BP11" s="33"/>
      <c r="BQ11" s="33"/>
      <c r="BR11" s="33"/>
      <c r="BS11" s="33"/>
      <c r="BT11" s="33"/>
      <c r="BU11" s="33"/>
      <c r="BV11" s="33"/>
      <c r="BW11" s="33"/>
      <c r="BX11" s="33"/>
      <c r="BY11" s="33"/>
      <c r="BZ11" s="33"/>
      <c r="CA11" s="33"/>
      <c r="CB11" s="33"/>
      <c r="CC11" s="33"/>
      <c r="CD11" s="33"/>
      <c r="CE11" s="33"/>
      <c r="CF11" s="33"/>
      <c r="CG11" s="33"/>
      <c r="CH11" s="33"/>
      <c r="CI11" s="28"/>
      <c r="CJ11" s="32"/>
      <c r="CK11" s="33"/>
      <c r="CL11" s="33"/>
      <c r="CM11" s="33"/>
      <c r="CN11" s="33"/>
      <c r="CO11" s="33"/>
      <c r="CP11" s="33"/>
      <c r="CQ11" s="33"/>
      <c r="CR11" s="33"/>
      <c r="CS11" s="33"/>
      <c r="CT11" s="33"/>
      <c r="CU11" s="33"/>
      <c r="CV11" s="33"/>
      <c r="CW11" s="33"/>
      <c r="CX11" s="33"/>
      <c r="CY11" s="33"/>
      <c r="CZ11" s="33"/>
      <c r="DA11" s="33"/>
      <c r="DB11" s="33"/>
      <c r="DC11" s="33"/>
      <c r="DD11" s="33"/>
      <c r="DE11" s="33"/>
      <c r="DF11" s="33"/>
      <c r="DG11" s="33"/>
      <c r="DH11" s="33"/>
      <c r="DI11" s="33"/>
      <c r="DJ11" s="28"/>
      <c r="DK11" s="32"/>
      <c r="DL11" s="33"/>
      <c r="DM11" s="33"/>
      <c r="DN11" s="33"/>
      <c r="DO11" s="33"/>
      <c r="DP11" s="33"/>
      <c r="DQ11" s="33"/>
      <c r="DR11" s="33"/>
      <c r="DS11" s="33"/>
      <c r="DT11" s="33"/>
      <c r="DU11" s="33"/>
      <c r="DV11" s="33"/>
      <c r="DW11" s="33"/>
      <c r="DX11" s="33"/>
      <c r="DY11" s="33"/>
      <c r="DZ11" s="33"/>
      <c r="EA11" s="33"/>
      <c r="EB11" s="33"/>
      <c r="EC11" s="33"/>
      <c r="ED11" s="33"/>
      <c r="EE11" s="33"/>
      <c r="EF11" s="33"/>
      <c r="EG11" s="33"/>
      <c r="EH11" s="33"/>
      <c r="EI11" s="33"/>
      <c r="EJ11" s="33"/>
      <c r="EK11" s="28"/>
      <c r="EL11" s="32"/>
      <c r="EM11" s="33"/>
      <c r="EN11" s="33"/>
      <c r="EO11" s="33"/>
      <c r="EP11" s="33"/>
      <c r="EQ11" s="33"/>
      <c r="ER11" s="33"/>
      <c r="ES11" s="33"/>
      <c r="ET11" s="33"/>
      <c r="EU11" s="33"/>
      <c r="EV11" s="33"/>
      <c r="EW11" s="33"/>
      <c r="EX11" s="33"/>
      <c r="EY11" s="33"/>
      <c r="EZ11" s="33"/>
      <c r="FA11" s="33"/>
      <c r="FB11" s="33"/>
      <c r="FC11" s="33"/>
      <c r="FD11" s="33"/>
      <c r="FE11" s="33"/>
      <c r="FF11" s="33"/>
      <c r="FG11" s="33"/>
      <c r="FH11" s="33"/>
      <c r="FI11" s="33"/>
      <c r="FJ11" s="33"/>
      <c r="FK11" s="33"/>
      <c r="FL11" s="28"/>
      <c r="FM11" s="32" t="n">
        <v>0.12</v>
      </c>
      <c r="FN11" s="33" t="n">
        <v>1</v>
      </c>
      <c r="FO11" s="33" t="n">
        <v>-28</v>
      </c>
      <c r="FP11" s="33" t="n">
        <v>0</v>
      </c>
      <c r="FQ11" s="33" t="n">
        <v>-48</v>
      </c>
      <c r="FR11" s="33" t="n">
        <v>2.5</v>
      </c>
      <c r="FS11" s="33" t="n">
        <v>1</v>
      </c>
      <c r="FT11" s="33" t="n">
        <v>0.2</v>
      </c>
      <c r="FU11" s="33"/>
      <c r="FV11" s="33"/>
      <c r="FW11" s="33"/>
      <c r="FX11" s="33"/>
      <c r="FY11" s="33"/>
      <c r="FZ11" s="33"/>
      <c r="GA11" s="33"/>
      <c r="GB11" s="33" t="n">
        <v>0</v>
      </c>
      <c r="GC11" s="33" t="n">
        <v>-48</v>
      </c>
      <c r="GD11" s="33" t="n">
        <v>0.5</v>
      </c>
      <c r="GE11" s="33" t="n">
        <v>1</v>
      </c>
      <c r="GF11" s="33" t="n">
        <v>9.5</v>
      </c>
      <c r="GG11" s="33"/>
      <c r="GH11" s="33"/>
      <c r="GI11" s="33"/>
      <c r="GJ11" s="33"/>
      <c r="GK11" s="33"/>
      <c r="GL11" s="33"/>
      <c r="GM11" s="28"/>
      <c r="GN11" s="32"/>
      <c r="GO11" s="33"/>
      <c r="GP11" s="33"/>
      <c r="GQ11" s="33"/>
      <c r="GR11" s="33"/>
      <c r="GS11" s="33"/>
      <c r="GT11" s="33"/>
      <c r="GU11" s="33"/>
      <c r="GV11" s="33"/>
      <c r="GW11" s="33"/>
      <c r="GX11" s="33"/>
      <c r="GY11" s="33"/>
      <c r="GZ11" s="33"/>
      <c r="HA11" s="33"/>
      <c r="HB11" s="33"/>
      <c r="HC11" s="33"/>
      <c r="HD11" s="33"/>
      <c r="HE11" s="33"/>
      <c r="HF11" s="33"/>
      <c r="HG11" s="33"/>
      <c r="HH11" s="33"/>
      <c r="HI11" s="33"/>
      <c r="HJ11" s="33"/>
      <c r="HK11" s="33"/>
      <c r="HL11" s="33"/>
      <c r="HM11" s="33"/>
      <c r="HN11" s="28"/>
      <c r="HO11" s="32"/>
      <c r="HP11" s="33"/>
      <c r="HQ11" s="33"/>
      <c r="HR11" s="33"/>
      <c r="HS11" s="33"/>
      <c r="HT11" s="33"/>
      <c r="HU11" s="33"/>
      <c r="HV11" s="33"/>
      <c r="HW11" s="33"/>
      <c r="HX11" s="33"/>
      <c r="HY11" s="33"/>
      <c r="HZ11" s="33"/>
      <c r="IA11" s="33"/>
      <c r="IB11" s="33"/>
      <c r="IC11" s="33"/>
      <c r="ID11" s="33"/>
      <c r="IE11" s="33"/>
      <c r="IF11" s="33"/>
      <c r="IG11" s="33"/>
      <c r="IH11" s="33"/>
      <c r="II11" s="33"/>
      <c r="IJ11" s="33"/>
      <c r="IK11" s="33"/>
      <c r="IL11" s="33"/>
      <c r="IM11" s="33"/>
      <c r="IN11" s="33"/>
      <c r="IO11" s="28"/>
    </row>
    <row r="12" customFormat="false" ht="14.35" hidden="false" customHeight="false" outlineLevel="0" collapsed="false">
      <c r="A12" s="25" t="str">
        <f aca="false">Neu!B12</f>
        <v>B40</v>
      </c>
      <c r="B12" s="26" t="s">
        <v>40</v>
      </c>
      <c r="C12" s="27"/>
      <c r="D12" s="28" t="n">
        <v>0.01</v>
      </c>
      <c r="E12" s="32" t="n">
        <v>0.1</v>
      </c>
      <c r="F12" s="28" t="n">
        <v>-57</v>
      </c>
      <c r="G12" s="32" t="n">
        <v>25</v>
      </c>
      <c r="H12" s="33" t="n">
        <v>3</v>
      </c>
      <c r="I12" s="33" t="n">
        <v>30</v>
      </c>
      <c r="J12" s="33" t="n">
        <v>0</v>
      </c>
      <c r="K12" s="33" t="n">
        <v>-37</v>
      </c>
      <c r="L12" s="33" t="n">
        <v>5</v>
      </c>
      <c r="M12" s="33" t="n">
        <v>1</v>
      </c>
      <c r="N12" s="33" t="n">
        <v>0.006</v>
      </c>
      <c r="O12" s="33" t="n">
        <v>0.001</v>
      </c>
      <c r="P12" s="33" t="n">
        <v>-43</v>
      </c>
      <c r="Q12" s="33" t="n">
        <v>4</v>
      </c>
      <c r="R12" s="33" t="n">
        <v>1</v>
      </c>
      <c r="S12" s="33"/>
      <c r="T12" s="33"/>
      <c r="U12" s="33"/>
      <c r="V12" s="33" t="n">
        <v>0</v>
      </c>
      <c r="W12" s="33" t="n">
        <v>-43</v>
      </c>
      <c r="X12" s="33" t="n">
        <v>5</v>
      </c>
      <c r="Y12" s="33" t="n">
        <v>1</v>
      </c>
      <c r="Z12" s="33" t="n">
        <v>0.02</v>
      </c>
      <c r="AA12" s="33" t="n">
        <v>0.005</v>
      </c>
      <c r="AB12" s="33" t="n">
        <v>-38</v>
      </c>
      <c r="AC12" s="33" t="n">
        <v>10</v>
      </c>
      <c r="AD12" s="33" t="n">
        <v>1</v>
      </c>
      <c r="AE12" s="33"/>
      <c r="AF12" s="33"/>
      <c r="AG12" s="28"/>
      <c r="AH12" s="32" t="n">
        <v>16</v>
      </c>
      <c r="AI12" s="33" t="n">
        <v>4</v>
      </c>
      <c r="AJ12" s="33" t="n">
        <v>-70</v>
      </c>
      <c r="AK12" s="33" t="n">
        <v>0</v>
      </c>
      <c r="AL12" s="33" t="n">
        <v>-23</v>
      </c>
      <c r="AM12" s="33" t="n">
        <v>9</v>
      </c>
      <c r="AN12" s="33" t="n">
        <v>1</v>
      </c>
      <c r="AO12" s="33" t="n">
        <v>0.04</v>
      </c>
      <c r="AP12" s="33" t="n">
        <v>0.004</v>
      </c>
      <c r="AQ12" s="33" t="n">
        <v>-8</v>
      </c>
      <c r="AR12" s="33" t="n">
        <v>10</v>
      </c>
      <c r="AS12" s="33" t="n">
        <v>1</v>
      </c>
      <c r="AT12" s="33"/>
      <c r="AU12" s="33"/>
      <c r="AV12" s="33"/>
      <c r="AW12" s="33"/>
      <c r="AX12" s="33"/>
      <c r="AY12" s="33"/>
      <c r="AZ12" s="33"/>
      <c r="BA12" s="33"/>
      <c r="BB12" s="33"/>
      <c r="BC12" s="33"/>
      <c r="BD12" s="33"/>
      <c r="BE12" s="33"/>
      <c r="BF12" s="33"/>
      <c r="BG12" s="33"/>
      <c r="BH12" s="28"/>
      <c r="BI12" s="32"/>
      <c r="BJ12" s="33"/>
      <c r="BK12" s="33"/>
      <c r="BL12" s="33"/>
      <c r="BM12" s="33"/>
      <c r="BN12" s="33"/>
      <c r="BO12" s="33"/>
      <c r="BP12" s="33"/>
      <c r="BQ12" s="33"/>
      <c r="BR12" s="33"/>
      <c r="BS12" s="33"/>
      <c r="BT12" s="33"/>
      <c r="BU12" s="33"/>
      <c r="BV12" s="33"/>
      <c r="BW12" s="33"/>
      <c r="BX12" s="33"/>
      <c r="BY12" s="33"/>
      <c r="BZ12" s="33"/>
      <c r="CA12" s="33"/>
      <c r="CB12" s="33"/>
      <c r="CC12" s="33"/>
      <c r="CD12" s="33"/>
      <c r="CE12" s="33"/>
      <c r="CF12" s="33"/>
      <c r="CG12" s="33"/>
      <c r="CH12" s="33"/>
      <c r="CI12" s="28"/>
      <c r="CJ12" s="32"/>
      <c r="CK12" s="33"/>
      <c r="CL12" s="33"/>
      <c r="CM12" s="33"/>
      <c r="CN12" s="33"/>
      <c r="CO12" s="33"/>
      <c r="CP12" s="33"/>
      <c r="CQ12" s="33"/>
      <c r="CR12" s="33"/>
      <c r="CS12" s="33"/>
      <c r="CT12" s="33"/>
      <c r="CU12" s="33"/>
      <c r="CV12" s="33"/>
      <c r="CW12" s="33"/>
      <c r="CX12" s="33"/>
      <c r="CY12" s="33"/>
      <c r="CZ12" s="33"/>
      <c r="DA12" s="33"/>
      <c r="DB12" s="33"/>
      <c r="DC12" s="33"/>
      <c r="DD12" s="33"/>
      <c r="DE12" s="33"/>
      <c r="DF12" s="33"/>
      <c r="DG12" s="33"/>
      <c r="DH12" s="33"/>
      <c r="DI12" s="33"/>
      <c r="DJ12" s="28"/>
      <c r="DK12" s="32"/>
      <c r="DL12" s="33"/>
      <c r="DM12" s="33"/>
      <c r="DN12" s="33"/>
      <c r="DO12" s="33"/>
      <c r="DP12" s="33"/>
      <c r="DQ12" s="33"/>
      <c r="DR12" s="33"/>
      <c r="DS12" s="33"/>
      <c r="DT12" s="33"/>
      <c r="DU12" s="33"/>
      <c r="DV12" s="33"/>
      <c r="DW12" s="33"/>
      <c r="DX12" s="33"/>
      <c r="DY12" s="33"/>
      <c r="DZ12" s="33"/>
      <c r="EA12" s="33"/>
      <c r="EB12" s="33"/>
      <c r="EC12" s="33"/>
      <c r="ED12" s="33"/>
      <c r="EE12" s="33"/>
      <c r="EF12" s="33"/>
      <c r="EG12" s="33"/>
      <c r="EH12" s="33"/>
      <c r="EI12" s="33"/>
      <c r="EJ12" s="33"/>
      <c r="EK12" s="28"/>
      <c r="EL12" s="32"/>
      <c r="EM12" s="33"/>
      <c r="EN12" s="33"/>
      <c r="EO12" s="33"/>
      <c r="EP12" s="33"/>
      <c r="EQ12" s="33"/>
      <c r="ER12" s="33"/>
      <c r="ES12" s="33"/>
      <c r="ET12" s="33"/>
      <c r="EU12" s="33"/>
      <c r="EV12" s="33"/>
      <c r="EW12" s="33"/>
      <c r="EX12" s="33"/>
      <c r="EY12" s="33"/>
      <c r="EZ12" s="33"/>
      <c r="FA12" s="33"/>
      <c r="FB12" s="33"/>
      <c r="FC12" s="33"/>
      <c r="FD12" s="33"/>
      <c r="FE12" s="33"/>
      <c r="FF12" s="33"/>
      <c r="FG12" s="33"/>
      <c r="FH12" s="33"/>
      <c r="FI12" s="33"/>
      <c r="FJ12" s="33"/>
      <c r="FK12" s="33"/>
      <c r="FL12" s="28"/>
      <c r="FM12" s="32"/>
      <c r="FN12" s="33"/>
      <c r="FO12" s="33"/>
      <c r="FP12" s="33"/>
      <c r="FQ12" s="33"/>
      <c r="FR12" s="33"/>
      <c r="FS12" s="33"/>
      <c r="FT12" s="33"/>
      <c r="FU12" s="33"/>
      <c r="FV12" s="33"/>
      <c r="FW12" s="33"/>
      <c r="FX12" s="33"/>
      <c r="FY12" s="33"/>
      <c r="FZ12" s="33"/>
      <c r="GA12" s="33"/>
      <c r="GB12" s="33"/>
      <c r="GC12" s="33"/>
      <c r="GD12" s="33"/>
      <c r="GE12" s="33"/>
      <c r="GF12" s="33"/>
      <c r="GG12" s="33"/>
      <c r="GH12" s="33"/>
      <c r="GI12" s="33"/>
      <c r="GJ12" s="33"/>
      <c r="GK12" s="33"/>
      <c r="GL12" s="33"/>
      <c r="GM12" s="28"/>
      <c r="GN12" s="32"/>
      <c r="GO12" s="33"/>
      <c r="GP12" s="33"/>
      <c r="GQ12" s="33"/>
      <c r="GR12" s="33"/>
      <c r="GS12" s="33"/>
      <c r="GT12" s="33"/>
      <c r="GU12" s="33"/>
      <c r="GV12" s="33"/>
      <c r="GW12" s="33"/>
      <c r="GX12" s="33"/>
      <c r="GY12" s="33"/>
      <c r="GZ12" s="33"/>
      <c r="HA12" s="33"/>
      <c r="HB12" s="33"/>
      <c r="HC12" s="33"/>
      <c r="HD12" s="33"/>
      <c r="HE12" s="33"/>
      <c r="HF12" s="33"/>
      <c r="HG12" s="33"/>
      <c r="HH12" s="33"/>
      <c r="HI12" s="33"/>
      <c r="HJ12" s="33"/>
      <c r="HK12" s="33"/>
      <c r="HL12" s="33"/>
      <c r="HM12" s="33"/>
      <c r="HN12" s="28"/>
      <c r="HO12" s="32"/>
      <c r="HP12" s="33"/>
      <c r="HQ12" s="33"/>
      <c r="HR12" s="33"/>
      <c r="HS12" s="33"/>
      <c r="HT12" s="33"/>
      <c r="HU12" s="33"/>
      <c r="HV12" s="33"/>
      <c r="HW12" s="33"/>
      <c r="HX12" s="33"/>
      <c r="HY12" s="33"/>
      <c r="HZ12" s="33"/>
      <c r="IA12" s="33"/>
      <c r="IB12" s="33"/>
      <c r="IC12" s="33"/>
      <c r="ID12" s="33"/>
      <c r="IE12" s="33"/>
      <c r="IF12" s="33"/>
      <c r="IG12" s="33"/>
      <c r="IH12" s="33"/>
      <c r="II12" s="33"/>
      <c r="IJ12" s="33"/>
      <c r="IK12" s="33"/>
      <c r="IL12" s="33"/>
      <c r="IM12" s="33"/>
      <c r="IN12" s="33"/>
      <c r="IO12" s="28"/>
    </row>
    <row r="13" customFormat="false" ht="14.35" hidden="false" customHeight="false" outlineLevel="0" collapsed="false">
      <c r="A13" s="25" t="str">
        <f aca="false">Neu!B13</f>
        <v>B51s</v>
      </c>
      <c r="B13" s="26" t="s">
        <v>41</v>
      </c>
      <c r="C13" s="27"/>
      <c r="D13" s="28" t="n">
        <v>0.001</v>
      </c>
      <c r="E13" s="32" t="n">
        <v>0.15</v>
      </c>
      <c r="F13" s="28" t="n">
        <v>-64</v>
      </c>
      <c r="G13" s="32" t="n">
        <v>3</v>
      </c>
      <c r="H13" s="33" t="n">
        <v>3</v>
      </c>
      <c r="I13" s="33" t="n">
        <v>30</v>
      </c>
      <c r="J13" s="33" t="n">
        <v>0</v>
      </c>
      <c r="K13" s="33" t="n">
        <v>-37</v>
      </c>
      <c r="L13" s="33" t="n">
        <v>5</v>
      </c>
      <c r="M13" s="33" t="n">
        <v>1</v>
      </c>
      <c r="N13" s="33" t="n">
        <v>0.006</v>
      </c>
      <c r="O13" s="33" t="n">
        <v>0.001</v>
      </c>
      <c r="P13" s="33" t="n">
        <v>-43</v>
      </c>
      <c r="Q13" s="33" t="n">
        <v>4</v>
      </c>
      <c r="R13" s="33" t="n">
        <v>1</v>
      </c>
      <c r="S13" s="33"/>
      <c r="T13" s="33"/>
      <c r="U13" s="33"/>
      <c r="V13" s="33" t="n">
        <v>0</v>
      </c>
      <c r="W13" s="33" t="n">
        <v>-43</v>
      </c>
      <c r="X13" s="33" t="n">
        <v>5</v>
      </c>
      <c r="Y13" s="33" t="n">
        <v>1</v>
      </c>
      <c r="Z13" s="33" t="n">
        <v>0.02</v>
      </c>
      <c r="AA13" s="33" t="n">
        <v>0.005</v>
      </c>
      <c r="AB13" s="33" t="n">
        <v>-38</v>
      </c>
      <c r="AC13" s="33" t="n">
        <v>10</v>
      </c>
      <c r="AD13" s="33" t="n">
        <v>1</v>
      </c>
      <c r="AE13" s="33"/>
      <c r="AF13" s="33"/>
      <c r="AG13" s="28"/>
      <c r="AH13" s="32" t="n">
        <v>1.8</v>
      </c>
      <c r="AI13" s="33" t="n">
        <v>4</v>
      </c>
      <c r="AJ13" s="33" t="n">
        <v>-80</v>
      </c>
      <c r="AK13" s="33" t="n">
        <v>0</v>
      </c>
      <c r="AL13" s="33" t="n">
        <v>-23</v>
      </c>
      <c r="AM13" s="33" t="n">
        <v>9</v>
      </c>
      <c r="AN13" s="33" t="n">
        <v>1</v>
      </c>
      <c r="AO13" s="33" t="n">
        <v>0.04</v>
      </c>
      <c r="AP13" s="33" t="n">
        <v>0.004</v>
      </c>
      <c r="AQ13" s="33" t="n">
        <v>-8</v>
      </c>
      <c r="AR13" s="33" t="n">
        <v>10</v>
      </c>
      <c r="AS13" s="33" t="n">
        <v>1</v>
      </c>
      <c r="AT13" s="33"/>
      <c r="AU13" s="33"/>
      <c r="AV13" s="33"/>
      <c r="AW13" s="33"/>
      <c r="AX13" s="33"/>
      <c r="AY13" s="33"/>
      <c r="AZ13" s="33"/>
      <c r="BA13" s="33"/>
      <c r="BB13" s="33"/>
      <c r="BC13" s="33"/>
      <c r="BD13" s="33"/>
      <c r="BE13" s="33"/>
      <c r="BF13" s="33"/>
      <c r="BG13" s="33"/>
      <c r="BH13" s="28"/>
      <c r="BI13" s="32"/>
      <c r="BJ13" s="33"/>
      <c r="BK13" s="33"/>
      <c r="BL13" s="33"/>
      <c r="BM13" s="33"/>
      <c r="BN13" s="33"/>
      <c r="BO13" s="33"/>
      <c r="BP13" s="33"/>
      <c r="BQ13" s="33"/>
      <c r="BR13" s="33"/>
      <c r="BS13" s="33"/>
      <c r="BT13" s="33"/>
      <c r="BU13" s="33"/>
      <c r="BV13" s="33"/>
      <c r="BW13" s="33"/>
      <c r="BX13" s="33"/>
      <c r="BY13" s="33"/>
      <c r="BZ13" s="33"/>
      <c r="CA13" s="33"/>
      <c r="CB13" s="33"/>
      <c r="CC13" s="33"/>
      <c r="CD13" s="33"/>
      <c r="CE13" s="33"/>
      <c r="CF13" s="33"/>
      <c r="CG13" s="33"/>
      <c r="CH13" s="33"/>
      <c r="CI13" s="28"/>
      <c r="CJ13" s="32"/>
      <c r="CK13" s="33"/>
      <c r="CL13" s="33"/>
      <c r="CM13" s="33"/>
      <c r="CN13" s="33"/>
      <c r="CO13" s="33"/>
      <c r="CP13" s="33"/>
      <c r="CQ13" s="33"/>
      <c r="CR13" s="33"/>
      <c r="CS13" s="33"/>
      <c r="CT13" s="33"/>
      <c r="CU13" s="33"/>
      <c r="CV13" s="33"/>
      <c r="CW13" s="33"/>
      <c r="CX13" s="33"/>
      <c r="CY13" s="33"/>
      <c r="CZ13" s="33"/>
      <c r="DA13" s="33"/>
      <c r="DB13" s="33"/>
      <c r="DC13" s="33"/>
      <c r="DD13" s="33"/>
      <c r="DE13" s="33"/>
      <c r="DF13" s="33"/>
      <c r="DG13" s="33"/>
      <c r="DH13" s="33"/>
      <c r="DI13" s="33"/>
      <c r="DJ13" s="28"/>
      <c r="DK13" s="32"/>
      <c r="DL13" s="33"/>
      <c r="DM13" s="33"/>
      <c r="DN13" s="33"/>
      <c r="DO13" s="33"/>
      <c r="DP13" s="33"/>
      <c r="DQ13" s="33"/>
      <c r="DR13" s="33"/>
      <c r="DS13" s="33"/>
      <c r="DT13" s="33"/>
      <c r="DU13" s="33"/>
      <c r="DV13" s="33"/>
      <c r="DW13" s="33"/>
      <c r="DX13" s="33"/>
      <c r="DY13" s="33"/>
      <c r="DZ13" s="33"/>
      <c r="EA13" s="33"/>
      <c r="EB13" s="33"/>
      <c r="EC13" s="33"/>
      <c r="ED13" s="33"/>
      <c r="EE13" s="33"/>
      <c r="EF13" s="33"/>
      <c r="EG13" s="33"/>
      <c r="EH13" s="33"/>
      <c r="EI13" s="33"/>
      <c r="EJ13" s="33"/>
      <c r="EK13" s="28"/>
      <c r="EL13" s="32"/>
      <c r="EM13" s="33"/>
      <c r="EN13" s="33"/>
      <c r="EO13" s="33"/>
      <c r="EP13" s="33"/>
      <c r="EQ13" s="33"/>
      <c r="ER13" s="33"/>
      <c r="ES13" s="33"/>
      <c r="ET13" s="33"/>
      <c r="EU13" s="33"/>
      <c r="EV13" s="33"/>
      <c r="EW13" s="33"/>
      <c r="EX13" s="33"/>
      <c r="EY13" s="33"/>
      <c r="EZ13" s="33"/>
      <c r="FA13" s="33"/>
      <c r="FB13" s="33"/>
      <c r="FC13" s="33"/>
      <c r="FD13" s="33"/>
      <c r="FE13" s="33"/>
      <c r="FF13" s="33"/>
      <c r="FG13" s="33"/>
      <c r="FH13" s="33"/>
      <c r="FI13" s="33"/>
      <c r="FJ13" s="33"/>
      <c r="FK13" s="33"/>
      <c r="FL13" s="28"/>
      <c r="FM13" s="32" t="n">
        <v>0.11</v>
      </c>
      <c r="FN13" s="33" t="n">
        <v>1</v>
      </c>
      <c r="FO13" s="33" t="n">
        <v>30</v>
      </c>
      <c r="FP13" s="33" t="n">
        <v>0</v>
      </c>
      <c r="FQ13" s="33" t="n">
        <v>-50</v>
      </c>
      <c r="FR13" s="33" t="n">
        <v>1</v>
      </c>
      <c r="FS13" s="33" t="n">
        <v>1</v>
      </c>
      <c r="FT13" s="33" t="n">
        <v>0.1</v>
      </c>
      <c r="FU13" s="33"/>
      <c r="FV13" s="33"/>
      <c r="FW13" s="33"/>
      <c r="FX13" s="33"/>
      <c r="FY13" s="33"/>
      <c r="FZ13" s="33"/>
      <c r="GA13" s="33"/>
      <c r="GB13" s="33"/>
      <c r="GC13" s="33"/>
      <c r="GD13" s="33"/>
      <c r="GE13" s="33"/>
      <c r="GF13" s="33"/>
      <c r="GG13" s="33"/>
      <c r="GH13" s="33"/>
      <c r="GI13" s="33"/>
      <c r="GJ13" s="33"/>
      <c r="GK13" s="33"/>
      <c r="GL13" s="33"/>
      <c r="GM13" s="28"/>
      <c r="GN13" s="32"/>
      <c r="GO13" s="33"/>
      <c r="GP13" s="33"/>
      <c r="GQ13" s="33"/>
      <c r="GR13" s="33"/>
      <c r="GS13" s="33"/>
      <c r="GT13" s="33"/>
      <c r="GU13" s="33"/>
      <c r="GV13" s="33"/>
      <c r="GW13" s="33"/>
      <c r="GX13" s="33"/>
      <c r="GY13" s="33"/>
      <c r="GZ13" s="33"/>
      <c r="HA13" s="33"/>
      <c r="HB13" s="33"/>
      <c r="HC13" s="33"/>
      <c r="HD13" s="33"/>
      <c r="HE13" s="33"/>
      <c r="HF13" s="33"/>
      <c r="HG13" s="33"/>
      <c r="HH13" s="33"/>
      <c r="HI13" s="33"/>
      <c r="HJ13" s="33"/>
      <c r="HK13" s="33"/>
      <c r="HL13" s="33"/>
      <c r="HM13" s="33"/>
      <c r="HN13" s="28"/>
      <c r="HO13" s="32" t="n">
        <v>0.35</v>
      </c>
      <c r="HP13" s="33" t="n">
        <v>1</v>
      </c>
      <c r="HQ13" s="33" t="n">
        <v>-70</v>
      </c>
      <c r="HR13" s="33" t="n">
        <v>0</v>
      </c>
      <c r="HS13" s="33" t="n">
        <v>-54</v>
      </c>
      <c r="HT13" s="33" t="n">
        <v>1</v>
      </c>
      <c r="HU13" s="33" t="n">
        <v>1</v>
      </c>
      <c r="HV13" s="33" t="n">
        <v>10</v>
      </c>
      <c r="HW13" s="33"/>
      <c r="HX13" s="33"/>
      <c r="HY13" s="33"/>
      <c r="HZ13" s="33"/>
      <c r="IA13" s="33"/>
      <c r="IB13" s="33"/>
      <c r="IC13" s="33"/>
      <c r="ID13" s="33"/>
      <c r="IE13" s="33"/>
      <c r="IF13" s="33"/>
      <c r="IG13" s="33"/>
      <c r="IH13" s="33"/>
      <c r="II13" s="33"/>
      <c r="IJ13" s="33"/>
      <c r="IK13" s="33"/>
      <c r="IL13" s="33"/>
      <c r="IM13" s="33"/>
      <c r="IN13" s="33"/>
      <c r="IO13" s="28"/>
    </row>
    <row r="14" customFormat="false" ht="14.35" hidden="false" customHeight="false" outlineLevel="0" collapsed="false">
      <c r="A14" s="25" t="str">
        <f aca="false">Neu!B14</f>
        <v>B51a</v>
      </c>
      <c r="B14" s="26" t="s">
        <v>42</v>
      </c>
      <c r="C14" s="27"/>
      <c r="D14" s="28" t="n">
        <v>0.003</v>
      </c>
      <c r="E14" s="32" t="n">
        <v>0.08</v>
      </c>
      <c r="F14" s="28" t="n">
        <v>-77</v>
      </c>
      <c r="G14" s="32" t="n">
        <v>40</v>
      </c>
      <c r="H14" s="33" t="n">
        <v>3</v>
      </c>
      <c r="I14" s="33" t="n">
        <v>30</v>
      </c>
      <c r="J14" s="33" t="n">
        <v>0</v>
      </c>
      <c r="K14" s="33" t="n">
        <v>-37</v>
      </c>
      <c r="L14" s="33" t="n">
        <v>5</v>
      </c>
      <c r="M14" s="33" t="n">
        <v>1</v>
      </c>
      <c r="N14" s="33" t="n">
        <v>0.006</v>
      </c>
      <c r="O14" s="33" t="n">
        <v>0.001</v>
      </c>
      <c r="P14" s="33" t="n">
        <v>-43</v>
      </c>
      <c r="Q14" s="33" t="n">
        <v>4</v>
      </c>
      <c r="R14" s="33" t="n">
        <v>1</v>
      </c>
      <c r="S14" s="33"/>
      <c r="T14" s="33"/>
      <c r="U14" s="33"/>
      <c r="V14" s="33" t="n">
        <v>0</v>
      </c>
      <c r="W14" s="33" t="n">
        <v>-43</v>
      </c>
      <c r="X14" s="33" t="n">
        <v>5</v>
      </c>
      <c r="Y14" s="33" t="n">
        <v>1</v>
      </c>
      <c r="Z14" s="33" t="n">
        <v>0.02</v>
      </c>
      <c r="AA14" s="33" t="n">
        <v>0.005</v>
      </c>
      <c r="AB14" s="33" t="n">
        <v>-38</v>
      </c>
      <c r="AC14" s="33" t="n">
        <v>10</v>
      </c>
      <c r="AD14" s="33" t="n">
        <v>1</v>
      </c>
      <c r="AE14" s="33"/>
      <c r="AF14" s="33"/>
      <c r="AG14" s="28"/>
      <c r="AH14" s="32" t="n">
        <v>24</v>
      </c>
      <c r="AI14" s="33" t="n">
        <v>4</v>
      </c>
      <c r="AJ14" s="33" t="n">
        <v>-70</v>
      </c>
      <c r="AK14" s="33" t="n">
        <v>0</v>
      </c>
      <c r="AL14" s="33" t="n">
        <v>-23</v>
      </c>
      <c r="AM14" s="33" t="n">
        <v>9</v>
      </c>
      <c r="AN14" s="33" t="n">
        <v>1</v>
      </c>
      <c r="AO14" s="33" t="n">
        <v>0.04</v>
      </c>
      <c r="AP14" s="33" t="n">
        <v>0.004</v>
      </c>
      <c r="AQ14" s="33" t="n">
        <v>-8</v>
      </c>
      <c r="AR14" s="33" t="n">
        <v>10</v>
      </c>
      <c r="AS14" s="33" t="n">
        <v>1</v>
      </c>
      <c r="AT14" s="33"/>
      <c r="AU14" s="33"/>
      <c r="AV14" s="33"/>
      <c r="AW14" s="33"/>
      <c r="AX14" s="33"/>
      <c r="AY14" s="33"/>
      <c r="AZ14" s="33"/>
      <c r="BA14" s="33"/>
      <c r="BB14" s="33"/>
      <c r="BC14" s="33"/>
      <c r="BD14" s="33"/>
      <c r="BE14" s="33"/>
      <c r="BF14" s="33"/>
      <c r="BG14" s="33"/>
      <c r="BH14" s="28"/>
      <c r="BI14" s="32"/>
      <c r="BJ14" s="33"/>
      <c r="BK14" s="33"/>
      <c r="BL14" s="33"/>
      <c r="BM14" s="33"/>
      <c r="BN14" s="33"/>
      <c r="BO14" s="33"/>
      <c r="BP14" s="33"/>
      <c r="BQ14" s="33"/>
      <c r="BR14" s="33"/>
      <c r="BS14" s="33"/>
      <c r="BT14" s="33"/>
      <c r="BU14" s="33"/>
      <c r="BV14" s="33"/>
      <c r="BW14" s="33"/>
      <c r="BX14" s="33"/>
      <c r="BY14" s="33"/>
      <c r="BZ14" s="33"/>
      <c r="CA14" s="33"/>
      <c r="CB14" s="33"/>
      <c r="CC14" s="33"/>
      <c r="CD14" s="33"/>
      <c r="CE14" s="33"/>
      <c r="CF14" s="33"/>
      <c r="CG14" s="33"/>
      <c r="CH14" s="33"/>
      <c r="CI14" s="28"/>
      <c r="CJ14" s="32"/>
      <c r="CK14" s="33"/>
      <c r="CL14" s="33"/>
      <c r="CM14" s="33"/>
      <c r="CN14" s="33"/>
      <c r="CO14" s="33"/>
      <c r="CP14" s="33"/>
      <c r="CQ14" s="33"/>
      <c r="CR14" s="33"/>
      <c r="CS14" s="33"/>
      <c r="CT14" s="33"/>
      <c r="CU14" s="33"/>
      <c r="CV14" s="33"/>
      <c r="CW14" s="33"/>
      <c r="CX14" s="33"/>
      <c r="CY14" s="33"/>
      <c r="CZ14" s="33"/>
      <c r="DA14" s="33"/>
      <c r="DB14" s="33"/>
      <c r="DC14" s="33"/>
      <c r="DD14" s="33"/>
      <c r="DE14" s="33"/>
      <c r="DF14" s="33"/>
      <c r="DG14" s="33"/>
      <c r="DH14" s="33"/>
      <c r="DI14" s="33"/>
      <c r="DJ14" s="28"/>
      <c r="DK14" s="32"/>
      <c r="DL14" s="33"/>
      <c r="DM14" s="33"/>
      <c r="DN14" s="33"/>
      <c r="DO14" s="33"/>
      <c r="DP14" s="33"/>
      <c r="DQ14" s="33"/>
      <c r="DR14" s="33"/>
      <c r="DS14" s="33"/>
      <c r="DT14" s="33"/>
      <c r="DU14" s="33"/>
      <c r="DV14" s="33"/>
      <c r="DW14" s="33"/>
      <c r="DX14" s="33"/>
      <c r="DY14" s="33"/>
      <c r="DZ14" s="33"/>
      <c r="EA14" s="33"/>
      <c r="EB14" s="33"/>
      <c r="EC14" s="33"/>
      <c r="ED14" s="33"/>
      <c r="EE14" s="33"/>
      <c r="EF14" s="33"/>
      <c r="EG14" s="33"/>
      <c r="EH14" s="33"/>
      <c r="EI14" s="33"/>
      <c r="EJ14" s="33"/>
      <c r="EK14" s="28"/>
      <c r="EL14" s="32"/>
      <c r="EM14" s="33"/>
      <c r="EN14" s="33"/>
      <c r="EO14" s="33"/>
      <c r="EP14" s="33"/>
      <c r="EQ14" s="33"/>
      <c r="ER14" s="33"/>
      <c r="ES14" s="33"/>
      <c r="ET14" s="33"/>
      <c r="EU14" s="33"/>
      <c r="EV14" s="33"/>
      <c r="EW14" s="33"/>
      <c r="EX14" s="33"/>
      <c r="EY14" s="33"/>
      <c r="EZ14" s="33"/>
      <c r="FA14" s="33"/>
      <c r="FB14" s="33"/>
      <c r="FC14" s="33"/>
      <c r="FD14" s="33"/>
      <c r="FE14" s="33"/>
      <c r="FF14" s="33"/>
      <c r="FG14" s="33"/>
      <c r="FH14" s="33"/>
      <c r="FI14" s="33"/>
      <c r="FJ14" s="33"/>
      <c r="FK14" s="33"/>
      <c r="FL14" s="28"/>
      <c r="FM14" s="32"/>
      <c r="FN14" s="33"/>
      <c r="FO14" s="33"/>
      <c r="FP14" s="33"/>
      <c r="FQ14" s="33"/>
      <c r="FR14" s="33"/>
      <c r="FS14" s="33"/>
      <c r="FT14" s="33"/>
      <c r="FU14" s="33"/>
      <c r="FV14" s="33"/>
      <c r="FW14" s="33"/>
      <c r="FX14" s="33"/>
      <c r="FY14" s="33"/>
      <c r="FZ14" s="33"/>
      <c r="GA14" s="33"/>
      <c r="GB14" s="33"/>
      <c r="GC14" s="33"/>
      <c r="GD14" s="33"/>
      <c r="GE14" s="33"/>
      <c r="GF14" s="33"/>
      <c r="GG14" s="33"/>
      <c r="GH14" s="33"/>
      <c r="GI14" s="33"/>
      <c r="GJ14" s="33"/>
      <c r="GK14" s="33"/>
      <c r="GL14" s="33"/>
      <c r="GM14" s="28"/>
      <c r="GN14" s="32"/>
      <c r="GO14" s="33"/>
      <c r="GP14" s="33"/>
      <c r="GQ14" s="33"/>
      <c r="GR14" s="33"/>
      <c r="GS14" s="33"/>
      <c r="GT14" s="33"/>
      <c r="GU14" s="33"/>
      <c r="GV14" s="33"/>
      <c r="GW14" s="33"/>
      <c r="GX14" s="33"/>
      <c r="GY14" s="33"/>
      <c r="GZ14" s="33"/>
      <c r="HA14" s="33"/>
      <c r="HB14" s="33"/>
      <c r="HC14" s="33"/>
      <c r="HD14" s="33"/>
      <c r="HE14" s="33"/>
      <c r="HF14" s="33"/>
      <c r="HG14" s="33"/>
      <c r="HH14" s="33"/>
      <c r="HI14" s="33"/>
      <c r="HJ14" s="33"/>
      <c r="HK14" s="33"/>
      <c r="HL14" s="33"/>
      <c r="HM14" s="33"/>
      <c r="HN14" s="28"/>
      <c r="HO14" s="32"/>
      <c r="HP14" s="33"/>
      <c r="HQ14" s="33"/>
      <c r="HR14" s="33"/>
      <c r="HS14" s="33"/>
      <c r="HT14" s="33"/>
      <c r="HU14" s="33"/>
      <c r="HV14" s="33"/>
      <c r="HW14" s="33"/>
      <c r="HX14" s="33"/>
      <c r="HY14" s="33"/>
      <c r="HZ14" s="33"/>
      <c r="IA14" s="33"/>
      <c r="IB14" s="33"/>
      <c r="IC14" s="33"/>
      <c r="ID14" s="33"/>
      <c r="IE14" s="33"/>
      <c r="IF14" s="33"/>
      <c r="IG14" s="33"/>
      <c r="IH14" s="33"/>
      <c r="II14" s="33"/>
      <c r="IJ14" s="33"/>
      <c r="IK14" s="33"/>
      <c r="IL14" s="33"/>
      <c r="IM14" s="33"/>
      <c r="IN14" s="33"/>
      <c r="IO14" s="28"/>
    </row>
    <row r="15" customFormat="false" ht="14.35" hidden="false" customHeight="false" outlineLevel="0" collapsed="false">
      <c r="A15" s="25" t="str">
        <f aca="false">Neu!B15</f>
        <v>B52</v>
      </c>
      <c r="B15" s="26" t="s">
        <v>43</v>
      </c>
      <c r="C15" s="27"/>
      <c r="D15" s="28" t="n">
        <v>0.01</v>
      </c>
      <c r="E15" s="32" t="n">
        <v>0.1</v>
      </c>
      <c r="F15" s="28" t="n">
        <v>-62</v>
      </c>
      <c r="G15" s="32" t="n">
        <v>25</v>
      </c>
      <c r="H15" s="33" t="n">
        <v>3</v>
      </c>
      <c r="I15" s="33" t="n">
        <v>30</v>
      </c>
      <c r="J15" s="33" t="n">
        <v>0</v>
      </c>
      <c r="K15" s="33" t="n">
        <v>-37</v>
      </c>
      <c r="L15" s="33" t="n">
        <v>5</v>
      </c>
      <c r="M15" s="33" t="n">
        <v>1</v>
      </c>
      <c r="N15" s="33" t="n">
        <v>0.006</v>
      </c>
      <c r="O15" s="33" t="n">
        <v>0.001</v>
      </c>
      <c r="P15" s="33" t="n">
        <v>-43</v>
      </c>
      <c r="Q15" s="33" t="n">
        <v>4</v>
      </c>
      <c r="R15" s="33" t="n">
        <v>1</v>
      </c>
      <c r="S15" s="33"/>
      <c r="T15" s="33"/>
      <c r="U15" s="33"/>
      <c r="V15" s="33" t="n">
        <v>0</v>
      </c>
      <c r="W15" s="33" t="n">
        <v>-43</v>
      </c>
      <c r="X15" s="33" t="n">
        <v>5</v>
      </c>
      <c r="Y15" s="33" t="n">
        <v>1</v>
      </c>
      <c r="Z15" s="33" t="n">
        <v>0.02</v>
      </c>
      <c r="AA15" s="33" t="n">
        <v>0.005</v>
      </c>
      <c r="AB15" s="33" t="n">
        <v>-38</v>
      </c>
      <c r="AC15" s="33" t="n">
        <v>10</v>
      </c>
      <c r="AD15" s="33" t="n">
        <v>1</v>
      </c>
      <c r="AE15" s="33"/>
      <c r="AF15" s="33"/>
      <c r="AG15" s="28"/>
      <c r="AH15" s="32" t="n">
        <v>18</v>
      </c>
      <c r="AI15" s="33" t="n">
        <v>4</v>
      </c>
      <c r="AJ15" s="33" t="n">
        <v>-70</v>
      </c>
      <c r="AK15" s="33" t="n">
        <v>0</v>
      </c>
      <c r="AL15" s="33" t="n">
        <v>-23</v>
      </c>
      <c r="AM15" s="33" t="n">
        <v>9</v>
      </c>
      <c r="AN15" s="33" t="n">
        <v>1</v>
      </c>
      <c r="AO15" s="33" t="n">
        <v>0.04</v>
      </c>
      <c r="AP15" s="33" t="n">
        <v>0.004</v>
      </c>
      <c r="AQ15" s="33" t="n">
        <v>-8</v>
      </c>
      <c r="AR15" s="33" t="n">
        <v>10</v>
      </c>
      <c r="AS15" s="33" t="n">
        <v>1</v>
      </c>
      <c r="AT15" s="33"/>
      <c r="AU15" s="33"/>
      <c r="AV15" s="33"/>
      <c r="AW15" s="33"/>
      <c r="AX15" s="33"/>
      <c r="AY15" s="33"/>
      <c r="AZ15" s="33"/>
      <c r="BA15" s="33"/>
      <c r="BB15" s="33"/>
      <c r="BC15" s="33"/>
      <c r="BD15" s="33"/>
      <c r="BE15" s="33"/>
      <c r="BF15" s="33"/>
      <c r="BG15" s="33"/>
      <c r="BH15" s="28"/>
      <c r="BI15" s="32"/>
      <c r="BJ15" s="33"/>
      <c r="BK15" s="33"/>
      <c r="BL15" s="33"/>
      <c r="BM15" s="33"/>
      <c r="BN15" s="33"/>
      <c r="BO15" s="33"/>
      <c r="BP15" s="33"/>
      <c r="BQ15" s="33"/>
      <c r="BR15" s="33"/>
      <c r="BS15" s="33"/>
      <c r="BT15" s="33"/>
      <c r="BU15" s="33"/>
      <c r="BV15" s="33"/>
      <c r="BW15" s="33"/>
      <c r="BX15" s="33"/>
      <c r="BY15" s="33"/>
      <c r="BZ15" s="33"/>
      <c r="CA15" s="33"/>
      <c r="CB15" s="33"/>
      <c r="CC15" s="33"/>
      <c r="CD15" s="33"/>
      <c r="CE15" s="33"/>
      <c r="CF15" s="33"/>
      <c r="CG15" s="33"/>
      <c r="CH15" s="33"/>
      <c r="CI15" s="28"/>
      <c r="CJ15" s="32"/>
      <c r="CK15" s="33"/>
      <c r="CL15" s="33"/>
      <c r="CM15" s="33"/>
      <c r="CN15" s="33"/>
      <c r="CO15" s="33"/>
      <c r="CP15" s="33"/>
      <c r="CQ15" s="33"/>
      <c r="CR15" s="33"/>
      <c r="CS15" s="33"/>
      <c r="CT15" s="33"/>
      <c r="CU15" s="33"/>
      <c r="CV15" s="33"/>
      <c r="CW15" s="33"/>
      <c r="CX15" s="33"/>
      <c r="CY15" s="33"/>
      <c r="CZ15" s="33"/>
      <c r="DA15" s="33"/>
      <c r="DB15" s="33"/>
      <c r="DC15" s="33"/>
      <c r="DD15" s="33"/>
      <c r="DE15" s="33"/>
      <c r="DF15" s="33"/>
      <c r="DG15" s="33"/>
      <c r="DH15" s="33"/>
      <c r="DI15" s="33"/>
      <c r="DJ15" s="28"/>
      <c r="DK15" s="32"/>
      <c r="DL15" s="33"/>
      <c r="DM15" s="33"/>
      <c r="DN15" s="33"/>
      <c r="DO15" s="33"/>
      <c r="DP15" s="33"/>
      <c r="DQ15" s="33"/>
      <c r="DR15" s="33"/>
      <c r="DS15" s="33"/>
      <c r="DT15" s="33"/>
      <c r="DU15" s="33"/>
      <c r="DV15" s="33"/>
      <c r="DW15" s="33"/>
      <c r="DX15" s="33"/>
      <c r="DY15" s="33"/>
      <c r="DZ15" s="33"/>
      <c r="EA15" s="33"/>
      <c r="EB15" s="33"/>
      <c r="EC15" s="33"/>
      <c r="ED15" s="33"/>
      <c r="EE15" s="33"/>
      <c r="EF15" s="33"/>
      <c r="EG15" s="33"/>
      <c r="EH15" s="33"/>
      <c r="EI15" s="33"/>
      <c r="EJ15" s="33"/>
      <c r="EK15" s="28"/>
      <c r="EL15" s="32"/>
      <c r="EM15" s="33"/>
      <c r="EN15" s="33"/>
      <c r="EO15" s="33"/>
      <c r="EP15" s="33"/>
      <c r="EQ15" s="33"/>
      <c r="ER15" s="33"/>
      <c r="ES15" s="33"/>
      <c r="ET15" s="33"/>
      <c r="EU15" s="33"/>
      <c r="EV15" s="33"/>
      <c r="EW15" s="33"/>
      <c r="EX15" s="33"/>
      <c r="EY15" s="33"/>
      <c r="EZ15" s="33"/>
      <c r="FA15" s="33"/>
      <c r="FB15" s="33"/>
      <c r="FC15" s="33"/>
      <c r="FD15" s="33"/>
      <c r="FE15" s="33"/>
      <c r="FF15" s="33"/>
      <c r="FG15" s="33"/>
      <c r="FH15" s="33"/>
      <c r="FI15" s="33"/>
      <c r="FJ15" s="33"/>
      <c r="FK15" s="33"/>
      <c r="FL15" s="28"/>
      <c r="FM15" s="32"/>
      <c r="FN15" s="33"/>
      <c r="FO15" s="33"/>
      <c r="FP15" s="33"/>
      <c r="FQ15" s="33"/>
      <c r="FR15" s="33"/>
      <c r="FS15" s="33"/>
      <c r="FT15" s="33"/>
      <c r="FU15" s="33"/>
      <c r="FV15" s="33"/>
      <c r="FW15" s="33"/>
      <c r="FX15" s="33"/>
      <c r="FY15" s="33"/>
      <c r="FZ15" s="33"/>
      <c r="GA15" s="33"/>
      <c r="GB15" s="33"/>
      <c r="GC15" s="33"/>
      <c r="GD15" s="33"/>
      <c r="GE15" s="33"/>
      <c r="GF15" s="33"/>
      <c r="GG15" s="33"/>
      <c r="GH15" s="33"/>
      <c r="GI15" s="33"/>
      <c r="GJ15" s="33"/>
      <c r="GK15" s="33"/>
      <c r="GL15" s="33"/>
      <c r="GM15" s="28"/>
      <c r="GN15" s="32" t="n">
        <v>0.1</v>
      </c>
      <c r="GO15" s="33" t="n">
        <v>1</v>
      </c>
      <c r="GP15" s="33" t="n">
        <v>30</v>
      </c>
      <c r="GQ15" s="33" t="n">
        <v>0</v>
      </c>
      <c r="GR15" s="33" t="n">
        <v>-61</v>
      </c>
      <c r="GS15" s="33" t="n">
        <v>-1</v>
      </c>
      <c r="GT15" s="33" t="n">
        <v>3</v>
      </c>
      <c r="GU15" s="33" t="n">
        <v>15</v>
      </c>
      <c r="GV15" s="33" t="n">
        <v>5</v>
      </c>
      <c r="GW15" s="33" t="n">
        <v>-60</v>
      </c>
      <c r="GX15" s="33" t="n">
        <v>5</v>
      </c>
      <c r="GY15" s="33" t="n">
        <v>1</v>
      </c>
      <c r="GZ15" s="33"/>
      <c r="HA15" s="33"/>
      <c r="HB15" s="33"/>
      <c r="HC15" s="33"/>
      <c r="HD15" s="33"/>
      <c r="HE15" s="33"/>
      <c r="HF15" s="33"/>
      <c r="HG15" s="33"/>
      <c r="HH15" s="33"/>
      <c r="HI15" s="33"/>
      <c r="HJ15" s="33"/>
      <c r="HK15" s="33"/>
      <c r="HL15" s="33"/>
      <c r="HM15" s="33"/>
      <c r="HN15" s="28"/>
      <c r="HO15" s="32"/>
      <c r="HP15" s="33"/>
      <c r="HQ15" s="33"/>
      <c r="HR15" s="33"/>
      <c r="HS15" s="33"/>
      <c r="HT15" s="33"/>
      <c r="HU15" s="33"/>
      <c r="HV15" s="33"/>
      <c r="HW15" s="33"/>
      <c r="HX15" s="33"/>
      <c r="HY15" s="33"/>
      <c r="HZ15" s="33"/>
      <c r="IA15" s="33"/>
      <c r="IB15" s="33"/>
      <c r="IC15" s="33"/>
      <c r="ID15" s="33"/>
      <c r="IE15" s="33"/>
      <c r="IF15" s="33"/>
      <c r="IG15" s="33"/>
      <c r="IH15" s="33"/>
      <c r="II15" s="33"/>
      <c r="IJ15" s="33"/>
      <c r="IK15" s="33"/>
      <c r="IL15" s="33"/>
      <c r="IM15" s="33"/>
      <c r="IN15" s="33"/>
      <c r="IO15" s="28"/>
    </row>
    <row r="16" customFormat="false" ht="14.35" hidden="false" customHeight="false" outlineLevel="0" collapsed="false">
      <c r="A16" s="25" t="str">
        <f aca="false">Neu!B16</f>
        <v>B63</v>
      </c>
      <c r="B16" s="26" t="s">
        <v>44</v>
      </c>
      <c r="C16" s="27"/>
      <c r="D16" s="28" t="n">
        <v>0.01</v>
      </c>
      <c r="E16" s="32" t="n">
        <v>0.04</v>
      </c>
      <c r="F16" s="28" t="n">
        <v>-60</v>
      </c>
      <c r="G16" s="32" t="n">
        <v>25</v>
      </c>
      <c r="H16" s="33" t="n">
        <v>3</v>
      </c>
      <c r="I16" s="33" t="n">
        <v>30</v>
      </c>
      <c r="J16" s="33" t="n">
        <v>0</v>
      </c>
      <c r="K16" s="33" t="n">
        <v>-37</v>
      </c>
      <c r="L16" s="33" t="n">
        <v>5</v>
      </c>
      <c r="M16" s="33" t="n">
        <v>1</v>
      </c>
      <c r="N16" s="33" t="n">
        <v>0.006</v>
      </c>
      <c r="O16" s="33" t="n">
        <v>0.001</v>
      </c>
      <c r="P16" s="33" t="n">
        <v>-43</v>
      </c>
      <c r="Q16" s="33" t="n">
        <v>4</v>
      </c>
      <c r="R16" s="33" t="n">
        <v>1</v>
      </c>
      <c r="S16" s="33"/>
      <c r="T16" s="33"/>
      <c r="U16" s="33"/>
      <c r="V16" s="33" t="n">
        <v>0</v>
      </c>
      <c r="W16" s="33" t="n">
        <v>-43</v>
      </c>
      <c r="X16" s="33" t="n">
        <v>5</v>
      </c>
      <c r="Y16" s="33" t="n">
        <v>1</v>
      </c>
      <c r="Z16" s="33" t="n">
        <v>0.02</v>
      </c>
      <c r="AA16" s="33" t="n">
        <v>0.005</v>
      </c>
      <c r="AB16" s="33" t="n">
        <v>-38</v>
      </c>
      <c r="AC16" s="33" t="n">
        <v>10</v>
      </c>
      <c r="AD16" s="33" t="n">
        <v>1</v>
      </c>
      <c r="AE16" s="33"/>
      <c r="AF16" s="33"/>
      <c r="AG16" s="28"/>
      <c r="AH16" s="32" t="n">
        <v>20</v>
      </c>
      <c r="AI16" s="33" t="n">
        <v>4</v>
      </c>
      <c r="AJ16" s="33" t="n">
        <v>-70</v>
      </c>
      <c r="AK16" s="33" t="n">
        <v>0</v>
      </c>
      <c r="AL16" s="33" t="n">
        <v>-23</v>
      </c>
      <c r="AM16" s="33" t="n">
        <v>9</v>
      </c>
      <c r="AN16" s="33" t="n">
        <v>1</v>
      </c>
      <c r="AO16" s="33" t="n">
        <v>0.04</v>
      </c>
      <c r="AP16" s="33" t="n">
        <v>0.004</v>
      </c>
      <c r="AQ16" s="33" t="n">
        <v>-8</v>
      </c>
      <c r="AR16" s="33" t="n">
        <v>10</v>
      </c>
      <c r="AS16" s="33" t="n">
        <v>1</v>
      </c>
      <c r="AT16" s="33"/>
      <c r="AU16" s="33"/>
      <c r="AV16" s="33"/>
      <c r="AW16" s="33"/>
      <c r="AX16" s="33"/>
      <c r="AY16" s="33"/>
      <c r="AZ16" s="33"/>
      <c r="BA16" s="33"/>
      <c r="BB16" s="33"/>
      <c r="BC16" s="33"/>
      <c r="BD16" s="33"/>
      <c r="BE16" s="33"/>
      <c r="BF16" s="33"/>
      <c r="BG16" s="33"/>
      <c r="BH16" s="28"/>
      <c r="BI16" s="32"/>
      <c r="BJ16" s="33"/>
      <c r="BK16" s="33"/>
      <c r="BL16" s="33"/>
      <c r="BM16" s="33"/>
      <c r="BN16" s="33"/>
      <c r="BO16" s="33"/>
      <c r="BP16" s="33"/>
      <c r="BQ16" s="33"/>
      <c r="BR16" s="33"/>
      <c r="BS16" s="33"/>
      <c r="BT16" s="33"/>
      <c r="BU16" s="33"/>
      <c r="BV16" s="33"/>
      <c r="BW16" s="33"/>
      <c r="BX16" s="33"/>
      <c r="BY16" s="33"/>
      <c r="BZ16" s="33"/>
      <c r="CA16" s="33"/>
      <c r="CB16" s="33"/>
      <c r="CC16" s="33"/>
      <c r="CD16" s="33"/>
      <c r="CE16" s="33"/>
      <c r="CF16" s="33"/>
      <c r="CG16" s="33"/>
      <c r="CH16" s="33"/>
      <c r="CI16" s="28"/>
      <c r="CJ16" s="32"/>
      <c r="CK16" s="33"/>
      <c r="CL16" s="33"/>
      <c r="CM16" s="33"/>
      <c r="CN16" s="33"/>
      <c r="CO16" s="33"/>
      <c r="CP16" s="33"/>
      <c r="CQ16" s="33"/>
      <c r="CR16" s="33"/>
      <c r="CS16" s="33"/>
      <c r="CT16" s="33"/>
      <c r="CU16" s="33"/>
      <c r="CV16" s="33"/>
      <c r="CW16" s="33"/>
      <c r="CX16" s="33"/>
      <c r="CY16" s="33"/>
      <c r="CZ16" s="33"/>
      <c r="DA16" s="33"/>
      <c r="DB16" s="33"/>
      <c r="DC16" s="33"/>
      <c r="DD16" s="33"/>
      <c r="DE16" s="33"/>
      <c r="DF16" s="33"/>
      <c r="DG16" s="33"/>
      <c r="DH16" s="33"/>
      <c r="DI16" s="33"/>
      <c r="DJ16" s="28"/>
      <c r="DK16" s="32"/>
      <c r="DL16" s="33"/>
      <c r="DM16" s="33"/>
      <c r="DN16" s="33"/>
      <c r="DO16" s="33"/>
      <c r="DP16" s="33"/>
      <c r="DQ16" s="33"/>
      <c r="DR16" s="33"/>
      <c r="DS16" s="33"/>
      <c r="DT16" s="33"/>
      <c r="DU16" s="33"/>
      <c r="DV16" s="33"/>
      <c r="DW16" s="33"/>
      <c r="DX16" s="33"/>
      <c r="DY16" s="33"/>
      <c r="DZ16" s="33"/>
      <c r="EA16" s="33"/>
      <c r="EB16" s="33"/>
      <c r="EC16" s="33"/>
      <c r="ED16" s="33"/>
      <c r="EE16" s="33"/>
      <c r="EF16" s="33"/>
      <c r="EG16" s="33"/>
      <c r="EH16" s="33"/>
      <c r="EI16" s="33"/>
      <c r="EJ16" s="33"/>
      <c r="EK16" s="28"/>
      <c r="EL16" s="32"/>
      <c r="EM16" s="33"/>
      <c r="EN16" s="33"/>
      <c r="EO16" s="33"/>
      <c r="EP16" s="33"/>
      <c r="EQ16" s="33"/>
      <c r="ER16" s="33"/>
      <c r="ES16" s="33"/>
      <c r="ET16" s="33"/>
      <c r="EU16" s="33"/>
      <c r="EV16" s="33"/>
      <c r="EW16" s="33"/>
      <c r="EX16" s="33"/>
      <c r="EY16" s="33"/>
      <c r="EZ16" s="33"/>
      <c r="FA16" s="33"/>
      <c r="FB16" s="33"/>
      <c r="FC16" s="33"/>
      <c r="FD16" s="33"/>
      <c r="FE16" s="33"/>
      <c r="FF16" s="33"/>
      <c r="FG16" s="33"/>
      <c r="FH16" s="33"/>
      <c r="FI16" s="33"/>
      <c r="FJ16" s="33"/>
      <c r="FK16" s="33"/>
      <c r="FL16" s="28"/>
      <c r="FM16" s="32"/>
      <c r="FN16" s="33"/>
      <c r="FO16" s="33"/>
      <c r="FP16" s="33"/>
      <c r="FQ16" s="33"/>
      <c r="FR16" s="33"/>
      <c r="FS16" s="33"/>
      <c r="FT16" s="33"/>
      <c r="FU16" s="33"/>
      <c r="FV16" s="33"/>
      <c r="FW16" s="33"/>
      <c r="FX16" s="33"/>
      <c r="FY16" s="33"/>
      <c r="FZ16" s="33"/>
      <c r="GA16" s="33"/>
      <c r="GB16" s="33"/>
      <c r="GC16" s="33"/>
      <c r="GD16" s="33"/>
      <c r="GE16" s="33"/>
      <c r="GF16" s="33"/>
      <c r="GG16" s="33"/>
      <c r="GH16" s="33"/>
      <c r="GI16" s="33"/>
      <c r="GJ16" s="33"/>
      <c r="GK16" s="33"/>
      <c r="GL16" s="33"/>
      <c r="GM16" s="28"/>
      <c r="GN16" s="32"/>
      <c r="GO16" s="33"/>
      <c r="GP16" s="33"/>
      <c r="GQ16" s="33"/>
      <c r="GR16" s="33"/>
      <c r="GS16" s="33"/>
      <c r="GT16" s="33"/>
      <c r="GU16" s="33"/>
      <c r="GV16" s="33"/>
      <c r="GW16" s="33"/>
      <c r="GX16" s="33"/>
      <c r="GY16" s="33"/>
      <c r="GZ16" s="33"/>
      <c r="HA16" s="33"/>
      <c r="HB16" s="33"/>
      <c r="HC16" s="33"/>
      <c r="HD16" s="33"/>
      <c r="HE16" s="33"/>
      <c r="HF16" s="33"/>
      <c r="HG16" s="33"/>
      <c r="HH16" s="33"/>
      <c r="HI16" s="33"/>
      <c r="HJ16" s="33"/>
      <c r="HK16" s="33"/>
      <c r="HL16" s="33"/>
      <c r="HM16" s="33"/>
      <c r="HN16" s="28"/>
      <c r="HO16" s="32"/>
      <c r="HP16" s="33"/>
      <c r="HQ16" s="33"/>
      <c r="HR16" s="33"/>
      <c r="HS16" s="33"/>
      <c r="HT16" s="33"/>
      <c r="HU16" s="33"/>
      <c r="HV16" s="33"/>
      <c r="HW16" s="33"/>
      <c r="HX16" s="33"/>
      <c r="HY16" s="33"/>
      <c r="HZ16" s="33"/>
      <c r="IA16" s="33"/>
      <c r="IB16" s="33"/>
      <c r="IC16" s="33"/>
      <c r="ID16" s="33"/>
      <c r="IE16" s="33"/>
      <c r="IF16" s="33"/>
      <c r="IG16" s="33"/>
      <c r="IH16" s="33"/>
      <c r="II16" s="33"/>
      <c r="IJ16" s="33"/>
      <c r="IK16" s="33"/>
      <c r="IL16" s="33"/>
      <c r="IM16" s="33"/>
      <c r="IN16" s="33"/>
      <c r="IO16" s="28"/>
    </row>
    <row r="17" customFormat="false" ht="14.35" hidden="false" customHeight="false" outlineLevel="0" collapsed="false">
      <c r="A17" s="25" t="str">
        <f aca="false">Neu!B17</f>
        <v>B64s</v>
      </c>
      <c r="B17" s="26" t="s">
        <v>45</v>
      </c>
      <c r="C17" s="27"/>
      <c r="D17" s="28" t="n">
        <v>0.01</v>
      </c>
      <c r="E17" s="32" t="n">
        <v>0.08</v>
      </c>
      <c r="F17" s="28" t="n">
        <v>-60</v>
      </c>
      <c r="G17" s="32" t="n">
        <v>2.5</v>
      </c>
      <c r="H17" s="33" t="n">
        <v>3</v>
      </c>
      <c r="I17" s="33" t="n">
        <v>30</v>
      </c>
      <c r="J17" s="33" t="n">
        <v>0</v>
      </c>
      <c r="K17" s="33" t="n">
        <v>-37</v>
      </c>
      <c r="L17" s="33" t="n">
        <v>5</v>
      </c>
      <c r="M17" s="33" t="n">
        <v>1</v>
      </c>
      <c r="N17" s="33" t="n">
        <v>0.006</v>
      </c>
      <c r="O17" s="33" t="n">
        <v>0.001</v>
      </c>
      <c r="P17" s="33" t="n">
        <v>-43</v>
      </c>
      <c r="Q17" s="33" t="n">
        <v>4</v>
      </c>
      <c r="R17" s="33" t="n">
        <v>1</v>
      </c>
      <c r="S17" s="33"/>
      <c r="T17" s="33"/>
      <c r="U17" s="33"/>
      <c r="V17" s="33" t="n">
        <v>0</v>
      </c>
      <c r="W17" s="33" t="n">
        <v>-43</v>
      </c>
      <c r="X17" s="33" t="n">
        <v>5</v>
      </c>
      <c r="Y17" s="33" t="n">
        <v>1</v>
      </c>
      <c r="Z17" s="33" t="n">
        <v>0.02</v>
      </c>
      <c r="AA17" s="33" t="n">
        <v>0.005</v>
      </c>
      <c r="AB17" s="33" t="n">
        <v>-38</v>
      </c>
      <c r="AC17" s="33" t="n">
        <v>10</v>
      </c>
      <c r="AD17" s="33" t="n">
        <v>1</v>
      </c>
      <c r="AE17" s="33"/>
      <c r="AF17" s="33"/>
      <c r="AG17" s="28"/>
      <c r="AH17" s="32" t="n">
        <v>1.6</v>
      </c>
      <c r="AI17" s="33" t="n">
        <v>4</v>
      </c>
      <c r="AJ17" s="33" t="n">
        <v>-80</v>
      </c>
      <c r="AK17" s="33" t="n">
        <v>0</v>
      </c>
      <c r="AL17" s="33" t="n">
        <v>-23</v>
      </c>
      <c r="AM17" s="33" t="n">
        <v>9</v>
      </c>
      <c r="AN17" s="33" t="n">
        <v>1</v>
      </c>
      <c r="AO17" s="33" t="n">
        <v>0.04</v>
      </c>
      <c r="AP17" s="33" t="n">
        <v>0.004</v>
      </c>
      <c r="AQ17" s="33" t="n">
        <v>-8</v>
      </c>
      <c r="AR17" s="33" t="n">
        <v>10</v>
      </c>
      <c r="AS17" s="33" t="n">
        <v>1</v>
      </c>
      <c r="AT17" s="33"/>
      <c r="AU17" s="33"/>
      <c r="AV17" s="33"/>
      <c r="AW17" s="33"/>
      <c r="AX17" s="33"/>
      <c r="AY17" s="33"/>
      <c r="AZ17" s="33"/>
      <c r="BA17" s="33"/>
      <c r="BB17" s="33"/>
      <c r="BC17" s="33"/>
      <c r="BD17" s="33"/>
      <c r="BE17" s="33"/>
      <c r="BF17" s="33"/>
      <c r="BG17" s="33"/>
      <c r="BH17" s="28"/>
      <c r="BI17" s="32"/>
      <c r="BJ17" s="33"/>
      <c r="BK17" s="33"/>
      <c r="BL17" s="33"/>
      <c r="BM17" s="33"/>
      <c r="BN17" s="33"/>
      <c r="BO17" s="33"/>
      <c r="BP17" s="33"/>
      <c r="BQ17" s="33"/>
      <c r="BR17" s="33"/>
      <c r="BS17" s="33"/>
      <c r="BT17" s="33"/>
      <c r="BU17" s="33"/>
      <c r="BV17" s="33"/>
      <c r="BW17" s="33"/>
      <c r="BX17" s="33"/>
      <c r="BY17" s="33"/>
      <c r="BZ17" s="33"/>
      <c r="CA17" s="33"/>
      <c r="CB17" s="33"/>
      <c r="CC17" s="33"/>
      <c r="CD17" s="33"/>
      <c r="CE17" s="33"/>
      <c r="CF17" s="33"/>
      <c r="CG17" s="33"/>
      <c r="CH17" s="33"/>
      <c r="CI17" s="28"/>
      <c r="CJ17" s="32"/>
      <c r="CK17" s="33"/>
      <c r="CL17" s="33"/>
      <c r="CM17" s="33"/>
      <c r="CN17" s="33"/>
      <c r="CO17" s="33"/>
      <c r="CP17" s="33"/>
      <c r="CQ17" s="33"/>
      <c r="CR17" s="33"/>
      <c r="CS17" s="33"/>
      <c r="CT17" s="33"/>
      <c r="CU17" s="33"/>
      <c r="CV17" s="33"/>
      <c r="CW17" s="33"/>
      <c r="CX17" s="33"/>
      <c r="CY17" s="33"/>
      <c r="CZ17" s="33"/>
      <c r="DA17" s="33"/>
      <c r="DB17" s="33"/>
      <c r="DC17" s="33"/>
      <c r="DD17" s="33"/>
      <c r="DE17" s="33"/>
      <c r="DF17" s="33"/>
      <c r="DG17" s="33"/>
      <c r="DH17" s="33"/>
      <c r="DI17" s="33"/>
      <c r="DJ17" s="28"/>
      <c r="DK17" s="32"/>
      <c r="DL17" s="33"/>
      <c r="DM17" s="33"/>
      <c r="DN17" s="33"/>
      <c r="DO17" s="33"/>
      <c r="DP17" s="33"/>
      <c r="DQ17" s="33"/>
      <c r="DR17" s="33"/>
      <c r="DS17" s="33"/>
      <c r="DT17" s="33"/>
      <c r="DU17" s="33"/>
      <c r="DV17" s="33"/>
      <c r="DW17" s="33"/>
      <c r="DX17" s="33"/>
      <c r="DY17" s="33"/>
      <c r="DZ17" s="33"/>
      <c r="EA17" s="33"/>
      <c r="EB17" s="33"/>
      <c r="EC17" s="33"/>
      <c r="ED17" s="33"/>
      <c r="EE17" s="33"/>
      <c r="EF17" s="33"/>
      <c r="EG17" s="33"/>
      <c r="EH17" s="33"/>
      <c r="EI17" s="33"/>
      <c r="EJ17" s="33"/>
      <c r="EK17" s="28"/>
      <c r="EL17" s="32"/>
      <c r="EM17" s="33"/>
      <c r="EN17" s="33"/>
      <c r="EO17" s="33"/>
      <c r="EP17" s="33"/>
      <c r="EQ17" s="33"/>
      <c r="ER17" s="33"/>
      <c r="ES17" s="33"/>
      <c r="ET17" s="33"/>
      <c r="EU17" s="33"/>
      <c r="EV17" s="33"/>
      <c r="EW17" s="33"/>
      <c r="EX17" s="33"/>
      <c r="EY17" s="33"/>
      <c r="EZ17" s="33"/>
      <c r="FA17" s="33"/>
      <c r="FB17" s="33"/>
      <c r="FC17" s="33"/>
      <c r="FD17" s="33"/>
      <c r="FE17" s="33"/>
      <c r="FF17" s="33"/>
      <c r="FG17" s="33"/>
      <c r="FH17" s="33"/>
      <c r="FI17" s="33"/>
      <c r="FJ17" s="33"/>
      <c r="FK17" s="33"/>
      <c r="FL17" s="28"/>
      <c r="FM17" s="32" t="n">
        <v>0.1</v>
      </c>
      <c r="FN17" s="33" t="n">
        <v>1</v>
      </c>
      <c r="FO17" s="33" t="n">
        <v>30</v>
      </c>
      <c r="FP17" s="33" t="n">
        <v>0</v>
      </c>
      <c r="FQ17" s="33" t="n">
        <v>-50</v>
      </c>
      <c r="FR17" s="33" t="n">
        <v>1</v>
      </c>
      <c r="FS17" s="33" t="n">
        <v>1</v>
      </c>
      <c r="FT17" s="33" t="n">
        <v>0.1</v>
      </c>
      <c r="FU17" s="33"/>
      <c r="FV17" s="33"/>
      <c r="FW17" s="33"/>
      <c r="FX17" s="33"/>
      <c r="FY17" s="33"/>
      <c r="FZ17" s="33"/>
      <c r="GA17" s="33"/>
      <c r="GB17" s="33"/>
      <c r="GC17" s="33"/>
      <c r="GD17" s="33"/>
      <c r="GE17" s="33"/>
      <c r="GF17" s="33"/>
      <c r="GG17" s="33"/>
      <c r="GH17" s="33"/>
      <c r="GI17" s="33"/>
      <c r="GJ17" s="33"/>
      <c r="GK17" s="33"/>
      <c r="GL17" s="33"/>
      <c r="GM17" s="28"/>
      <c r="GN17" s="32"/>
      <c r="GO17" s="33"/>
      <c r="GP17" s="33"/>
      <c r="GQ17" s="33"/>
      <c r="GR17" s="33"/>
      <c r="GS17" s="33"/>
      <c r="GT17" s="33"/>
      <c r="GU17" s="33"/>
      <c r="GV17" s="33"/>
      <c r="GW17" s="33"/>
      <c r="GX17" s="33"/>
      <c r="GY17" s="33"/>
      <c r="GZ17" s="33"/>
      <c r="HA17" s="33"/>
      <c r="HB17" s="33"/>
      <c r="HC17" s="33"/>
      <c r="HD17" s="33"/>
      <c r="HE17" s="33"/>
      <c r="HF17" s="33"/>
      <c r="HG17" s="33"/>
      <c r="HH17" s="33"/>
      <c r="HI17" s="33"/>
      <c r="HJ17" s="33"/>
      <c r="HK17" s="33"/>
      <c r="HL17" s="33"/>
      <c r="HM17" s="33"/>
      <c r="HN17" s="28"/>
      <c r="HO17" s="1" t="n">
        <v>0.35</v>
      </c>
      <c r="HP17" s="33" t="n">
        <v>1</v>
      </c>
      <c r="HQ17" s="33" t="n">
        <v>-70</v>
      </c>
      <c r="HR17" s="33" t="n">
        <v>0</v>
      </c>
      <c r="HS17" s="33" t="n">
        <v>-50</v>
      </c>
      <c r="HT17" s="33" t="n">
        <v>1</v>
      </c>
      <c r="HU17" s="33" t="n">
        <v>1</v>
      </c>
      <c r="HV17" s="33" t="n">
        <v>7</v>
      </c>
      <c r="HW17" s="33"/>
      <c r="HX17" s="33"/>
      <c r="HY17" s="33"/>
      <c r="HZ17" s="33"/>
      <c r="IA17" s="33"/>
      <c r="IB17" s="33"/>
      <c r="IC17" s="33"/>
      <c r="ID17" s="33"/>
      <c r="IE17" s="33"/>
      <c r="IF17" s="33"/>
      <c r="IG17" s="33"/>
      <c r="IH17" s="33"/>
      <c r="II17" s="33"/>
      <c r="IJ17" s="33"/>
      <c r="IK17" s="33"/>
      <c r="IL17" s="33"/>
      <c r="IM17" s="33"/>
      <c r="IN17" s="33"/>
      <c r="IO17" s="28"/>
    </row>
    <row r="18" customFormat="false" ht="14.35" hidden="false" customHeight="false" outlineLevel="0" collapsed="false">
      <c r="A18" s="25" t="str">
        <f aca="false">Neu!B18</f>
        <v>B64a</v>
      </c>
      <c r="B18" s="26" t="s">
        <v>46</v>
      </c>
      <c r="C18" s="27"/>
      <c r="D18" s="28" t="n">
        <v>0.01</v>
      </c>
      <c r="E18" s="32" t="n">
        <v>0.1</v>
      </c>
      <c r="F18" s="28" t="n">
        <v>-60</v>
      </c>
      <c r="G18" s="32" t="n">
        <v>25</v>
      </c>
      <c r="H18" s="33" t="n">
        <v>3</v>
      </c>
      <c r="I18" s="33" t="n">
        <v>30</v>
      </c>
      <c r="J18" s="33" t="n">
        <v>0</v>
      </c>
      <c r="K18" s="33" t="n">
        <v>-37</v>
      </c>
      <c r="L18" s="33" t="n">
        <v>5</v>
      </c>
      <c r="M18" s="33" t="n">
        <v>1</v>
      </c>
      <c r="N18" s="33" t="n">
        <v>0.006</v>
      </c>
      <c r="O18" s="33" t="n">
        <v>0.001</v>
      </c>
      <c r="P18" s="33" t="n">
        <v>-43</v>
      </c>
      <c r="Q18" s="33" t="n">
        <v>4</v>
      </c>
      <c r="R18" s="33" t="n">
        <v>1</v>
      </c>
      <c r="S18" s="33"/>
      <c r="T18" s="33"/>
      <c r="U18" s="33"/>
      <c r="V18" s="33" t="n">
        <v>0</v>
      </c>
      <c r="W18" s="33" t="n">
        <v>-43</v>
      </c>
      <c r="X18" s="33" t="n">
        <v>5</v>
      </c>
      <c r="Y18" s="33" t="n">
        <v>1</v>
      </c>
      <c r="Z18" s="33" t="n">
        <v>0.02</v>
      </c>
      <c r="AA18" s="33" t="n">
        <v>0.005</v>
      </c>
      <c r="AB18" s="33" t="n">
        <v>-38</v>
      </c>
      <c r="AC18" s="33" t="n">
        <v>10</v>
      </c>
      <c r="AD18" s="33" t="n">
        <v>1</v>
      </c>
      <c r="AE18" s="33"/>
      <c r="AF18" s="33"/>
      <c r="AG18" s="28"/>
      <c r="AH18" s="32" t="n">
        <v>28</v>
      </c>
      <c r="AI18" s="33" t="n">
        <v>4</v>
      </c>
      <c r="AJ18" s="33" t="n">
        <v>-70</v>
      </c>
      <c r="AK18" s="33" t="n">
        <v>0</v>
      </c>
      <c r="AL18" s="33" t="n">
        <v>-23</v>
      </c>
      <c r="AM18" s="33" t="n">
        <v>9</v>
      </c>
      <c r="AN18" s="33" t="n">
        <v>1</v>
      </c>
      <c r="AO18" s="33" t="n">
        <v>0.04</v>
      </c>
      <c r="AP18" s="33" t="n">
        <v>0.004</v>
      </c>
      <c r="AQ18" s="33" t="n">
        <v>-8</v>
      </c>
      <c r="AR18" s="33" t="n">
        <v>10</v>
      </c>
      <c r="AS18" s="33" t="n">
        <v>1</v>
      </c>
      <c r="AT18" s="33"/>
      <c r="AU18" s="33"/>
      <c r="AV18" s="33"/>
      <c r="AW18" s="33"/>
      <c r="AX18" s="33"/>
      <c r="AY18" s="33"/>
      <c r="AZ18" s="33"/>
      <c r="BA18" s="33"/>
      <c r="BB18" s="33"/>
      <c r="BC18" s="33"/>
      <c r="BD18" s="33"/>
      <c r="BE18" s="33"/>
      <c r="BF18" s="33"/>
      <c r="BG18" s="33"/>
      <c r="BH18" s="28"/>
      <c r="BI18" s="32"/>
      <c r="BJ18" s="33"/>
      <c r="BK18" s="33"/>
      <c r="BL18" s="33"/>
      <c r="BM18" s="33"/>
      <c r="BN18" s="33"/>
      <c r="BO18" s="33"/>
      <c r="BP18" s="33"/>
      <c r="BQ18" s="33"/>
      <c r="BR18" s="33"/>
      <c r="BS18" s="33"/>
      <c r="BT18" s="33"/>
      <c r="BU18" s="33"/>
      <c r="BV18" s="33"/>
      <c r="BW18" s="33"/>
      <c r="BX18" s="33"/>
      <c r="BY18" s="33"/>
      <c r="BZ18" s="33"/>
      <c r="CA18" s="33"/>
      <c r="CB18" s="33"/>
      <c r="CC18" s="33"/>
      <c r="CD18" s="33"/>
      <c r="CE18" s="33"/>
      <c r="CF18" s="33"/>
      <c r="CG18" s="33"/>
      <c r="CH18" s="33"/>
      <c r="CI18" s="28"/>
      <c r="CJ18" s="32"/>
      <c r="CK18" s="33"/>
      <c r="CL18" s="33"/>
      <c r="CM18" s="33"/>
      <c r="CN18" s="33"/>
      <c r="CO18" s="33"/>
      <c r="CP18" s="33"/>
      <c r="CQ18" s="33"/>
      <c r="CR18" s="33"/>
      <c r="CS18" s="33"/>
      <c r="CT18" s="33"/>
      <c r="CU18" s="33"/>
      <c r="CV18" s="33"/>
      <c r="CW18" s="33"/>
      <c r="CX18" s="33"/>
      <c r="CY18" s="33"/>
      <c r="CZ18" s="33"/>
      <c r="DA18" s="33"/>
      <c r="DB18" s="33"/>
      <c r="DC18" s="33"/>
      <c r="DD18" s="33"/>
      <c r="DE18" s="33"/>
      <c r="DF18" s="33"/>
      <c r="DG18" s="33"/>
      <c r="DH18" s="33"/>
      <c r="DI18" s="33"/>
      <c r="DJ18" s="28"/>
      <c r="DK18" s="32"/>
      <c r="DL18" s="33"/>
      <c r="DM18" s="33"/>
      <c r="DN18" s="33"/>
      <c r="DO18" s="33"/>
      <c r="DP18" s="33"/>
      <c r="DQ18" s="33"/>
      <c r="DR18" s="33"/>
      <c r="DS18" s="33"/>
      <c r="DT18" s="33"/>
      <c r="DU18" s="33"/>
      <c r="DV18" s="33"/>
      <c r="DW18" s="33"/>
      <c r="DX18" s="33"/>
      <c r="DY18" s="33"/>
      <c r="DZ18" s="33"/>
      <c r="EA18" s="33"/>
      <c r="EB18" s="33"/>
      <c r="EC18" s="33"/>
      <c r="ED18" s="33"/>
      <c r="EE18" s="33"/>
      <c r="EF18" s="33"/>
      <c r="EG18" s="33"/>
      <c r="EH18" s="33"/>
      <c r="EI18" s="33"/>
      <c r="EJ18" s="33"/>
      <c r="EK18" s="28"/>
      <c r="EL18" s="32"/>
      <c r="EM18" s="33"/>
      <c r="EN18" s="33"/>
      <c r="EO18" s="33"/>
      <c r="EP18" s="33"/>
      <c r="EQ18" s="33"/>
      <c r="ER18" s="33"/>
      <c r="ES18" s="33"/>
      <c r="ET18" s="33"/>
      <c r="EU18" s="33"/>
      <c r="EV18" s="33"/>
      <c r="EW18" s="33"/>
      <c r="EX18" s="33"/>
      <c r="EY18" s="33"/>
      <c r="EZ18" s="33"/>
      <c r="FA18" s="33"/>
      <c r="FB18" s="33"/>
      <c r="FC18" s="33"/>
      <c r="FD18" s="33"/>
      <c r="FE18" s="33"/>
      <c r="FF18" s="33"/>
      <c r="FG18" s="33"/>
      <c r="FH18" s="33"/>
      <c r="FI18" s="33"/>
      <c r="FJ18" s="33"/>
      <c r="FK18" s="33"/>
      <c r="FL18" s="28"/>
      <c r="FM18" s="32"/>
      <c r="FN18" s="33"/>
      <c r="FO18" s="33"/>
      <c r="FP18" s="33"/>
      <c r="FQ18" s="33"/>
      <c r="FR18" s="33"/>
      <c r="FS18" s="33"/>
      <c r="FT18" s="33"/>
      <c r="FU18" s="33"/>
      <c r="FV18" s="33"/>
      <c r="FW18" s="33"/>
      <c r="FX18" s="33"/>
      <c r="FY18" s="33"/>
      <c r="FZ18" s="33"/>
      <c r="GA18" s="33"/>
      <c r="GB18" s="33"/>
      <c r="GC18" s="33"/>
      <c r="GD18" s="33"/>
      <c r="GE18" s="33"/>
      <c r="GF18" s="33"/>
      <c r="GG18" s="33"/>
      <c r="GH18" s="33"/>
      <c r="GI18" s="33"/>
      <c r="GJ18" s="33"/>
      <c r="GK18" s="33"/>
      <c r="GL18" s="33"/>
      <c r="GM18" s="28"/>
      <c r="GN18" s="32"/>
      <c r="GO18" s="33"/>
      <c r="GP18" s="33"/>
      <c r="GQ18" s="33"/>
      <c r="GR18" s="33"/>
      <c r="GS18" s="33"/>
      <c r="GT18" s="33"/>
      <c r="GU18" s="33"/>
      <c r="GV18" s="33"/>
      <c r="GW18" s="33"/>
      <c r="GX18" s="33"/>
      <c r="GY18" s="33"/>
      <c r="GZ18" s="33"/>
      <c r="HA18" s="33"/>
      <c r="HB18" s="33"/>
      <c r="HC18" s="33"/>
      <c r="HD18" s="33"/>
      <c r="HE18" s="33"/>
      <c r="HF18" s="33"/>
      <c r="HG18" s="33"/>
      <c r="HH18" s="33"/>
      <c r="HI18" s="33"/>
      <c r="HJ18" s="33"/>
      <c r="HK18" s="33"/>
      <c r="HL18" s="33"/>
      <c r="HM18" s="33"/>
      <c r="HN18" s="28"/>
      <c r="HO18" s="32"/>
      <c r="HP18" s="33"/>
      <c r="HQ18" s="33"/>
      <c r="HR18" s="33"/>
      <c r="HS18" s="33"/>
      <c r="HT18" s="33"/>
      <c r="HU18" s="33"/>
      <c r="HV18" s="33"/>
      <c r="HW18" s="33"/>
      <c r="HX18" s="33"/>
      <c r="HY18" s="33"/>
      <c r="HZ18" s="33"/>
      <c r="IA18" s="33"/>
      <c r="IB18" s="33"/>
      <c r="IC18" s="33"/>
      <c r="ID18" s="33"/>
      <c r="IE18" s="33"/>
      <c r="IF18" s="33"/>
      <c r="IG18" s="33"/>
      <c r="IH18" s="33"/>
      <c r="II18" s="33"/>
      <c r="IJ18" s="33"/>
      <c r="IK18" s="33"/>
      <c r="IL18" s="33"/>
      <c r="IM18" s="33"/>
      <c r="IN18" s="33"/>
      <c r="IO18" s="28"/>
    </row>
    <row r="19" customFormat="false" ht="14.35" hidden="false" customHeight="false" outlineLevel="0" collapsed="false">
      <c r="A19" s="25" t="str">
        <f aca="false">Neu!B19</f>
        <v>B65</v>
      </c>
      <c r="B19" s="26" t="s">
        <v>47</v>
      </c>
      <c r="C19" s="27"/>
      <c r="D19" s="28" t="n">
        <v>0.01</v>
      </c>
      <c r="E19" s="32" t="n">
        <v>0.08</v>
      </c>
      <c r="F19" s="28" t="n">
        <v>-55</v>
      </c>
      <c r="G19" s="32" t="n">
        <v>25</v>
      </c>
      <c r="H19" s="33" t="n">
        <v>3</v>
      </c>
      <c r="I19" s="33" t="n">
        <v>30</v>
      </c>
      <c r="J19" s="33" t="n">
        <v>0</v>
      </c>
      <c r="K19" s="33" t="n">
        <v>-37</v>
      </c>
      <c r="L19" s="33" t="n">
        <v>5</v>
      </c>
      <c r="M19" s="33" t="n">
        <v>1</v>
      </c>
      <c r="N19" s="33" t="n">
        <v>0.006</v>
      </c>
      <c r="O19" s="33" t="n">
        <v>0.001</v>
      </c>
      <c r="P19" s="33" t="n">
        <v>-43</v>
      </c>
      <c r="Q19" s="33" t="n">
        <v>4</v>
      </c>
      <c r="R19" s="33" t="n">
        <v>1</v>
      </c>
      <c r="S19" s="33"/>
      <c r="T19" s="33"/>
      <c r="U19" s="33"/>
      <c r="V19" s="33" t="n">
        <v>0</v>
      </c>
      <c r="W19" s="33" t="n">
        <v>-43</v>
      </c>
      <c r="X19" s="33" t="n">
        <v>5</v>
      </c>
      <c r="Y19" s="33" t="n">
        <v>1</v>
      </c>
      <c r="Z19" s="33" t="n">
        <v>0.02</v>
      </c>
      <c r="AA19" s="33" t="n">
        <v>0.005</v>
      </c>
      <c r="AB19" s="33" t="n">
        <v>-38</v>
      </c>
      <c r="AC19" s="33" t="n">
        <v>10</v>
      </c>
      <c r="AD19" s="33" t="n">
        <v>1</v>
      </c>
      <c r="AE19" s="33"/>
      <c r="AF19" s="33"/>
      <c r="AG19" s="28"/>
      <c r="AH19" s="32" t="n">
        <v>19</v>
      </c>
      <c r="AI19" s="33" t="n">
        <v>4</v>
      </c>
      <c r="AJ19" s="33" t="n">
        <v>-70</v>
      </c>
      <c r="AK19" s="33" t="n">
        <v>0</v>
      </c>
      <c r="AL19" s="33" t="n">
        <v>-23</v>
      </c>
      <c r="AM19" s="33" t="n">
        <v>9</v>
      </c>
      <c r="AN19" s="33" t="n">
        <v>1</v>
      </c>
      <c r="AO19" s="33" t="n">
        <v>0.2</v>
      </c>
      <c r="AP19" s="33" t="n">
        <v>0.004</v>
      </c>
      <c r="AQ19" s="33" t="n">
        <v>-8</v>
      </c>
      <c r="AR19" s="33" t="n">
        <v>10</v>
      </c>
      <c r="AS19" s="33" t="n">
        <v>1</v>
      </c>
      <c r="AT19" s="33"/>
      <c r="AU19" s="33"/>
      <c r="AV19" s="33"/>
      <c r="AW19" s="33"/>
      <c r="AX19" s="33"/>
      <c r="AY19" s="33"/>
      <c r="AZ19" s="33"/>
      <c r="BA19" s="33"/>
      <c r="BB19" s="33"/>
      <c r="BC19" s="33"/>
      <c r="BD19" s="33"/>
      <c r="BE19" s="33"/>
      <c r="BF19" s="33"/>
      <c r="BG19" s="33"/>
      <c r="BH19" s="28"/>
      <c r="BI19" s="32"/>
      <c r="BJ19" s="33"/>
      <c r="BK19" s="33"/>
      <c r="BL19" s="33"/>
      <c r="BM19" s="33"/>
      <c r="BN19" s="33"/>
      <c r="BO19" s="33"/>
      <c r="BP19" s="33"/>
      <c r="BQ19" s="33"/>
      <c r="BR19" s="33"/>
      <c r="BS19" s="33"/>
      <c r="BT19" s="33"/>
      <c r="BU19" s="33"/>
      <c r="BV19" s="33"/>
      <c r="BW19" s="33"/>
      <c r="BX19" s="33"/>
      <c r="BY19" s="33"/>
      <c r="BZ19" s="33"/>
      <c r="CA19" s="33"/>
      <c r="CB19" s="33"/>
      <c r="CC19" s="33"/>
      <c r="CD19" s="33"/>
      <c r="CE19" s="33"/>
      <c r="CF19" s="33"/>
      <c r="CG19" s="33"/>
      <c r="CH19" s="33"/>
      <c r="CI19" s="28"/>
      <c r="CJ19" s="32"/>
      <c r="CK19" s="33"/>
      <c r="CL19" s="33"/>
      <c r="CM19" s="33"/>
      <c r="CN19" s="33"/>
      <c r="CO19" s="33"/>
      <c r="CP19" s="33"/>
      <c r="CQ19" s="33"/>
      <c r="CR19" s="33"/>
      <c r="CS19" s="33"/>
      <c r="CT19" s="33"/>
      <c r="CU19" s="33"/>
      <c r="CV19" s="33"/>
      <c r="CW19" s="33"/>
      <c r="CX19" s="33"/>
      <c r="CY19" s="33"/>
      <c r="CZ19" s="33"/>
      <c r="DA19" s="33"/>
      <c r="DB19" s="33"/>
      <c r="DC19" s="33"/>
      <c r="DD19" s="33"/>
      <c r="DE19" s="33"/>
      <c r="DF19" s="33"/>
      <c r="DG19" s="33"/>
      <c r="DH19" s="33"/>
      <c r="DI19" s="33"/>
      <c r="DJ19" s="28"/>
      <c r="DK19" s="32"/>
      <c r="DL19" s="33"/>
      <c r="DM19" s="33"/>
      <c r="DN19" s="33"/>
      <c r="DO19" s="33"/>
      <c r="DP19" s="33"/>
      <c r="DQ19" s="33"/>
      <c r="DR19" s="33"/>
      <c r="DS19" s="33"/>
      <c r="DT19" s="33"/>
      <c r="DU19" s="33"/>
      <c r="DV19" s="33"/>
      <c r="DW19" s="33"/>
      <c r="DX19" s="33"/>
      <c r="DY19" s="33"/>
      <c r="DZ19" s="33"/>
      <c r="EA19" s="33"/>
      <c r="EB19" s="33"/>
      <c r="EC19" s="33"/>
      <c r="ED19" s="33"/>
      <c r="EE19" s="33"/>
      <c r="EF19" s="33"/>
      <c r="EG19" s="33"/>
      <c r="EH19" s="33"/>
      <c r="EI19" s="33"/>
      <c r="EJ19" s="33"/>
      <c r="EK19" s="28"/>
      <c r="EL19" s="32"/>
      <c r="EM19" s="33"/>
      <c r="EN19" s="33"/>
      <c r="EO19" s="33"/>
      <c r="EP19" s="33"/>
      <c r="EQ19" s="33"/>
      <c r="ER19" s="33"/>
      <c r="ES19" s="33"/>
      <c r="ET19" s="33"/>
      <c r="EU19" s="33"/>
      <c r="EV19" s="33"/>
      <c r="EW19" s="33"/>
      <c r="EX19" s="33"/>
      <c r="EY19" s="33"/>
      <c r="EZ19" s="33"/>
      <c r="FA19" s="33"/>
      <c r="FB19" s="33"/>
      <c r="FC19" s="33"/>
      <c r="FD19" s="33"/>
      <c r="FE19" s="33"/>
      <c r="FF19" s="33"/>
      <c r="FG19" s="33"/>
      <c r="FH19" s="33"/>
      <c r="FI19" s="33"/>
      <c r="FJ19" s="33"/>
      <c r="FK19" s="33"/>
      <c r="FL19" s="28"/>
      <c r="FM19" s="32" t="n">
        <v>0.3</v>
      </c>
      <c r="FN19" s="33" t="n">
        <v>1</v>
      </c>
      <c r="FO19" s="33" t="n">
        <v>-40</v>
      </c>
      <c r="FP19" s="33" t="n">
        <v>0</v>
      </c>
      <c r="FQ19" s="33" t="n">
        <v>-45</v>
      </c>
      <c r="FR19" s="33" t="n">
        <v>5</v>
      </c>
      <c r="FS19" s="33" t="n">
        <v>3</v>
      </c>
      <c r="FT19" s="33" t="n">
        <v>2</v>
      </c>
      <c r="FU19" s="33"/>
      <c r="FV19" s="33"/>
      <c r="FW19" s="33"/>
      <c r="FX19" s="33"/>
      <c r="FY19" s="33"/>
      <c r="FZ19" s="33"/>
      <c r="GA19" s="33"/>
      <c r="GB19" s="33"/>
      <c r="GC19" s="33"/>
      <c r="GD19" s="33"/>
      <c r="GE19" s="33"/>
      <c r="GF19" s="33"/>
      <c r="GG19" s="33"/>
      <c r="GH19" s="33"/>
      <c r="GI19" s="33"/>
      <c r="GJ19" s="33"/>
      <c r="GK19" s="33"/>
      <c r="GL19" s="33"/>
      <c r="GM19" s="28"/>
      <c r="GN19" s="32"/>
      <c r="GO19" s="33"/>
      <c r="GP19" s="33"/>
      <c r="GQ19" s="33"/>
      <c r="GR19" s="33"/>
      <c r="GS19" s="33"/>
      <c r="GT19" s="33"/>
      <c r="GU19" s="33"/>
      <c r="GV19" s="33"/>
      <c r="GW19" s="33"/>
      <c r="GX19" s="33"/>
      <c r="GY19" s="33"/>
      <c r="GZ19" s="33"/>
      <c r="HA19" s="33"/>
      <c r="HB19" s="33"/>
      <c r="HC19" s="33"/>
      <c r="HD19" s="33"/>
      <c r="HE19" s="33"/>
      <c r="HF19" s="33"/>
      <c r="HG19" s="33"/>
      <c r="HH19" s="33"/>
      <c r="HI19" s="33"/>
      <c r="HJ19" s="33"/>
      <c r="HK19" s="33"/>
      <c r="HL19" s="33"/>
      <c r="HM19" s="33"/>
      <c r="HN19" s="28"/>
      <c r="HO19" s="32" t="n">
        <v>0.01</v>
      </c>
      <c r="HP19" s="33" t="n">
        <v>1</v>
      </c>
      <c r="HQ19" s="33" t="n">
        <v>-60</v>
      </c>
      <c r="HR19" s="33" t="n">
        <v>0</v>
      </c>
      <c r="HS19" s="33" t="n">
        <v>-40</v>
      </c>
      <c r="HT19" s="33" t="n">
        <v>-5</v>
      </c>
      <c r="HU19" s="33" t="n">
        <v>4</v>
      </c>
      <c r="HV19" s="33" t="n">
        <v>1</v>
      </c>
      <c r="HW19" s="33"/>
      <c r="HX19" s="33"/>
      <c r="HY19" s="33"/>
      <c r="HZ19" s="33"/>
      <c r="IA19" s="33"/>
      <c r="IB19" s="33"/>
      <c r="IC19" s="33"/>
      <c r="ID19" s="33"/>
      <c r="IE19" s="33"/>
      <c r="IF19" s="33"/>
      <c r="IG19" s="33"/>
      <c r="IH19" s="33"/>
      <c r="II19" s="33"/>
      <c r="IJ19" s="33"/>
      <c r="IK19" s="33"/>
      <c r="IL19" s="33"/>
      <c r="IM19" s="33"/>
      <c r="IN19" s="33"/>
      <c r="IO19" s="28"/>
    </row>
    <row r="20" customFormat="false" ht="14.35" hidden="false" customHeight="false" outlineLevel="0" collapsed="false">
      <c r="A20" s="25" t="str">
        <f aca="false">Neu!B20</f>
        <v>CBI2</v>
      </c>
      <c r="B20" s="26" t="s">
        <v>48</v>
      </c>
      <c r="C20" s="27"/>
      <c r="D20" s="28" t="n">
        <v>0.01</v>
      </c>
      <c r="E20" s="32" t="n">
        <v>0.1</v>
      </c>
      <c r="F20" s="28" t="n">
        <v>-60</v>
      </c>
      <c r="G20" s="32" t="n">
        <v>25</v>
      </c>
      <c r="H20" s="33" t="n">
        <v>3</v>
      </c>
      <c r="I20" s="33" t="n">
        <v>30</v>
      </c>
      <c r="J20" s="33" t="n">
        <v>0</v>
      </c>
      <c r="K20" s="33" t="n">
        <v>-37</v>
      </c>
      <c r="L20" s="33" t="n">
        <v>5</v>
      </c>
      <c r="M20" s="33" t="n">
        <v>1</v>
      </c>
      <c r="N20" s="33" t="n">
        <v>0.006</v>
      </c>
      <c r="O20" s="33" t="n">
        <v>0.001</v>
      </c>
      <c r="P20" s="33" t="n">
        <v>-43</v>
      </c>
      <c r="Q20" s="33" t="n">
        <v>4</v>
      </c>
      <c r="R20" s="33" t="n">
        <v>1</v>
      </c>
      <c r="S20" s="33"/>
      <c r="T20" s="33"/>
      <c r="U20" s="33"/>
      <c r="V20" s="33" t="n">
        <v>0</v>
      </c>
      <c r="W20" s="33" t="n">
        <v>-43</v>
      </c>
      <c r="X20" s="33" t="n">
        <v>5</v>
      </c>
      <c r="Y20" s="33" t="n">
        <v>1</v>
      </c>
      <c r="Z20" s="33" t="n">
        <v>0.02</v>
      </c>
      <c r="AA20" s="33" t="n">
        <v>0.005</v>
      </c>
      <c r="AB20" s="33" t="n">
        <v>-38</v>
      </c>
      <c r="AC20" s="33" t="n">
        <v>10</v>
      </c>
      <c r="AD20" s="33" t="n">
        <v>1</v>
      </c>
      <c r="AE20" s="33"/>
      <c r="AF20" s="33"/>
      <c r="AG20" s="28"/>
      <c r="AH20" s="32" t="n">
        <v>20</v>
      </c>
      <c r="AI20" s="33" t="n">
        <v>4</v>
      </c>
      <c r="AJ20" s="33" t="n">
        <v>-70</v>
      </c>
      <c r="AK20" s="33" t="n">
        <v>0</v>
      </c>
      <c r="AL20" s="33" t="n">
        <v>-23</v>
      </c>
      <c r="AM20" s="33" t="n">
        <v>9</v>
      </c>
      <c r="AN20" s="33" t="n">
        <v>1</v>
      </c>
      <c r="AO20" s="33" t="n">
        <v>0.04</v>
      </c>
      <c r="AP20" s="33" t="n">
        <v>0.004</v>
      </c>
      <c r="AQ20" s="33" t="n">
        <v>-8</v>
      </c>
      <c r="AR20" s="33" t="n">
        <v>10</v>
      </c>
      <c r="AS20" s="33" t="n">
        <v>1</v>
      </c>
      <c r="AT20" s="33"/>
      <c r="AU20" s="33"/>
      <c r="AV20" s="33"/>
      <c r="AW20" s="33"/>
      <c r="AX20" s="33"/>
      <c r="AY20" s="33"/>
      <c r="AZ20" s="33"/>
      <c r="BA20" s="33"/>
      <c r="BB20" s="33"/>
      <c r="BC20" s="33"/>
      <c r="BD20" s="33"/>
      <c r="BE20" s="33"/>
      <c r="BF20" s="33"/>
      <c r="BG20" s="33"/>
      <c r="BH20" s="28"/>
      <c r="BI20" s="32"/>
      <c r="BJ20" s="33"/>
      <c r="BK20" s="33"/>
      <c r="BL20" s="33"/>
      <c r="BM20" s="33"/>
      <c r="BN20" s="33"/>
      <c r="BO20" s="33"/>
      <c r="BP20" s="33"/>
      <c r="BQ20" s="33"/>
      <c r="BR20" s="33"/>
      <c r="BS20" s="33"/>
      <c r="BT20" s="33"/>
      <c r="BU20" s="33"/>
      <c r="BV20" s="33"/>
      <c r="BW20" s="33"/>
      <c r="BX20" s="33"/>
      <c r="BY20" s="33"/>
      <c r="BZ20" s="33"/>
      <c r="CA20" s="33"/>
      <c r="CB20" s="33"/>
      <c r="CC20" s="33"/>
      <c r="CD20" s="33"/>
      <c r="CE20" s="33"/>
      <c r="CF20" s="33"/>
      <c r="CG20" s="33"/>
      <c r="CH20" s="33"/>
      <c r="CI20" s="28"/>
      <c r="CJ20" s="32"/>
      <c r="CK20" s="33"/>
      <c r="CL20" s="33"/>
      <c r="CM20" s="33"/>
      <c r="CN20" s="33"/>
      <c r="CO20" s="33"/>
      <c r="CP20" s="33"/>
      <c r="CQ20" s="33"/>
      <c r="CR20" s="33"/>
      <c r="CS20" s="33"/>
      <c r="CT20" s="33"/>
      <c r="CU20" s="33"/>
      <c r="CV20" s="33"/>
      <c r="CW20" s="33"/>
      <c r="CX20" s="33"/>
      <c r="CY20" s="33"/>
      <c r="CZ20" s="33"/>
      <c r="DA20" s="33"/>
      <c r="DB20" s="33"/>
      <c r="DC20" s="33"/>
      <c r="DD20" s="33"/>
      <c r="DE20" s="33"/>
      <c r="DF20" s="33"/>
      <c r="DG20" s="33"/>
      <c r="DH20" s="33"/>
      <c r="DI20" s="33"/>
      <c r="DJ20" s="28"/>
      <c r="DK20" s="32"/>
      <c r="DL20" s="33"/>
      <c r="DM20" s="33"/>
      <c r="DN20" s="33"/>
      <c r="DO20" s="33"/>
      <c r="DP20" s="33"/>
      <c r="DQ20" s="33"/>
      <c r="DR20" s="33"/>
      <c r="DS20" s="33"/>
      <c r="DT20" s="33"/>
      <c r="DU20" s="33"/>
      <c r="DV20" s="33"/>
      <c r="DW20" s="33"/>
      <c r="DX20" s="33"/>
      <c r="DY20" s="33"/>
      <c r="DZ20" s="33"/>
      <c r="EA20" s="33"/>
      <c r="EB20" s="33"/>
      <c r="EC20" s="33"/>
      <c r="ED20" s="33"/>
      <c r="EE20" s="33"/>
      <c r="EF20" s="33"/>
      <c r="EG20" s="33"/>
      <c r="EH20" s="33"/>
      <c r="EI20" s="33"/>
      <c r="EJ20" s="33"/>
      <c r="EK20" s="28"/>
      <c r="EL20" s="32"/>
      <c r="EM20" s="33"/>
      <c r="EN20" s="33"/>
      <c r="EO20" s="33"/>
      <c r="EP20" s="33"/>
      <c r="EQ20" s="33"/>
      <c r="ER20" s="33"/>
      <c r="ES20" s="33"/>
      <c r="ET20" s="33"/>
      <c r="EU20" s="33"/>
      <c r="EV20" s="33"/>
      <c r="EW20" s="33"/>
      <c r="EX20" s="33"/>
      <c r="EY20" s="33"/>
      <c r="EZ20" s="33"/>
      <c r="FA20" s="33"/>
      <c r="FB20" s="33"/>
      <c r="FC20" s="33"/>
      <c r="FD20" s="33"/>
      <c r="FE20" s="33"/>
      <c r="FF20" s="33"/>
      <c r="FG20" s="33"/>
      <c r="FH20" s="33"/>
      <c r="FI20" s="33"/>
      <c r="FJ20" s="33"/>
      <c r="FK20" s="33"/>
      <c r="FL20" s="28"/>
      <c r="FM20" s="32"/>
      <c r="FN20" s="33"/>
      <c r="FO20" s="33"/>
      <c r="FP20" s="33"/>
      <c r="FQ20" s="33"/>
      <c r="FR20" s="33"/>
      <c r="FS20" s="33"/>
      <c r="FT20" s="33"/>
      <c r="FU20" s="33"/>
      <c r="FV20" s="33"/>
      <c r="FW20" s="33"/>
      <c r="FX20" s="33"/>
      <c r="FY20" s="33"/>
      <c r="FZ20" s="33"/>
      <c r="GA20" s="33"/>
      <c r="GB20" s="33"/>
      <c r="GC20" s="33"/>
      <c r="GD20" s="33"/>
      <c r="GE20" s="33"/>
      <c r="GF20" s="33"/>
      <c r="GG20" s="33"/>
      <c r="GH20" s="33"/>
      <c r="GI20" s="33"/>
      <c r="GJ20" s="33"/>
      <c r="GK20" s="33"/>
      <c r="GL20" s="33"/>
      <c r="GM20" s="28"/>
      <c r="GN20" s="32"/>
      <c r="GO20" s="33"/>
      <c r="GP20" s="33"/>
      <c r="GQ20" s="33"/>
      <c r="GR20" s="33"/>
      <c r="GS20" s="33"/>
      <c r="GT20" s="33"/>
      <c r="GU20" s="33"/>
      <c r="GV20" s="33"/>
      <c r="GW20" s="33"/>
      <c r="GX20" s="33"/>
      <c r="GY20" s="33"/>
      <c r="GZ20" s="33"/>
      <c r="HA20" s="33"/>
      <c r="HB20" s="33"/>
      <c r="HC20" s="33"/>
      <c r="HD20" s="33"/>
      <c r="HE20" s="33"/>
      <c r="HF20" s="33"/>
      <c r="HG20" s="33"/>
      <c r="HH20" s="33"/>
      <c r="HI20" s="33"/>
      <c r="HJ20" s="33"/>
      <c r="HK20" s="33"/>
      <c r="HL20" s="33"/>
      <c r="HM20" s="33"/>
      <c r="HN20" s="28"/>
      <c r="HO20" s="32"/>
      <c r="HP20" s="33"/>
      <c r="HQ20" s="33"/>
      <c r="HR20" s="33"/>
      <c r="HS20" s="33"/>
      <c r="HT20" s="33"/>
      <c r="HU20" s="33"/>
      <c r="HV20" s="33"/>
      <c r="HW20" s="33"/>
      <c r="HX20" s="33"/>
      <c r="HY20" s="33"/>
      <c r="HZ20" s="33"/>
      <c r="IA20" s="33"/>
      <c r="IB20" s="33"/>
      <c r="IC20" s="33"/>
      <c r="ID20" s="33"/>
      <c r="IE20" s="33"/>
      <c r="IF20" s="33"/>
      <c r="IG20" s="33"/>
      <c r="IH20" s="33"/>
      <c r="II20" s="33"/>
      <c r="IJ20" s="33"/>
      <c r="IK20" s="33"/>
      <c r="IL20" s="33"/>
      <c r="IM20" s="33"/>
      <c r="IN20" s="33"/>
      <c r="IO20" s="28"/>
    </row>
    <row r="21" customFormat="false" ht="14.35" hidden="false" customHeight="false" outlineLevel="0" collapsed="false">
      <c r="A21" s="25" t="n">
        <f aca="false">Neu!B21</f>
        <v>0</v>
      </c>
      <c r="B21" s="26"/>
      <c r="C21" s="27"/>
      <c r="D21" s="28"/>
      <c r="E21" s="32"/>
      <c r="F21" s="28"/>
      <c r="G21" s="32"/>
      <c r="H21" s="33"/>
      <c r="I21" s="33"/>
      <c r="J21" s="33"/>
      <c r="K21" s="33"/>
      <c r="L21" s="33"/>
      <c r="M21" s="33"/>
      <c r="N21" s="33"/>
      <c r="O21" s="33"/>
      <c r="P21" s="33"/>
      <c r="Q21" s="33"/>
      <c r="R21" s="33"/>
      <c r="S21" s="33"/>
      <c r="T21" s="33"/>
      <c r="U21" s="33"/>
      <c r="V21" s="33"/>
      <c r="W21" s="33"/>
      <c r="X21" s="33"/>
      <c r="Y21" s="33"/>
      <c r="Z21" s="33"/>
      <c r="AA21" s="33"/>
      <c r="AB21" s="33"/>
      <c r="AC21" s="33"/>
      <c r="AD21" s="33"/>
      <c r="AE21" s="33"/>
      <c r="AF21" s="33"/>
      <c r="AG21" s="28"/>
      <c r="AH21" s="32"/>
      <c r="AI21" s="33"/>
      <c r="AJ21" s="33"/>
      <c r="AK21" s="33"/>
      <c r="AL21" s="33"/>
      <c r="AM21" s="33"/>
      <c r="AN21" s="33"/>
      <c r="AO21" s="33"/>
      <c r="AP21" s="33"/>
      <c r="AQ21" s="33"/>
      <c r="AR21" s="33"/>
      <c r="AS21" s="33"/>
      <c r="AT21" s="33"/>
      <c r="AU21" s="33"/>
      <c r="AV21" s="33"/>
      <c r="AW21" s="33"/>
      <c r="AX21" s="33"/>
      <c r="AY21" s="33"/>
      <c r="AZ21" s="33"/>
      <c r="BA21" s="33"/>
      <c r="BB21" s="33"/>
      <c r="BC21" s="33"/>
      <c r="BD21" s="33"/>
      <c r="BE21" s="33"/>
      <c r="BF21" s="33"/>
      <c r="BG21" s="33"/>
      <c r="BH21" s="28"/>
      <c r="BI21" s="32"/>
      <c r="BJ21" s="33"/>
      <c r="BK21" s="33"/>
      <c r="BL21" s="33"/>
      <c r="BM21" s="33"/>
      <c r="BN21" s="33"/>
      <c r="BO21" s="33"/>
      <c r="BP21" s="33"/>
      <c r="BQ21" s="33"/>
      <c r="BR21" s="33"/>
      <c r="BS21" s="33"/>
      <c r="BT21" s="33"/>
      <c r="BU21" s="33"/>
      <c r="BV21" s="33"/>
      <c r="BW21" s="33"/>
      <c r="BX21" s="33"/>
      <c r="BY21" s="33"/>
      <c r="BZ21" s="33"/>
      <c r="CA21" s="33"/>
      <c r="CB21" s="33"/>
      <c r="CC21" s="33"/>
      <c r="CD21" s="33"/>
      <c r="CE21" s="33"/>
      <c r="CF21" s="33"/>
      <c r="CG21" s="33"/>
      <c r="CH21" s="33"/>
      <c r="CI21" s="28"/>
      <c r="CJ21" s="32"/>
      <c r="CK21" s="33"/>
      <c r="CL21" s="33"/>
      <c r="CM21" s="33"/>
      <c r="CN21" s="33"/>
      <c r="CO21" s="33"/>
      <c r="CP21" s="33"/>
      <c r="CQ21" s="33"/>
      <c r="CR21" s="33"/>
      <c r="CS21" s="33"/>
      <c r="CT21" s="33"/>
      <c r="CU21" s="33"/>
      <c r="CV21" s="33"/>
      <c r="CW21" s="33"/>
      <c r="CX21" s="33"/>
      <c r="CY21" s="33"/>
      <c r="CZ21" s="33"/>
      <c r="DA21" s="33"/>
      <c r="DB21" s="33"/>
      <c r="DC21" s="33"/>
      <c r="DD21" s="33"/>
      <c r="DE21" s="33"/>
      <c r="DF21" s="33"/>
      <c r="DG21" s="33"/>
      <c r="DH21" s="33"/>
      <c r="DI21" s="33"/>
      <c r="DJ21" s="28"/>
      <c r="DK21" s="32"/>
      <c r="DL21" s="33"/>
      <c r="DM21" s="33"/>
      <c r="DN21" s="33"/>
      <c r="DO21" s="33"/>
      <c r="DP21" s="33"/>
      <c r="DQ21" s="33"/>
      <c r="DR21" s="33"/>
      <c r="DS21" s="33"/>
      <c r="DT21" s="33"/>
      <c r="DU21" s="33"/>
      <c r="DV21" s="33"/>
      <c r="DW21" s="33"/>
      <c r="DX21" s="33"/>
      <c r="DY21" s="33"/>
      <c r="DZ21" s="33"/>
      <c r="EA21" s="33"/>
      <c r="EB21" s="33"/>
      <c r="EC21" s="33"/>
      <c r="ED21" s="33"/>
      <c r="EE21" s="33"/>
      <c r="EF21" s="33"/>
      <c r="EG21" s="33"/>
      <c r="EH21" s="33"/>
      <c r="EI21" s="33"/>
      <c r="EJ21" s="33"/>
      <c r="EK21" s="28"/>
      <c r="EL21" s="32"/>
      <c r="EM21" s="33"/>
      <c r="EN21" s="33"/>
      <c r="EO21" s="33"/>
      <c r="EP21" s="33"/>
      <c r="EQ21" s="33"/>
      <c r="ER21" s="33"/>
      <c r="ES21" s="33"/>
      <c r="ET21" s="33"/>
      <c r="EU21" s="33"/>
      <c r="EV21" s="33"/>
      <c r="EW21" s="33"/>
      <c r="EX21" s="33"/>
      <c r="EY21" s="33"/>
      <c r="EZ21" s="33"/>
      <c r="FA21" s="33"/>
      <c r="FB21" s="33"/>
      <c r="FC21" s="33"/>
      <c r="FD21" s="33"/>
      <c r="FE21" s="33"/>
      <c r="FF21" s="33"/>
      <c r="FG21" s="33"/>
      <c r="FH21" s="33"/>
      <c r="FI21" s="33"/>
      <c r="FJ21" s="33"/>
      <c r="FK21" s="33"/>
      <c r="FL21" s="28"/>
      <c r="FM21" s="32"/>
      <c r="FN21" s="33"/>
      <c r="FO21" s="33"/>
      <c r="FP21" s="33"/>
      <c r="FQ21" s="33"/>
      <c r="FR21" s="33"/>
      <c r="FS21" s="33"/>
      <c r="FT21" s="33"/>
      <c r="FU21" s="33"/>
      <c r="FV21" s="33"/>
      <c r="FW21" s="33"/>
      <c r="FX21" s="33"/>
      <c r="FY21" s="33"/>
      <c r="FZ21" s="33"/>
      <c r="GA21" s="33"/>
      <c r="GB21" s="33"/>
      <c r="GC21" s="33"/>
      <c r="GD21" s="33"/>
      <c r="GE21" s="33"/>
      <c r="GF21" s="33"/>
      <c r="GG21" s="33"/>
      <c r="GH21" s="33"/>
      <c r="GI21" s="33"/>
      <c r="GJ21" s="33"/>
      <c r="GK21" s="33"/>
      <c r="GL21" s="33"/>
      <c r="GM21" s="28"/>
      <c r="GN21" s="32"/>
      <c r="GO21" s="33"/>
      <c r="GP21" s="33"/>
      <c r="GQ21" s="33"/>
      <c r="GR21" s="33"/>
      <c r="GS21" s="33"/>
      <c r="GT21" s="33"/>
      <c r="GU21" s="33"/>
      <c r="GV21" s="33"/>
      <c r="GW21" s="33"/>
      <c r="GX21" s="33"/>
      <c r="GY21" s="33"/>
      <c r="GZ21" s="33"/>
      <c r="HA21" s="33"/>
      <c r="HB21" s="33"/>
      <c r="HC21" s="33"/>
      <c r="HD21" s="33"/>
      <c r="HE21" s="33"/>
      <c r="HF21" s="33"/>
      <c r="HG21" s="33"/>
      <c r="HH21" s="33"/>
      <c r="HI21" s="33"/>
      <c r="HJ21" s="33"/>
      <c r="HK21" s="33"/>
      <c r="HL21" s="33"/>
      <c r="HM21" s="33"/>
      <c r="HN21" s="28"/>
      <c r="HO21" s="32"/>
      <c r="HP21" s="33"/>
      <c r="HQ21" s="33"/>
      <c r="HR21" s="33"/>
      <c r="HS21" s="33"/>
      <c r="HT21" s="33"/>
      <c r="HU21" s="33"/>
      <c r="HV21" s="33"/>
      <c r="HW21" s="33"/>
      <c r="HX21" s="33"/>
      <c r="HY21" s="33"/>
      <c r="HZ21" s="33"/>
      <c r="IA21" s="33"/>
      <c r="IB21" s="33"/>
      <c r="IC21" s="33"/>
      <c r="ID21" s="33"/>
      <c r="IE21" s="33"/>
      <c r="IF21" s="33"/>
      <c r="IG21" s="33"/>
      <c r="IH21" s="33"/>
      <c r="II21" s="33"/>
      <c r="IJ21" s="33"/>
      <c r="IK21" s="33"/>
      <c r="IL21" s="33"/>
      <c r="IM21" s="33"/>
      <c r="IN21" s="33"/>
      <c r="IO21" s="28"/>
    </row>
    <row r="22" customFormat="false" ht="14.35" hidden="false" customHeight="false" outlineLevel="0" collapsed="false">
      <c r="A22" s="25" t="n">
        <f aca="false">Neu!B22</f>
        <v>0</v>
      </c>
      <c r="B22" s="26"/>
      <c r="C22" s="27"/>
      <c r="D22" s="28"/>
      <c r="E22" s="32"/>
      <c r="F22" s="28"/>
      <c r="G22" s="32"/>
      <c r="H22" s="33"/>
      <c r="I22" s="33"/>
      <c r="J22" s="33"/>
      <c r="K22" s="33"/>
      <c r="L22" s="33"/>
      <c r="M22" s="33"/>
      <c r="N22" s="33"/>
      <c r="O22" s="33"/>
      <c r="P22" s="33"/>
      <c r="Q22" s="33"/>
      <c r="R22" s="33"/>
      <c r="S22" s="33"/>
      <c r="T22" s="33"/>
      <c r="U22" s="33"/>
      <c r="V22" s="33"/>
      <c r="W22" s="33"/>
      <c r="X22" s="33"/>
      <c r="Y22" s="33"/>
      <c r="Z22" s="33"/>
      <c r="AA22" s="33"/>
      <c r="AB22" s="33"/>
      <c r="AC22" s="33"/>
      <c r="AD22" s="33"/>
      <c r="AE22" s="33"/>
      <c r="AF22" s="33"/>
      <c r="AG22" s="28"/>
      <c r="AH22" s="32"/>
      <c r="AI22" s="33"/>
      <c r="AJ22" s="33"/>
      <c r="AK22" s="33"/>
      <c r="AL22" s="33"/>
      <c r="AM22" s="33"/>
      <c r="AN22" s="33"/>
      <c r="AO22" s="33"/>
      <c r="AP22" s="33"/>
      <c r="AQ22" s="33"/>
      <c r="AR22" s="33"/>
      <c r="AS22" s="33"/>
      <c r="AT22" s="33"/>
      <c r="AU22" s="33"/>
      <c r="AV22" s="33"/>
      <c r="AW22" s="33"/>
      <c r="AX22" s="33"/>
      <c r="AY22" s="33"/>
      <c r="AZ22" s="33"/>
      <c r="BA22" s="33"/>
      <c r="BB22" s="33"/>
      <c r="BC22" s="33"/>
      <c r="BD22" s="33"/>
      <c r="BE22" s="33"/>
      <c r="BF22" s="33"/>
      <c r="BG22" s="33"/>
      <c r="BH22" s="28"/>
      <c r="BI22" s="32"/>
      <c r="BJ22" s="33"/>
      <c r="BK22" s="33"/>
      <c r="BL22" s="33"/>
      <c r="BM22" s="33"/>
      <c r="BN22" s="33"/>
      <c r="BO22" s="33"/>
      <c r="BP22" s="33"/>
      <c r="BQ22" s="33"/>
      <c r="BR22" s="33"/>
      <c r="BS22" s="33"/>
      <c r="BT22" s="33"/>
      <c r="BU22" s="33"/>
      <c r="BV22" s="33"/>
      <c r="BW22" s="33"/>
      <c r="BX22" s="33"/>
      <c r="BY22" s="33"/>
      <c r="BZ22" s="33"/>
      <c r="CA22" s="33"/>
      <c r="CB22" s="33"/>
      <c r="CC22" s="33"/>
      <c r="CD22" s="33"/>
      <c r="CE22" s="33"/>
      <c r="CF22" s="33"/>
      <c r="CG22" s="33"/>
      <c r="CH22" s="33"/>
      <c r="CI22" s="28"/>
      <c r="CJ22" s="32"/>
      <c r="CK22" s="33"/>
      <c r="CL22" s="33"/>
      <c r="CM22" s="33"/>
      <c r="CN22" s="33"/>
      <c r="CO22" s="33"/>
      <c r="CP22" s="33"/>
      <c r="CQ22" s="33"/>
      <c r="CR22" s="33"/>
      <c r="CS22" s="33"/>
      <c r="CT22" s="33"/>
      <c r="CU22" s="33"/>
      <c r="CV22" s="33"/>
      <c r="CW22" s="33"/>
      <c r="CX22" s="33"/>
      <c r="CY22" s="33"/>
      <c r="CZ22" s="33"/>
      <c r="DA22" s="33"/>
      <c r="DB22" s="33"/>
      <c r="DC22" s="33"/>
      <c r="DD22" s="33"/>
      <c r="DE22" s="33"/>
      <c r="DF22" s="33"/>
      <c r="DG22" s="33"/>
      <c r="DH22" s="33"/>
      <c r="DI22" s="33"/>
      <c r="DJ22" s="28"/>
      <c r="DK22" s="32"/>
      <c r="DL22" s="33"/>
      <c r="DM22" s="33"/>
      <c r="DN22" s="33"/>
      <c r="DO22" s="33"/>
      <c r="DP22" s="33"/>
      <c r="DQ22" s="33"/>
      <c r="DR22" s="33"/>
      <c r="DS22" s="33"/>
      <c r="DT22" s="33"/>
      <c r="DU22" s="33"/>
      <c r="DV22" s="33"/>
      <c r="DW22" s="33"/>
      <c r="DX22" s="33"/>
      <c r="DY22" s="33"/>
      <c r="DZ22" s="33"/>
      <c r="EA22" s="33"/>
      <c r="EB22" s="33"/>
      <c r="EC22" s="33"/>
      <c r="ED22" s="33"/>
      <c r="EE22" s="33"/>
      <c r="EF22" s="33"/>
      <c r="EG22" s="33"/>
      <c r="EH22" s="33"/>
      <c r="EI22" s="33"/>
      <c r="EJ22" s="33"/>
      <c r="EK22" s="28"/>
      <c r="EL22" s="32"/>
      <c r="EM22" s="33"/>
      <c r="EN22" s="33"/>
      <c r="EO22" s="33"/>
      <c r="EP22" s="33"/>
      <c r="EQ22" s="33"/>
      <c r="ER22" s="33"/>
      <c r="ES22" s="33"/>
      <c r="ET22" s="33"/>
      <c r="EU22" s="33"/>
      <c r="EV22" s="33"/>
      <c r="EW22" s="33"/>
      <c r="EX22" s="33"/>
      <c r="EY22" s="33"/>
      <c r="EZ22" s="33"/>
      <c r="FA22" s="33"/>
      <c r="FB22" s="33"/>
      <c r="FC22" s="33"/>
      <c r="FD22" s="33"/>
      <c r="FE22" s="33"/>
      <c r="FF22" s="33"/>
      <c r="FG22" s="33"/>
      <c r="FH22" s="33"/>
      <c r="FI22" s="33"/>
      <c r="FJ22" s="33"/>
      <c r="FK22" s="33"/>
      <c r="FL22" s="28"/>
      <c r="FM22" s="32"/>
      <c r="FN22" s="33"/>
      <c r="FO22" s="33"/>
      <c r="FP22" s="33"/>
      <c r="FQ22" s="33"/>
      <c r="FR22" s="33"/>
      <c r="FS22" s="33"/>
      <c r="FT22" s="33"/>
      <c r="FU22" s="33"/>
      <c r="FV22" s="33"/>
      <c r="FW22" s="33"/>
      <c r="FX22" s="33"/>
      <c r="FY22" s="33"/>
      <c r="FZ22" s="33"/>
      <c r="GA22" s="33"/>
      <c r="GB22" s="33"/>
      <c r="GC22" s="33"/>
      <c r="GD22" s="33"/>
      <c r="GE22" s="33"/>
      <c r="GF22" s="33"/>
      <c r="GG22" s="33"/>
      <c r="GH22" s="33"/>
      <c r="GI22" s="33"/>
      <c r="GJ22" s="33"/>
      <c r="GK22" s="33"/>
      <c r="GL22" s="33"/>
      <c r="GM22" s="28"/>
      <c r="GN22" s="32"/>
      <c r="GO22" s="33"/>
      <c r="GP22" s="33"/>
      <c r="GQ22" s="33"/>
      <c r="GR22" s="33"/>
      <c r="GS22" s="33"/>
      <c r="GT22" s="33"/>
      <c r="GU22" s="33"/>
      <c r="GV22" s="33"/>
      <c r="GW22" s="33"/>
      <c r="GX22" s="33"/>
      <c r="GY22" s="33"/>
      <c r="GZ22" s="33"/>
      <c r="HA22" s="33"/>
      <c r="HB22" s="33"/>
      <c r="HC22" s="33"/>
      <c r="HD22" s="33"/>
      <c r="HE22" s="33"/>
      <c r="HF22" s="33"/>
      <c r="HG22" s="33"/>
      <c r="HH22" s="33"/>
      <c r="HI22" s="33"/>
      <c r="HJ22" s="33"/>
      <c r="HK22" s="33"/>
      <c r="HL22" s="33"/>
      <c r="HM22" s="33"/>
      <c r="HN22" s="28"/>
      <c r="HO22" s="32"/>
      <c r="HP22" s="33"/>
      <c r="HQ22" s="33"/>
      <c r="HR22" s="33"/>
      <c r="HS22" s="33"/>
      <c r="HT22" s="33"/>
      <c r="HU22" s="33"/>
      <c r="HV22" s="33"/>
      <c r="HW22" s="33"/>
      <c r="HX22" s="33"/>
      <c r="HY22" s="33"/>
      <c r="HZ22" s="33"/>
      <c r="IA22" s="33"/>
      <c r="IB22" s="33"/>
      <c r="IC22" s="33"/>
      <c r="ID22" s="33"/>
      <c r="IE22" s="33"/>
      <c r="IF22" s="33"/>
      <c r="IG22" s="33"/>
      <c r="IH22" s="33"/>
      <c r="II22" s="33"/>
      <c r="IJ22" s="33"/>
      <c r="IK22" s="33"/>
      <c r="IL22" s="33"/>
      <c r="IM22" s="33"/>
      <c r="IN22" s="33"/>
      <c r="IO22" s="28"/>
    </row>
    <row r="23" customFormat="false" ht="14.35" hidden="false" customHeight="false" outlineLevel="0" collapsed="false">
      <c r="A23" s="25" t="n">
        <f aca="false">Neu!B23</f>
        <v>0</v>
      </c>
      <c r="B23" s="26"/>
      <c r="C23" s="27"/>
      <c r="D23" s="28"/>
      <c r="E23" s="32"/>
      <c r="F23" s="28"/>
      <c r="G23" s="32"/>
      <c r="H23" s="33"/>
      <c r="I23" s="33"/>
      <c r="J23" s="33"/>
      <c r="K23" s="33"/>
      <c r="L23" s="33"/>
      <c r="M23" s="33"/>
      <c r="N23" s="33"/>
      <c r="O23" s="33"/>
      <c r="P23" s="33"/>
      <c r="Q23" s="33"/>
      <c r="R23" s="33"/>
      <c r="S23" s="33"/>
      <c r="T23" s="33"/>
      <c r="U23" s="33"/>
      <c r="V23" s="33"/>
      <c r="W23" s="33"/>
      <c r="X23" s="33"/>
      <c r="Y23" s="33"/>
      <c r="Z23" s="33"/>
      <c r="AA23" s="33"/>
      <c r="AB23" s="33"/>
      <c r="AC23" s="33"/>
      <c r="AD23" s="33"/>
      <c r="AE23" s="33"/>
      <c r="AF23" s="33"/>
      <c r="AG23" s="28"/>
      <c r="AH23" s="32"/>
      <c r="AI23" s="33"/>
      <c r="AJ23" s="33"/>
      <c r="AK23" s="33"/>
      <c r="AL23" s="33"/>
      <c r="AM23" s="33"/>
      <c r="AN23" s="33"/>
      <c r="AO23" s="33"/>
      <c r="AP23" s="33"/>
      <c r="AQ23" s="33"/>
      <c r="AR23" s="33"/>
      <c r="AS23" s="33"/>
      <c r="AT23" s="33"/>
      <c r="AU23" s="33"/>
      <c r="AV23" s="33"/>
      <c r="AW23" s="33"/>
      <c r="AX23" s="33"/>
      <c r="AY23" s="33"/>
      <c r="AZ23" s="33"/>
      <c r="BA23" s="33"/>
      <c r="BB23" s="33"/>
      <c r="BC23" s="33"/>
      <c r="BD23" s="33"/>
      <c r="BE23" s="33"/>
      <c r="BF23" s="33"/>
      <c r="BG23" s="33"/>
      <c r="BH23" s="28"/>
      <c r="BI23" s="32"/>
      <c r="BJ23" s="33"/>
      <c r="BK23" s="33"/>
      <c r="BL23" s="33"/>
      <c r="BM23" s="33"/>
      <c r="BN23" s="33"/>
      <c r="BO23" s="33"/>
      <c r="BP23" s="33"/>
      <c r="BQ23" s="33"/>
      <c r="BR23" s="33"/>
      <c r="BS23" s="33"/>
      <c r="BT23" s="33"/>
      <c r="BU23" s="33"/>
      <c r="BV23" s="33"/>
      <c r="BW23" s="33"/>
      <c r="BX23" s="33"/>
      <c r="BY23" s="33"/>
      <c r="BZ23" s="33"/>
      <c r="CA23" s="33"/>
      <c r="CB23" s="33"/>
      <c r="CC23" s="33"/>
      <c r="CD23" s="33"/>
      <c r="CE23" s="33"/>
      <c r="CF23" s="33"/>
      <c r="CG23" s="33"/>
      <c r="CH23" s="33"/>
      <c r="CI23" s="28"/>
      <c r="CJ23" s="32"/>
      <c r="CK23" s="33"/>
      <c r="CL23" s="33"/>
      <c r="CM23" s="33"/>
      <c r="CN23" s="33"/>
      <c r="CO23" s="33"/>
      <c r="CP23" s="33"/>
      <c r="CQ23" s="33"/>
      <c r="CR23" s="33"/>
      <c r="CS23" s="33"/>
      <c r="CT23" s="33"/>
      <c r="CU23" s="33"/>
      <c r="CV23" s="33"/>
      <c r="CW23" s="33"/>
      <c r="CX23" s="33"/>
      <c r="CY23" s="33"/>
      <c r="CZ23" s="33"/>
      <c r="DA23" s="33"/>
      <c r="DB23" s="33"/>
      <c r="DC23" s="33"/>
      <c r="DD23" s="33"/>
      <c r="DE23" s="33"/>
      <c r="DF23" s="33"/>
      <c r="DG23" s="33"/>
      <c r="DH23" s="33"/>
      <c r="DI23" s="33"/>
      <c r="DJ23" s="28"/>
      <c r="DK23" s="32"/>
      <c r="DL23" s="33"/>
      <c r="DM23" s="33"/>
      <c r="DN23" s="33"/>
      <c r="DO23" s="33"/>
      <c r="DP23" s="33"/>
      <c r="DQ23" s="33"/>
      <c r="DR23" s="33"/>
      <c r="DS23" s="33"/>
      <c r="DT23" s="33"/>
      <c r="DU23" s="33"/>
      <c r="DV23" s="33"/>
      <c r="DW23" s="33"/>
      <c r="DX23" s="33"/>
      <c r="DY23" s="33"/>
      <c r="DZ23" s="33"/>
      <c r="EA23" s="33"/>
      <c r="EB23" s="33"/>
      <c r="EC23" s="33"/>
      <c r="ED23" s="33"/>
      <c r="EE23" s="33"/>
      <c r="EF23" s="33"/>
      <c r="EG23" s="33"/>
      <c r="EH23" s="33"/>
      <c r="EI23" s="33"/>
      <c r="EJ23" s="33"/>
      <c r="EK23" s="28"/>
      <c r="EL23" s="32"/>
      <c r="EM23" s="33"/>
      <c r="EN23" s="33"/>
      <c r="EO23" s="33"/>
      <c r="EP23" s="33"/>
      <c r="EQ23" s="33"/>
      <c r="ER23" s="33"/>
      <c r="ES23" s="33"/>
      <c r="ET23" s="33"/>
      <c r="EU23" s="33"/>
      <c r="EV23" s="33"/>
      <c r="EW23" s="33"/>
      <c r="EX23" s="33"/>
      <c r="EY23" s="33"/>
      <c r="EZ23" s="33"/>
      <c r="FA23" s="33"/>
      <c r="FB23" s="33"/>
      <c r="FC23" s="33"/>
      <c r="FD23" s="33"/>
      <c r="FE23" s="33"/>
      <c r="FF23" s="33"/>
      <c r="FG23" s="33"/>
      <c r="FH23" s="33"/>
      <c r="FI23" s="33"/>
      <c r="FJ23" s="33"/>
      <c r="FK23" s="33"/>
      <c r="FL23" s="28"/>
      <c r="FM23" s="32"/>
      <c r="FN23" s="33"/>
      <c r="FO23" s="33"/>
      <c r="FP23" s="33"/>
      <c r="FQ23" s="33"/>
      <c r="FR23" s="33"/>
      <c r="FS23" s="33"/>
      <c r="FT23" s="33"/>
      <c r="FU23" s="33"/>
      <c r="FV23" s="33"/>
      <c r="FW23" s="33"/>
      <c r="FX23" s="33"/>
      <c r="FY23" s="33"/>
      <c r="FZ23" s="33"/>
      <c r="GA23" s="33"/>
      <c r="GB23" s="33"/>
      <c r="GC23" s="33"/>
      <c r="GD23" s="33"/>
      <c r="GE23" s="33"/>
      <c r="GF23" s="33"/>
      <c r="GG23" s="33"/>
      <c r="GH23" s="33"/>
      <c r="GI23" s="33"/>
      <c r="GJ23" s="33"/>
      <c r="GK23" s="33"/>
      <c r="GL23" s="33"/>
      <c r="GM23" s="28"/>
      <c r="GN23" s="32"/>
      <c r="GO23" s="33"/>
      <c r="GP23" s="33"/>
      <c r="GQ23" s="33"/>
      <c r="GR23" s="33"/>
      <c r="GS23" s="33"/>
      <c r="GT23" s="33"/>
      <c r="GU23" s="33"/>
      <c r="GV23" s="33"/>
      <c r="GW23" s="33"/>
      <c r="GX23" s="33"/>
      <c r="GY23" s="33"/>
      <c r="GZ23" s="33"/>
      <c r="HA23" s="33"/>
      <c r="HB23" s="33"/>
      <c r="HC23" s="33"/>
      <c r="HD23" s="33"/>
      <c r="HE23" s="33"/>
      <c r="HF23" s="33"/>
      <c r="HG23" s="33"/>
      <c r="HH23" s="33"/>
      <c r="HI23" s="33"/>
      <c r="HJ23" s="33"/>
      <c r="HK23" s="33"/>
      <c r="HL23" s="33"/>
      <c r="HM23" s="33"/>
      <c r="HN23" s="28"/>
      <c r="HO23" s="32"/>
      <c r="HP23" s="33"/>
      <c r="HQ23" s="33"/>
      <c r="HR23" s="33"/>
      <c r="HS23" s="33"/>
      <c r="HT23" s="33"/>
      <c r="HU23" s="33"/>
      <c r="HV23" s="33"/>
      <c r="HW23" s="33"/>
      <c r="HX23" s="33"/>
      <c r="HY23" s="33"/>
      <c r="HZ23" s="33"/>
      <c r="IA23" s="33"/>
      <c r="IB23" s="33"/>
      <c r="IC23" s="33"/>
      <c r="ID23" s="33"/>
      <c r="IE23" s="33"/>
      <c r="IF23" s="33"/>
      <c r="IG23" s="33"/>
      <c r="IH23" s="33"/>
      <c r="II23" s="33"/>
      <c r="IJ23" s="33"/>
      <c r="IK23" s="33"/>
      <c r="IL23" s="33"/>
      <c r="IM23" s="33"/>
      <c r="IN23" s="33"/>
      <c r="IO23" s="28"/>
    </row>
    <row r="24" customFormat="false" ht="14.35" hidden="false" customHeight="false" outlineLevel="0" collapsed="false">
      <c r="A24" s="25" t="n">
        <f aca="false">Neu!B24</f>
        <v>0</v>
      </c>
      <c r="B24" s="34"/>
      <c r="C24" s="35"/>
      <c r="D24" s="36"/>
      <c r="E24" s="37"/>
      <c r="F24" s="36"/>
      <c r="G24" s="37"/>
      <c r="H24" s="38"/>
      <c r="I24" s="38"/>
      <c r="J24" s="38"/>
      <c r="K24" s="38"/>
      <c r="L24" s="38"/>
      <c r="M24" s="38"/>
      <c r="N24" s="38"/>
      <c r="O24" s="38"/>
      <c r="P24" s="38"/>
      <c r="Q24" s="38"/>
      <c r="R24" s="38"/>
      <c r="S24" s="38"/>
      <c r="T24" s="38"/>
      <c r="U24" s="38"/>
      <c r="V24" s="38"/>
      <c r="W24" s="38"/>
      <c r="X24" s="38"/>
      <c r="Y24" s="38"/>
      <c r="Z24" s="38"/>
      <c r="AA24" s="38"/>
      <c r="AB24" s="38"/>
      <c r="AC24" s="38"/>
      <c r="AD24" s="38"/>
      <c r="AE24" s="38"/>
      <c r="AF24" s="38"/>
      <c r="AG24" s="36"/>
      <c r="AH24" s="37"/>
      <c r="AI24" s="38"/>
      <c r="AJ24" s="38"/>
      <c r="AK24" s="38"/>
      <c r="AL24" s="38"/>
      <c r="AM24" s="38"/>
      <c r="AN24" s="38"/>
      <c r="AO24" s="38"/>
      <c r="AP24" s="38"/>
      <c r="AQ24" s="38"/>
      <c r="AR24" s="38"/>
      <c r="AS24" s="38"/>
      <c r="AT24" s="38"/>
      <c r="AU24" s="38"/>
      <c r="AV24" s="38"/>
      <c r="AW24" s="38"/>
      <c r="AX24" s="38"/>
      <c r="AY24" s="38"/>
      <c r="AZ24" s="38"/>
      <c r="BA24" s="38"/>
      <c r="BB24" s="38"/>
      <c r="BC24" s="38"/>
      <c r="BD24" s="38"/>
      <c r="BE24" s="38"/>
      <c r="BF24" s="38"/>
      <c r="BG24" s="38"/>
      <c r="BH24" s="36"/>
      <c r="BI24" s="37"/>
      <c r="BJ24" s="38"/>
      <c r="BK24" s="38"/>
      <c r="BL24" s="38"/>
      <c r="BM24" s="38"/>
      <c r="BN24" s="38"/>
      <c r="BO24" s="38"/>
      <c r="BP24" s="38"/>
      <c r="BQ24" s="38"/>
      <c r="BR24" s="38"/>
      <c r="BS24" s="38"/>
      <c r="BT24" s="38"/>
      <c r="BU24" s="38"/>
      <c r="BV24" s="38"/>
      <c r="BW24" s="38"/>
      <c r="BX24" s="38"/>
      <c r="BY24" s="38"/>
      <c r="BZ24" s="38"/>
      <c r="CA24" s="38"/>
      <c r="CB24" s="38"/>
      <c r="CC24" s="38"/>
      <c r="CD24" s="38"/>
      <c r="CE24" s="38"/>
      <c r="CF24" s="38"/>
      <c r="CG24" s="38"/>
      <c r="CH24" s="38"/>
      <c r="CI24" s="36"/>
      <c r="CJ24" s="37"/>
      <c r="CK24" s="38"/>
      <c r="CL24" s="38"/>
      <c r="CM24" s="38"/>
      <c r="CN24" s="38"/>
      <c r="CO24" s="38"/>
      <c r="CP24" s="38"/>
      <c r="CQ24" s="38"/>
      <c r="CR24" s="38"/>
      <c r="CS24" s="38"/>
      <c r="CT24" s="38"/>
      <c r="CU24" s="38"/>
      <c r="CV24" s="38"/>
      <c r="CW24" s="38"/>
      <c r="CX24" s="38"/>
      <c r="CY24" s="38"/>
      <c r="CZ24" s="38"/>
      <c r="DA24" s="38"/>
      <c r="DB24" s="38"/>
      <c r="DC24" s="38"/>
      <c r="DD24" s="38"/>
      <c r="DE24" s="38"/>
      <c r="DF24" s="38"/>
      <c r="DG24" s="38"/>
      <c r="DH24" s="38"/>
      <c r="DI24" s="38"/>
      <c r="DJ24" s="36"/>
      <c r="DK24" s="37"/>
      <c r="DL24" s="38"/>
      <c r="DM24" s="38"/>
      <c r="DN24" s="38"/>
      <c r="DO24" s="38"/>
      <c r="DP24" s="38"/>
      <c r="DQ24" s="38"/>
      <c r="DR24" s="38"/>
      <c r="DS24" s="38"/>
      <c r="DT24" s="38"/>
      <c r="DU24" s="38"/>
      <c r="DV24" s="38"/>
      <c r="DW24" s="38"/>
      <c r="DX24" s="38"/>
      <c r="DY24" s="38"/>
      <c r="DZ24" s="38"/>
      <c r="EA24" s="38"/>
      <c r="EB24" s="38"/>
      <c r="EC24" s="38"/>
      <c r="ED24" s="38"/>
      <c r="EE24" s="38"/>
      <c r="EF24" s="38"/>
      <c r="EG24" s="38"/>
      <c r="EH24" s="38"/>
      <c r="EI24" s="38"/>
      <c r="EJ24" s="38"/>
      <c r="EK24" s="36"/>
      <c r="EL24" s="37"/>
      <c r="EM24" s="38"/>
      <c r="EN24" s="38"/>
      <c r="EO24" s="38"/>
      <c r="EP24" s="38"/>
      <c r="EQ24" s="38"/>
      <c r="ER24" s="38"/>
      <c r="ES24" s="38"/>
      <c r="ET24" s="38"/>
      <c r="EU24" s="38"/>
      <c r="EV24" s="38"/>
      <c r="EW24" s="38"/>
      <c r="EX24" s="38"/>
      <c r="EY24" s="38"/>
      <c r="EZ24" s="38"/>
      <c r="FA24" s="38"/>
      <c r="FB24" s="38"/>
      <c r="FC24" s="38"/>
      <c r="FD24" s="38"/>
      <c r="FE24" s="38"/>
      <c r="FF24" s="38"/>
      <c r="FG24" s="38"/>
      <c r="FH24" s="38"/>
      <c r="FI24" s="38"/>
      <c r="FJ24" s="38"/>
      <c r="FK24" s="38"/>
      <c r="FL24" s="36"/>
      <c r="FM24" s="37"/>
      <c r="FN24" s="38"/>
      <c r="FO24" s="38"/>
      <c r="FP24" s="38"/>
      <c r="FQ24" s="38"/>
      <c r="FR24" s="38"/>
      <c r="FS24" s="38"/>
      <c r="FT24" s="38"/>
      <c r="FU24" s="38"/>
      <c r="FV24" s="38"/>
      <c r="FW24" s="38"/>
      <c r="FX24" s="38"/>
      <c r="FY24" s="38"/>
      <c r="FZ24" s="38"/>
      <c r="GA24" s="38"/>
      <c r="GB24" s="38"/>
      <c r="GC24" s="38"/>
      <c r="GD24" s="38"/>
      <c r="GE24" s="38"/>
      <c r="GF24" s="38"/>
      <c r="GG24" s="38"/>
      <c r="GH24" s="38"/>
      <c r="GI24" s="38"/>
      <c r="GJ24" s="38"/>
      <c r="GK24" s="38"/>
      <c r="GL24" s="38"/>
      <c r="GM24" s="36"/>
      <c r="GN24" s="37"/>
      <c r="GO24" s="38"/>
      <c r="GP24" s="38"/>
      <c r="GQ24" s="38"/>
      <c r="GR24" s="38"/>
      <c r="GS24" s="38"/>
      <c r="GT24" s="38"/>
      <c r="GU24" s="38"/>
      <c r="GV24" s="38"/>
      <c r="GW24" s="38"/>
      <c r="GX24" s="38"/>
      <c r="GY24" s="38"/>
      <c r="GZ24" s="38"/>
      <c r="HA24" s="38"/>
      <c r="HB24" s="38"/>
      <c r="HC24" s="38"/>
      <c r="HD24" s="38"/>
      <c r="HE24" s="38"/>
      <c r="HF24" s="38"/>
      <c r="HG24" s="38"/>
      <c r="HH24" s="38"/>
      <c r="HI24" s="38"/>
      <c r="HJ24" s="38"/>
      <c r="HK24" s="38"/>
      <c r="HL24" s="38"/>
      <c r="HM24" s="38"/>
      <c r="HN24" s="36"/>
      <c r="HO24" s="37"/>
      <c r="HP24" s="38"/>
      <c r="HQ24" s="38"/>
      <c r="HR24" s="38"/>
      <c r="HS24" s="38"/>
      <c r="HT24" s="38"/>
      <c r="HU24" s="38"/>
      <c r="HV24" s="38"/>
      <c r="HW24" s="38"/>
      <c r="HX24" s="38"/>
      <c r="HY24" s="38"/>
      <c r="HZ24" s="38"/>
      <c r="IA24" s="38"/>
      <c r="IB24" s="38"/>
      <c r="IC24" s="38"/>
      <c r="ID24" s="38"/>
      <c r="IE24" s="38"/>
      <c r="IF24" s="38"/>
      <c r="IG24" s="38"/>
      <c r="IH24" s="38"/>
      <c r="II24" s="38"/>
      <c r="IJ24" s="38"/>
      <c r="IK24" s="38"/>
      <c r="IL24" s="38"/>
      <c r="IM24" s="38"/>
      <c r="IN24" s="38"/>
      <c r="IO24" s="36"/>
    </row>
    <row r="25" customFormat="false" ht="14.35" hidden="false" customHeight="false" outlineLevel="0" collapsed="false">
      <c r="A25" s="39"/>
      <c r="G25" s="40"/>
      <c r="H25" s="40"/>
      <c r="I25" s="40"/>
      <c r="J25" s="33"/>
      <c r="K25" s="33"/>
      <c r="L25" s="33"/>
      <c r="M25" s="33"/>
      <c r="N25" s="33"/>
      <c r="O25" s="33"/>
      <c r="P25" s="33"/>
      <c r="Q25" s="33"/>
      <c r="R25" s="33"/>
      <c r="S25" s="40"/>
      <c r="T25" s="40"/>
      <c r="U25" s="40"/>
      <c r="V25" s="33"/>
      <c r="W25" s="33"/>
      <c r="X25" s="33"/>
      <c r="Y25" s="33"/>
      <c r="Z25" s="33"/>
      <c r="AA25" s="33"/>
      <c r="AB25" s="33"/>
      <c r="AC25" s="33"/>
      <c r="AD25" s="33"/>
      <c r="AH25" s="40"/>
      <c r="AI25" s="40"/>
      <c r="AJ25" s="40"/>
      <c r="AK25" s="33"/>
      <c r="AL25" s="33"/>
      <c r="AM25" s="33"/>
      <c r="AN25" s="33"/>
      <c r="AO25" s="33"/>
      <c r="AP25" s="33"/>
      <c r="AQ25" s="33"/>
      <c r="AR25" s="33"/>
      <c r="AS25" s="33"/>
      <c r="AT25" s="40"/>
      <c r="AU25" s="40"/>
      <c r="AV25" s="40"/>
      <c r="AW25" s="40"/>
      <c r="AX25" s="40"/>
      <c r="AY25" s="40"/>
      <c r="AZ25" s="40"/>
      <c r="BA25" s="40"/>
      <c r="BB25" s="40"/>
      <c r="BC25" s="40"/>
      <c r="BD25" s="40"/>
      <c r="BE25" s="40"/>
      <c r="BI25" s="40"/>
      <c r="DC25" s="40"/>
      <c r="DD25" s="40"/>
      <c r="DE25" s="40"/>
      <c r="DF25" s="40"/>
      <c r="DG25" s="40"/>
      <c r="DJ25" s="40"/>
      <c r="EJ25" s="40"/>
      <c r="FK25" s="40"/>
      <c r="FM25" s="40"/>
      <c r="FN25" s="40"/>
      <c r="FO25" s="40"/>
      <c r="FP25" s="40"/>
      <c r="FQ25" s="40"/>
      <c r="FR25" s="40"/>
      <c r="FS25" s="40"/>
      <c r="FT25" s="33"/>
      <c r="FU25" s="33"/>
      <c r="FV25" s="33"/>
      <c r="FW25" s="33"/>
      <c r="FX25" s="33"/>
      <c r="FY25" s="33"/>
      <c r="FZ25" s="33"/>
      <c r="GA25" s="33"/>
      <c r="GB25" s="40"/>
      <c r="GC25" s="40"/>
      <c r="GD25" s="40"/>
      <c r="GE25" s="40"/>
      <c r="GF25" s="40"/>
      <c r="GN25" s="40"/>
      <c r="GO25" s="40"/>
      <c r="GP25" s="40"/>
      <c r="GQ25" s="40"/>
      <c r="GR25" s="40"/>
      <c r="GS25" s="40"/>
      <c r="GT25" s="40"/>
      <c r="GU25" s="40"/>
      <c r="GV25" s="40"/>
      <c r="GW25" s="40"/>
      <c r="GX25" s="40"/>
      <c r="GY25" s="40"/>
      <c r="GZ25" s="40"/>
      <c r="HA25" s="40"/>
      <c r="HB25" s="40"/>
    </row>
    <row r="26" customFormat="false" ht="14.35" hidden="false" customHeight="false" outlineLevel="0" collapsed="false">
      <c r="G26" s="40"/>
      <c r="H26" s="40"/>
      <c r="I26" s="40"/>
      <c r="J26" s="33"/>
      <c r="K26" s="33"/>
      <c r="L26" s="33"/>
      <c r="M26" s="33"/>
      <c r="N26" s="33"/>
      <c r="O26" s="33"/>
      <c r="P26" s="33"/>
      <c r="Q26" s="33"/>
      <c r="R26" s="33"/>
      <c r="S26" s="40"/>
      <c r="T26" s="40"/>
      <c r="U26" s="40"/>
      <c r="V26" s="33"/>
      <c r="W26" s="33"/>
      <c r="X26" s="33"/>
      <c r="Y26" s="33"/>
      <c r="Z26" s="33"/>
      <c r="AA26" s="33"/>
      <c r="AB26" s="33"/>
      <c r="AC26" s="33"/>
      <c r="AD26" s="33"/>
      <c r="AH26" s="40"/>
      <c r="AI26" s="40"/>
      <c r="AJ26" s="40"/>
      <c r="AK26" s="33"/>
      <c r="AL26" s="33"/>
      <c r="AM26" s="33"/>
      <c r="AN26" s="33"/>
      <c r="AO26" s="33"/>
      <c r="AP26" s="33"/>
      <c r="AQ26" s="33"/>
      <c r="AR26" s="33"/>
      <c r="AS26" s="33"/>
      <c r="AT26" s="40"/>
      <c r="AU26" s="40"/>
      <c r="AV26" s="40"/>
      <c r="AW26" s="40"/>
      <c r="AX26" s="40"/>
      <c r="AY26" s="40"/>
      <c r="AZ26" s="40"/>
      <c r="BA26" s="40"/>
      <c r="BB26" s="40"/>
      <c r="BC26" s="40"/>
      <c r="BD26" s="40"/>
      <c r="BE26" s="40"/>
      <c r="BI26" s="40"/>
      <c r="DC26" s="40"/>
      <c r="DJ26" s="40"/>
      <c r="EJ26" s="40"/>
      <c r="FK26" s="40"/>
      <c r="FT26" s="40"/>
      <c r="FU26" s="40"/>
      <c r="FV26" s="40"/>
      <c r="FW26" s="40"/>
      <c r="FX26" s="40"/>
      <c r="FY26" s="40"/>
      <c r="FZ26" s="40"/>
      <c r="GA26" s="40"/>
      <c r="GN26" s="40"/>
      <c r="GO26" s="40"/>
      <c r="GP26" s="40"/>
      <c r="GQ26" s="40"/>
      <c r="GR26" s="40"/>
      <c r="GS26" s="40"/>
      <c r="GT26" s="40"/>
      <c r="GU26" s="40"/>
      <c r="GV26" s="40"/>
      <c r="GW26" s="40"/>
      <c r="GX26" s="40"/>
      <c r="GY26" s="40"/>
      <c r="GZ26" s="40"/>
      <c r="HA26" s="40"/>
      <c r="HB26" s="40"/>
    </row>
    <row r="27" customFormat="false" ht="13.8" hidden="false" customHeight="false" outlineLevel="0" collapsed="false">
      <c r="AH27" s="40"/>
      <c r="AI27" s="40"/>
      <c r="AJ27" s="40"/>
      <c r="AK27" s="40"/>
      <c r="AL27" s="40"/>
      <c r="AM27" s="40"/>
      <c r="AN27" s="40"/>
      <c r="AO27" s="40"/>
      <c r="AP27" s="40"/>
      <c r="AQ27" s="40"/>
      <c r="AR27" s="40"/>
      <c r="AS27" s="40"/>
      <c r="AT27" s="40"/>
      <c r="AU27" s="40"/>
      <c r="AV27" s="40"/>
      <c r="AW27" s="40"/>
      <c r="AX27" s="40"/>
      <c r="AY27" s="40"/>
      <c r="AZ27" s="40"/>
      <c r="BA27" s="40"/>
      <c r="BB27" s="40"/>
      <c r="BC27" s="40"/>
      <c r="BD27" s="40"/>
      <c r="BE27" s="40"/>
      <c r="BI27" s="40"/>
      <c r="BJ27" s="40"/>
      <c r="BK27" s="40"/>
      <c r="BL27" s="40"/>
      <c r="BM27" s="40"/>
      <c r="BN27" s="40"/>
      <c r="BO27" s="40"/>
      <c r="BP27" s="40"/>
      <c r="BQ27" s="40"/>
      <c r="BR27" s="40"/>
      <c r="BS27" s="40"/>
      <c r="BT27" s="40"/>
      <c r="DC27" s="40"/>
      <c r="DD27" s="40"/>
      <c r="DE27" s="40"/>
      <c r="DF27" s="40"/>
      <c r="DG27" s="40"/>
      <c r="DJ27" s="40"/>
      <c r="DK27" s="40"/>
      <c r="DL27" s="40"/>
      <c r="DM27" s="40"/>
      <c r="DN27" s="40"/>
      <c r="DO27" s="40"/>
      <c r="DP27" s="40"/>
      <c r="DQ27" s="40"/>
      <c r="DR27" s="40"/>
      <c r="DS27" s="40"/>
      <c r="DT27" s="40"/>
      <c r="DU27" s="40"/>
      <c r="DV27" s="40"/>
      <c r="EJ27" s="40"/>
      <c r="EL27" s="40"/>
      <c r="EM27" s="40"/>
      <c r="EN27" s="40"/>
      <c r="EO27" s="40"/>
      <c r="EP27" s="40"/>
      <c r="EQ27" s="40"/>
      <c r="ER27" s="40"/>
      <c r="ES27" s="40"/>
      <c r="ET27" s="40"/>
      <c r="EU27" s="40"/>
      <c r="EV27" s="40"/>
      <c r="EW27" s="40"/>
      <c r="FK27" s="40"/>
      <c r="FM27" s="40"/>
      <c r="FN27" s="40"/>
      <c r="FO27" s="40"/>
      <c r="FP27" s="40"/>
      <c r="FQ27" s="40"/>
      <c r="FR27" s="40"/>
      <c r="FS27" s="40"/>
      <c r="FT27" s="40"/>
      <c r="FU27" s="40"/>
      <c r="FV27" s="40"/>
      <c r="FW27" s="40"/>
      <c r="FX27" s="40"/>
      <c r="FY27" s="40"/>
      <c r="FZ27" s="40"/>
      <c r="GA27" s="40"/>
      <c r="GB27" s="40"/>
      <c r="GC27" s="40"/>
      <c r="GD27" s="40"/>
      <c r="GE27" s="40"/>
      <c r="GF27" s="40"/>
      <c r="GU27" s="40"/>
      <c r="GV27" s="40"/>
      <c r="GW27" s="40"/>
      <c r="GX27" s="40"/>
      <c r="GY27" s="40"/>
      <c r="GZ27" s="40"/>
      <c r="HA27" s="40"/>
      <c r="HB27" s="40"/>
    </row>
    <row r="28" customFormat="false" ht="13.8" hidden="false" customHeight="false" outlineLevel="0" collapsed="false"/>
    <row r="29" customFormat="false" ht="13.8" hidden="false" customHeight="false" outlineLevel="0" collapsed="false">
      <c r="D29" s="41" t="s">
        <v>49</v>
      </c>
      <c r="O29" s="41" t="s">
        <v>50</v>
      </c>
      <c r="Z29" s="41" t="s">
        <v>51</v>
      </c>
      <c r="BD29" s="41" t="s">
        <v>52</v>
      </c>
      <c r="FM29" s="40"/>
    </row>
    <row r="30" customFormat="false" ht="13.8" hidden="false" customHeight="false" outlineLevel="0" collapsed="false">
      <c r="D30" s="42" t="s">
        <v>14</v>
      </c>
      <c r="E30" s="43" t="s">
        <v>53</v>
      </c>
      <c r="F30" s="44" t="s">
        <v>54</v>
      </c>
      <c r="G30" s="19" t="s">
        <v>55</v>
      </c>
      <c r="H30" s="43" t="s">
        <v>53</v>
      </c>
      <c r="I30" s="44" t="s">
        <v>54</v>
      </c>
      <c r="J30" s="19" t="s">
        <v>55</v>
      </c>
      <c r="K30" s="43" t="s">
        <v>53</v>
      </c>
      <c r="L30" s="44" t="s">
        <v>54</v>
      </c>
      <c r="M30" s="19" t="s">
        <v>55</v>
      </c>
      <c r="O30" s="45" t="s">
        <v>14</v>
      </c>
      <c r="P30" s="43" t="s">
        <v>56</v>
      </c>
      <c r="Q30" s="19" t="s">
        <v>53</v>
      </c>
      <c r="R30" s="43" t="s">
        <v>56</v>
      </c>
      <c r="S30" s="19" t="s">
        <v>53</v>
      </c>
      <c r="T30" s="43" t="s">
        <v>56</v>
      </c>
      <c r="U30" s="19" t="s">
        <v>53</v>
      </c>
      <c r="V30" s="43" t="s">
        <v>56</v>
      </c>
      <c r="W30" s="19" t="s">
        <v>53</v>
      </c>
      <c r="X30" s="40"/>
      <c r="Z30" s="46" t="s">
        <v>14</v>
      </c>
      <c r="AA30" s="43" t="s">
        <v>53</v>
      </c>
      <c r="AB30" s="44" t="s">
        <v>56</v>
      </c>
      <c r="AC30" s="44" t="s">
        <v>57</v>
      </c>
      <c r="AD30" s="44" t="s">
        <v>58</v>
      </c>
      <c r="AE30" s="44" t="s">
        <v>59</v>
      </c>
      <c r="AF30" s="44" t="s">
        <v>60</v>
      </c>
      <c r="AG30" s="19" t="s">
        <v>61</v>
      </c>
      <c r="AH30" s="43" t="s">
        <v>53</v>
      </c>
      <c r="AI30" s="44" t="s">
        <v>56</v>
      </c>
      <c r="AJ30" s="44" t="s">
        <v>57</v>
      </c>
      <c r="AK30" s="44" t="s">
        <v>58</v>
      </c>
      <c r="AL30" s="44" t="s">
        <v>59</v>
      </c>
      <c r="AM30" s="44" t="s">
        <v>60</v>
      </c>
      <c r="AN30" s="19" t="s">
        <v>61</v>
      </c>
      <c r="AO30" s="43" t="s">
        <v>53</v>
      </c>
      <c r="AP30" s="44" t="s">
        <v>56</v>
      </c>
      <c r="AQ30" s="44" t="s">
        <v>57</v>
      </c>
      <c r="AR30" s="44" t="s">
        <v>58</v>
      </c>
      <c r="AS30" s="44" t="s">
        <v>59</v>
      </c>
      <c r="AT30" s="44" t="s">
        <v>60</v>
      </c>
      <c r="AU30" s="19" t="s">
        <v>61</v>
      </c>
      <c r="AV30" s="43" t="s">
        <v>53</v>
      </c>
      <c r="AW30" s="44" t="s">
        <v>56</v>
      </c>
      <c r="AX30" s="44" t="s">
        <v>57</v>
      </c>
      <c r="AY30" s="44" t="s">
        <v>58</v>
      </c>
      <c r="AZ30" s="44" t="s">
        <v>59</v>
      </c>
      <c r="BA30" s="44" t="s">
        <v>60</v>
      </c>
      <c r="BB30" s="19" t="s">
        <v>61</v>
      </c>
      <c r="BD30" s="42" t="s">
        <v>14</v>
      </c>
      <c r="BE30" s="43" t="s">
        <v>62</v>
      </c>
      <c r="FM30" s="40"/>
    </row>
    <row r="31" customFormat="false" ht="14.35" hidden="false" customHeight="false" outlineLevel="0" collapsed="false">
      <c r="D31" s="47" t="str">
        <f aca="false">Neu!$B4</f>
        <v>B4</v>
      </c>
      <c r="E31" s="48" t="s">
        <v>63</v>
      </c>
      <c r="F31" s="33" t="n">
        <v>10</v>
      </c>
      <c r="G31" s="33" t="n">
        <v>9</v>
      </c>
      <c r="H31" s="32"/>
      <c r="I31" s="33"/>
      <c r="J31" s="28"/>
      <c r="K31" s="32"/>
      <c r="L31" s="33"/>
      <c r="M31" s="28"/>
      <c r="O31" s="47" t="str">
        <f aca="false">Neu!$B4</f>
        <v>B4</v>
      </c>
      <c r="P31" s="32" t="s">
        <v>4</v>
      </c>
      <c r="Q31" s="28" t="s">
        <v>63</v>
      </c>
      <c r="R31" s="32"/>
      <c r="S31" s="28"/>
      <c r="T31" s="32"/>
      <c r="U31" s="28"/>
      <c r="V31" s="32"/>
      <c r="W31" s="28"/>
      <c r="Z31" s="47" t="str">
        <f aca="false">Neu!$B4</f>
        <v>B4</v>
      </c>
      <c r="AA31" s="32" t="s">
        <v>63</v>
      </c>
      <c r="AB31" s="33" t="s">
        <v>4</v>
      </c>
      <c r="AC31" s="33" t="n">
        <v>3</v>
      </c>
      <c r="AD31" s="49" t="n">
        <v>2</v>
      </c>
      <c r="AE31" s="33" t="n">
        <v>60</v>
      </c>
      <c r="AF31" s="33"/>
      <c r="AG31" s="28" t="n">
        <v>17</v>
      </c>
      <c r="AH31" s="32" t="s">
        <v>63</v>
      </c>
      <c r="AI31" s="33" t="s">
        <v>6</v>
      </c>
      <c r="AJ31" s="33" t="n">
        <v>1</v>
      </c>
      <c r="AK31" s="49" t="n">
        <v>1</v>
      </c>
      <c r="AL31" s="33" t="n">
        <v>0.01</v>
      </c>
      <c r="AM31" s="33"/>
      <c r="AN31" s="28"/>
      <c r="AO31" s="32" t="s">
        <v>63</v>
      </c>
      <c r="AP31" s="33" t="s">
        <v>5</v>
      </c>
      <c r="AQ31" s="33" t="n">
        <v>1</v>
      </c>
      <c r="AR31" s="33" t="n">
        <v>1</v>
      </c>
      <c r="AS31" s="33" t="n">
        <v>3</v>
      </c>
      <c r="AT31" s="33"/>
      <c r="AU31" s="28"/>
      <c r="AV31" s="32"/>
      <c r="AW31" s="33"/>
      <c r="AX31" s="33"/>
      <c r="AY31" s="33"/>
      <c r="AZ31" s="33"/>
      <c r="BA31" s="33"/>
      <c r="BB31" s="28"/>
      <c r="BD31" s="47" t="str">
        <f aca="false">Neu!$B4</f>
        <v>B4</v>
      </c>
      <c r="BE31" s="32" t="n">
        <v>-60</v>
      </c>
      <c r="FM31" s="40"/>
    </row>
    <row r="32" customFormat="false" ht="14.35" hidden="false" customHeight="false" outlineLevel="0" collapsed="false">
      <c r="D32" s="50" t="str">
        <f aca="false">Neu!$B5</f>
        <v>B8</v>
      </c>
      <c r="E32" s="48"/>
      <c r="F32" s="33"/>
      <c r="G32" s="33"/>
      <c r="H32" s="32"/>
      <c r="I32" s="33"/>
      <c r="J32" s="28"/>
      <c r="K32" s="32"/>
      <c r="L32" s="33"/>
      <c r="M32" s="28"/>
      <c r="O32" s="50" t="str">
        <f aca="false">Neu!$B5</f>
        <v>B8</v>
      </c>
      <c r="P32" s="32"/>
      <c r="Q32" s="28"/>
      <c r="R32" s="32"/>
      <c r="S32" s="28"/>
      <c r="T32" s="32"/>
      <c r="U32" s="28"/>
      <c r="V32" s="32"/>
      <c r="W32" s="28"/>
      <c r="Z32" s="50" t="str">
        <f aca="false">Neu!$B5</f>
        <v>B8</v>
      </c>
      <c r="AA32" s="32"/>
      <c r="AB32" s="33"/>
      <c r="AC32" s="33"/>
      <c r="AD32" s="49"/>
      <c r="AE32" s="33"/>
      <c r="AF32" s="33"/>
      <c r="AG32" s="28"/>
      <c r="AH32" s="32"/>
      <c r="AI32" s="33"/>
      <c r="AJ32" s="33"/>
      <c r="AK32" s="49"/>
      <c r="AL32" s="33"/>
      <c r="AM32" s="33"/>
      <c r="AN32" s="28"/>
      <c r="AO32" s="32"/>
      <c r="AP32" s="33"/>
      <c r="AQ32" s="33"/>
      <c r="AR32" s="33"/>
      <c r="AS32" s="33"/>
      <c r="AT32" s="33"/>
      <c r="AU32" s="28"/>
      <c r="AV32" s="32"/>
      <c r="AW32" s="33"/>
      <c r="AX32" s="33"/>
      <c r="AY32" s="33"/>
      <c r="AZ32" s="33"/>
      <c r="BA32" s="33"/>
      <c r="BB32" s="28"/>
      <c r="BD32" s="50" t="str">
        <f aca="false">Neu!$B5</f>
        <v>B8</v>
      </c>
      <c r="BE32" s="32" t="n">
        <v>-60</v>
      </c>
    </row>
    <row r="33" customFormat="false" ht="14.35" hidden="false" customHeight="false" outlineLevel="0" collapsed="false">
      <c r="D33" s="50" t="str">
        <f aca="false">Neu!$B6</f>
        <v>B20</v>
      </c>
      <c r="E33" s="48" t="s">
        <v>1</v>
      </c>
      <c r="F33" s="33" t="n">
        <v>1</v>
      </c>
      <c r="G33" s="33" t="n">
        <v>0.2</v>
      </c>
      <c r="H33" s="32"/>
      <c r="I33" s="33"/>
      <c r="J33" s="28"/>
      <c r="K33" s="32"/>
      <c r="L33" s="33"/>
      <c r="M33" s="28"/>
      <c r="O33" s="50" t="str">
        <f aca="false">Neu!$B6</f>
        <v>B20</v>
      </c>
      <c r="P33" s="32" t="s">
        <v>1</v>
      </c>
      <c r="Q33" s="28" t="s">
        <v>1</v>
      </c>
      <c r="R33" s="32"/>
      <c r="S33" s="28"/>
      <c r="T33" s="32"/>
      <c r="U33" s="28"/>
      <c r="V33" s="32"/>
      <c r="W33" s="28"/>
      <c r="Z33" s="50" t="str">
        <f aca="false">Neu!$B6</f>
        <v>B20</v>
      </c>
      <c r="AA33" s="32"/>
      <c r="AB33" s="33"/>
      <c r="AC33" s="33"/>
      <c r="AD33" s="49"/>
      <c r="AE33" s="33"/>
      <c r="AF33" s="33"/>
      <c r="AG33" s="28"/>
      <c r="AH33" s="32"/>
      <c r="AI33" s="33"/>
      <c r="AJ33" s="33"/>
      <c r="AK33" s="49"/>
      <c r="AL33" s="33"/>
      <c r="AM33" s="33"/>
      <c r="AN33" s="28"/>
      <c r="AO33" s="32"/>
      <c r="AP33" s="33"/>
      <c r="AQ33" s="33"/>
      <c r="AR33" s="33"/>
      <c r="AS33" s="33"/>
      <c r="AT33" s="33"/>
      <c r="AU33" s="28"/>
      <c r="AV33" s="32"/>
      <c r="AW33" s="33"/>
      <c r="AX33" s="33"/>
      <c r="AY33" s="33"/>
      <c r="AZ33" s="33"/>
      <c r="BA33" s="33"/>
      <c r="BB33" s="28"/>
      <c r="BD33" s="50" t="str">
        <f aca="false">Neu!$B6</f>
        <v>B20</v>
      </c>
      <c r="BE33" s="32" t="n">
        <v>-60</v>
      </c>
    </row>
    <row r="34" customFormat="false" ht="14.35" hidden="false" customHeight="false" outlineLevel="0" collapsed="false">
      <c r="D34" s="50" t="str">
        <f aca="false">Neu!$B7</f>
        <v>B30</v>
      </c>
      <c r="E34" s="48" t="s">
        <v>1</v>
      </c>
      <c r="F34" s="33" t="n">
        <v>1</v>
      </c>
      <c r="G34" s="28" t="n">
        <v>0.2</v>
      </c>
      <c r="H34" s="32"/>
      <c r="I34" s="33"/>
      <c r="J34" s="28"/>
      <c r="K34" s="32"/>
      <c r="L34" s="33"/>
      <c r="M34" s="28"/>
      <c r="O34" s="50" t="str">
        <f aca="false">Neu!$B7</f>
        <v>B30</v>
      </c>
      <c r="P34" s="32" t="s">
        <v>1</v>
      </c>
      <c r="Q34" s="28" t="s">
        <v>1</v>
      </c>
      <c r="R34" s="32"/>
      <c r="S34" s="28"/>
      <c r="T34" s="32"/>
      <c r="U34" s="28"/>
      <c r="V34" s="32"/>
      <c r="W34" s="28"/>
      <c r="Z34" s="50" t="str">
        <f aca="false">Neu!$B7</f>
        <v>B30</v>
      </c>
      <c r="AA34" s="32"/>
      <c r="AB34" s="33"/>
      <c r="AC34" s="33"/>
      <c r="AD34" s="49"/>
      <c r="AE34" s="33"/>
      <c r="AF34" s="33"/>
      <c r="AG34" s="28"/>
      <c r="AH34" s="32"/>
      <c r="AI34" s="33"/>
      <c r="AJ34" s="33"/>
      <c r="AK34" s="33"/>
      <c r="AL34" s="33"/>
      <c r="AM34" s="33"/>
      <c r="AN34" s="28"/>
      <c r="AO34" s="32"/>
      <c r="AP34" s="33"/>
      <c r="AQ34" s="33"/>
      <c r="AR34" s="33"/>
      <c r="AS34" s="33"/>
      <c r="AT34" s="33"/>
      <c r="AU34" s="28"/>
      <c r="AV34" s="32"/>
      <c r="AW34" s="33"/>
      <c r="AX34" s="33"/>
      <c r="AY34" s="33"/>
      <c r="AZ34" s="33"/>
      <c r="BA34" s="33"/>
      <c r="BB34" s="28"/>
      <c r="BD34" s="50" t="str">
        <f aca="false">Neu!$B7</f>
        <v>B30</v>
      </c>
      <c r="BE34" s="32" t="n">
        <v>-60</v>
      </c>
    </row>
    <row r="35" customFormat="false" ht="14.35" hidden="false" customHeight="false" outlineLevel="0" collapsed="false">
      <c r="D35" s="50" t="str">
        <f aca="false">Neu!$B8</f>
        <v>B31s</v>
      </c>
      <c r="E35" s="48"/>
      <c r="F35" s="33"/>
      <c r="G35" s="28"/>
      <c r="H35" s="32"/>
      <c r="I35" s="33"/>
      <c r="J35" s="28"/>
      <c r="K35" s="32"/>
      <c r="L35" s="33"/>
      <c r="M35" s="28"/>
      <c r="O35" s="50" t="str">
        <f aca="false">Neu!$B8</f>
        <v>B31s</v>
      </c>
      <c r="P35" s="32"/>
      <c r="Q35" s="28"/>
      <c r="R35" s="32"/>
      <c r="S35" s="28"/>
      <c r="T35" s="32"/>
      <c r="U35" s="28"/>
      <c r="V35" s="32"/>
      <c r="W35" s="28"/>
      <c r="Z35" s="50" t="str">
        <f aca="false">Neu!$B8</f>
        <v>B31s</v>
      </c>
      <c r="AA35" s="32"/>
      <c r="AB35" s="33"/>
      <c r="AC35" s="33"/>
      <c r="AD35" s="49"/>
      <c r="AE35" s="33"/>
      <c r="AF35" s="33"/>
      <c r="AG35" s="28"/>
      <c r="AH35" s="32"/>
      <c r="AI35" s="33"/>
      <c r="AJ35" s="33"/>
      <c r="AK35" s="49"/>
      <c r="AL35" s="33"/>
      <c r="AM35" s="33"/>
      <c r="AN35" s="28"/>
      <c r="AO35" s="32"/>
      <c r="AP35" s="33"/>
      <c r="AQ35" s="33"/>
      <c r="AR35" s="33"/>
      <c r="AS35" s="33"/>
      <c r="AT35" s="33"/>
      <c r="AU35" s="28"/>
      <c r="AV35" s="32"/>
      <c r="AW35" s="33"/>
      <c r="AX35" s="33"/>
      <c r="AY35" s="33"/>
      <c r="AZ35" s="33"/>
      <c r="BA35" s="33"/>
      <c r="BB35" s="28"/>
      <c r="BD35" s="50" t="str">
        <f aca="false">Neu!$B8</f>
        <v>B31s</v>
      </c>
      <c r="BE35" s="32" t="n">
        <v>-60</v>
      </c>
    </row>
    <row r="36" customFormat="false" ht="14.35" hidden="false" customHeight="false" outlineLevel="0" collapsed="false">
      <c r="D36" s="50" t="str">
        <f aca="false">Neu!$B9</f>
        <v>B31a</v>
      </c>
      <c r="E36" s="48" t="s">
        <v>1</v>
      </c>
      <c r="F36" s="33" t="n">
        <v>14</v>
      </c>
      <c r="G36" s="28" t="n">
        <v>0.4</v>
      </c>
      <c r="H36" s="32"/>
      <c r="I36" s="33"/>
      <c r="J36" s="28"/>
      <c r="K36" s="32"/>
      <c r="L36" s="33"/>
      <c r="M36" s="28"/>
      <c r="O36" s="50" t="str">
        <f aca="false">Neu!$B9</f>
        <v>B31a</v>
      </c>
      <c r="P36" s="32" t="s">
        <v>1</v>
      </c>
      <c r="Q36" s="28" t="s">
        <v>1</v>
      </c>
      <c r="R36" s="32"/>
      <c r="S36" s="28"/>
      <c r="T36" s="32"/>
      <c r="U36" s="28"/>
      <c r="V36" s="32"/>
      <c r="W36" s="28"/>
      <c r="Z36" s="50" t="str">
        <f aca="false">Neu!$B9</f>
        <v>B31a</v>
      </c>
      <c r="AA36" s="32"/>
      <c r="AB36" s="33"/>
      <c r="AC36" s="33"/>
      <c r="AD36" s="49"/>
      <c r="AE36" s="33"/>
      <c r="AF36" s="33"/>
      <c r="AG36" s="28"/>
      <c r="AH36" s="32"/>
      <c r="AI36" s="33"/>
      <c r="AJ36" s="33"/>
      <c r="AK36" s="33"/>
      <c r="AL36" s="33"/>
      <c r="AM36" s="33"/>
      <c r="AN36" s="28"/>
      <c r="AO36" s="32"/>
      <c r="AP36" s="33"/>
      <c r="AQ36" s="33"/>
      <c r="AR36" s="33"/>
      <c r="AS36" s="33"/>
      <c r="AT36" s="33"/>
      <c r="AU36" s="28"/>
      <c r="AV36" s="32"/>
      <c r="AW36" s="33"/>
      <c r="AX36" s="33"/>
      <c r="AY36" s="33"/>
      <c r="AZ36" s="33"/>
      <c r="BA36" s="33"/>
      <c r="BB36" s="28"/>
      <c r="BD36" s="50" t="str">
        <f aca="false">Neu!$B9</f>
        <v>B31a</v>
      </c>
      <c r="BE36" s="32" t="n">
        <v>-60</v>
      </c>
    </row>
    <row r="37" customFormat="false" ht="14.35" hidden="false" customHeight="false" outlineLevel="0" collapsed="false">
      <c r="D37" s="50" t="str">
        <f aca="false">Neu!$B10</f>
        <v>B34</v>
      </c>
      <c r="E37" s="48" t="s">
        <v>1</v>
      </c>
      <c r="F37" s="33" t="n">
        <v>1</v>
      </c>
      <c r="G37" s="28" t="n">
        <v>0.2</v>
      </c>
      <c r="H37" s="32"/>
      <c r="I37" s="33"/>
      <c r="J37" s="28"/>
      <c r="K37" s="32"/>
      <c r="L37" s="33"/>
      <c r="M37" s="28"/>
      <c r="O37" s="50" t="str">
        <f aca="false">Neu!$B10</f>
        <v>B34</v>
      </c>
      <c r="P37" s="32" t="s">
        <v>1</v>
      </c>
      <c r="Q37" s="28" t="s">
        <v>1</v>
      </c>
      <c r="R37" s="32"/>
      <c r="S37" s="28"/>
      <c r="T37" s="32"/>
      <c r="U37" s="28"/>
      <c r="V37" s="32"/>
      <c r="W37" s="28"/>
      <c r="Z37" s="50" t="str">
        <f aca="false">Neu!$B10</f>
        <v>B34</v>
      </c>
      <c r="AA37" s="32"/>
      <c r="AB37" s="33"/>
      <c r="AC37" s="33"/>
      <c r="AD37" s="49"/>
      <c r="AE37" s="33"/>
      <c r="AF37" s="33"/>
      <c r="AG37" s="28"/>
      <c r="AH37" s="32"/>
      <c r="AI37" s="33"/>
      <c r="AJ37" s="33"/>
      <c r="AK37" s="33"/>
      <c r="AL37" s="33"/>
      <c r="AM37" s="33"/>
      <c r="AN37" s="28"/>
      <c r="AO37" s="32"/>
      <c r="AP37" s="33"/>
      <c r="AQ37" s="33"/>
      <c r="AR37" s="33"/>
      <c r="AS37" s="33"/>
      <c r="AT37" s="33"/>
      <c r="AU37" s="28"/>
      <c r="AV37" s="32"/>
      <c r="AW37" s="33"/>
      <c r="AX37" s="33"/>
      <c r="AY37" s="33"/>
      <c r="AZ37" s="33"/>
      <c r="BA37" s="33"/>
      <c r="BB37" s="28"/>
      <c r="BD37" s="50" t="str">
        <f aca="false">Neu!$B10</f>
        <v>B34</v>
      </c>
      <c r="BE37" s="32" t="n">
        <v>-60</v>
      </c>
    </row>
    <row r="38" customFormat="false" ht="14.35" hidden="false" customHeight="false" outlineLevel="0" collapsed="false">
      <c r="D38" s="50" t="str">
        <f aca="false">Neu!$B11</f>
        <v>B35</v>
      </c>
      <c r="E38" s="48"/>
      <c r="F38" s="33"/>
      <c r="G38" s="28"/>
      <c r="H38" s="32"/>
      <c r="I38" s="33"/>
      <c r="J38" s="28"/>
      <c r="K38" s="32"/>
      <c r="L38" s="33"/>
      <c r="M38" s="28"/>
      <c r="O38" s="50" t="str">
        <f aca="false">Neu!$B11</f>
        <v>B35</v>
      </c>
      <c r="P38" s="32"/>
      <c r="Q38" s="28"/>
      <c r="R38" s="32"/>
      <c r="S38" s="28"/>
      <c r="T38" s="32"/>
      <c r="U38" s="28"/>
      <c r="V38" s="32"/>
      <c r="W38" s="28"/>
      <c r="Z38" s="50" t="str">
        <f aca="false">Neu!$B11</f>
        <v>B35</v>
      </c>
      <c r="AA38" s="32"/>
      <c r="AB38" s="33"/>
      <c r="AC38" s="33"/>
      <c r="AD38" s="49"/>
      <c r="AE38" s="33"/>
      <c r="AF38" s="33"/>
      <c r="AG38" s="28"/>
      <c r="AH38" s="32"/>
      <c r="AI38" s="33"/>
      <c r="AJ38" s="33"/>
      <c r="AK38" s="33"/>
      <c r="AL38" s="33"/>
      <c r="AM38" s="33"/>
      <c r="AN38" s="28"/>
      <c r="AO38" s="32"/>
      <c r="AP38" s="33"/>
      <c r="AQ38" s="33"/>
      <c r="AR38" s="33"/>
      <c r="AS38" s="33"/>
      <c r="AT38" s="33"/>
      <c r="AU38" s="28"/>
      <c r="AV38" s="32"/>
      <c r="AW38" s="33"/>
      <c r="AX38" s="33"/>
      <c r="AY38" s="33"/>
      <c r="AZ38" s="33"/>
      <c r="BA38" s="33"/>
      <c r="BB38" s="28"/>
      <c r="BD38" s="50" t="str">
        <f aca="false">Neu!$B11</f>
        <v>B35</v>
      </c>
      <c r="BE38" s="32" t="n">
        <v>-60</v>
      </c>
    </row>
    <row r="39" customFormat="false" ht="14.35" hidden="false" customHeight="false" outlineLevel="0" collapsed="false">
      <c r="D39" s="50" t="str">
        <f aca="false">Neu!$B12</f>
        <v>B40</v>
      </c>
      <c r="E39" s="48"/>
      <c r="F39" s="33"/>
      <c r="G39" s="28"/>
      <c r="H39" s="32"/>
      <c r="I39" s="33"/>
      <c r="J39" s="28"/>
      <c r="K39" s="32"/>
      <c r="L39" s="33"/>
      <c r="M39" s="28"/>
      <c r="O39" s="50" t="str">
        <f aca="false">Neu!$B12</f>
        <v>B40</v>
      </c>
      <c r="P39" s="32"/>
      <c r="Q39" s="28"/>
      <c r="R39" s="32"/>
      <c r="S39" s="28"/>
      <c r="T39" s="32"/>
      <c r="U39" s="28"/>
      <c r="V39" s="32"/>
      <c r="W39" s="28"/>
      <c r="Z39" s="50" t="str">
        <f aca="false">Neu!$B12</f>
        <v>B40</v>
      </c>
      <c r="AA39" s="32"/>
      <c r="AB39" s="33"/>
      <c r="AC39" s="33"/>
      <c r="AD39" s="49"/>
      <c r="AE39" s="33"/>
      <c r="AF39" s="33"/>
      <c r="AG39" s="28"/>
      <c r="AH39" s="32"/>
      <c r="AI39" s="33"/>
      <c r="AJ39" s="33"/>
      <c r="AK39" s="33"/>
      <c r="AL39" s="33"/>
      <c r="AM39" s="33"/>
      <c r="AN39" s="28"/>
      <c r="AO39" s="32"/>
      <c r="AP39" s="33"/>
      <c r="AQ39" s="33"/>
      <c r="AR39" s="33"/>
      <c r="AS39" s="33"/>
      <c r="AT39" s="33"/>
      <c r="AU39" s="28"/>
      <c r="AV39" s="32"/>
      <c r="AW39" s="33"/>
      <c r="AX39" s="33"/>
      <c r="AY39" s="33"/>
      <c r="AZ39" s="33"/>
      <c r="BA39" s="33"/>
      <c r="BB39" s="28"/>
      <c r="BD39" s="50" t="str">
        <f aca="false">Neu!$B12</f>
        <v>B40</v>
      </c>
      <c r="BE39" s="32" t="n">
        <v>-60</v>
      </c>
    </row>
    <row r="40" customFormat="false" ht="14.35" hidden="false" customHeight="false" outlineLevel="0" collapsed="false">
      <c r="D40" s="50" t="str">
        <f aca="false">Neu!$B13</f>
        <v>B51s</v>
      </c>
      <c r="E40" s="48"/>
      <c r="F40" s="33"/>
      <c r="G40" s="28"/>
      <c r="H40" s="32"/>
      <c r="I40" s="33"/>
      <c r="J40" s="28"/>
      <c r="K40" s="32"/>
      <c r="L40" s="33"/>
      <c r="M40" s="28"/>
      <c r="O40" s="50" t="str">
        <f aca="false">Neu!$B13</f>
        <v>B51s</v>
      </c>
      <c r="P40" s="32"/>
      <c r="Q40" s="28"/>
      <c r="R40" s="32"/>
      <c r="S40" s="28"/>
      <c r="T40" s="32"/>
      <c r="U40" s="28"/>
      <c r="V40" s="32"/>
      <c r="W40" s="28"/>
      <c r="Z40" s="50" t="str">
        <f aca="false">Neu!$B13</f>
        <v>B51s</v>
      </c>
      <c r="AA40" s="32"/>
      <c r="AB40" s="33"/>
      <c r="AC40" s="33"/>
      <c r="AD40" s="49"/>
      <c r="AE40" s="33"/>
      <c r="AF40" s="33"/>
      <c r="AG40" s="28"/>
      <c r="AH40" s="32"/>
      <c r="AI40" s="33"/>
      <c r="AJ40" s="33"/>
      <c r="AK40" s="33"/>
      <c r="AL40" s="33"/>
      <c r="AM40" s="33"/>
      <c r="AN40" s="28"/>
      <c r="AO40" s="32"/>
      <c r="AP40" s="33"/>
      <c r="AQ40" s="33"/>
      <c r="AR40" s="33"/>
      <c r="AS40" s="33"/>
      <c r="AT40" s="33"/>
      <c r="AU40" s="28"/>
      <c r="AV40" s="32"/>
      <c r="AW40" s="33"/>
      <c r="AX40" s="33"/>
      <c r="AY40" s="33"/>
      <c r="AZ40" s="33"/>
      <c r="BA40" s="33"/>
      <c r="BB40" s="28"/>
      <c r="BD40" s="50" t="str">
        <f aca="false">Neu!$B13</f>
        <v>B51s</v>
      </c>
      <c r="BE40" s="32" t="n">
        <v>-60</v>
      </c>
    </row>
    <row r="41" customFormat="false" ht="14.35" hidden="false" customHeight="false" outlineLevel="0" collapsed="false">
      <c r="D41" s="50" t="str">
        <f aca="false">Neu!$B14</f>
        <v>B51a</v>
      </c>
      <c r="E41" s="48"/>
      <c r="F41" s="33"/>
      <c r="G41" s="28"/>
      <c r="H41" s="32"/>
      <c r="I41" s="33"/>
      <c r="J41" s="28"/>
      <c r="K41" s="32"/>
      <c r="L41" s="33"/>
      <c r="M41" s="28"/>
      <c r="O41" s="50" t="str">
        <f aca="false">Neu!$B14</f>
        <v>B51a</v>
      </c>
      <c r="P41" s="32"/>
      <c r="Q41" s="28"/>
      <c r="R41" s="32"/>
      <c r="S41" s="28"/>
      <c r="T41" s="32"/>
      <c r="U41" s="28"/>
      <c r="V41" s="32"/>
      <c r="W41" s="28"/>
      <c r="Z41" s="50" t="str">
        <f aca="false">Neu!$B14</f>
        <v>B51a</v>
      </c>
      <c r="AA41" s="32"/>
      <c r="AB41" s="33"/>
      <c r="AC41" s="33"/>
      <c r="AD41" s="49"/>
      <c r="AE41" s="33"/>
      <c r="AF41" s="33"/>
      <c r="AG41" s="28"/>
      <c r="AH41" s="32"/>
      <c r="AI41" s="33"/>
      <c r="AJ41" s="33"/>
      <c r="AK41" s="33"/>
      <c r="AL41" s="33"/>
      <c r="AM41" s="33"/>
      <c r="AN41" s="28"/>
      <c r="AO41" s="32"/>
      <c r="AP41" s="33"/>
      <c r="AQ41" s="33"/>
      <c r="AR41" s="33"/>
      <c r="AS41" s="33"/>
      <c r="AT41" s="33"/>
      <c r="AU41" s="28"/>
      <c r="AV41" s="32"/>
      <c r="AW41" s="33"/>
      <c r="AX41" s="33"/>
      <c r="AY41" s="33"/>
      <c r="AZ41" s="33"/>
      <c r="BA41" s="33"/>
      <c r="BB41" s="28"/>
      <c r="BD41" s="50" t="str">
        <f aca="false">Neu!$B14</f>
        <v>B51a</v>
      </c>
      <c r="BE41" s="32" t="n">
        <v>-60</v>
      </c>
    </row>
    <row r="42" customFormat="false" ht="14.35" hidden="false" customHeight="false" outlineLevel="0" collapsed="false">
      <c r="D42" s="50" t="str">
        <f aca="false">Neu!$B15</f>
        <v>B52</v>
      </c>
      <c r="E42" s="48"/>
      <c r="F42" s="33"/>
      <c r="G42" s="28"/>
      <c r="H42" s="32"/>
      <c r="I42" s="33"/>
      <c r="J42" s="28"/>
      <c r="K42" s="32"/>
      <c r="L42" s="33"/>
      <c r="M42" s="28"/>
      <c r="O42" s="50" t="str">
        <f aca="false">Neu!$B15</f>
        <v>B52</v>
      </c>
      <c r="P42" s="32"/>
      <c r="Q42" s="28"/>
      <c r="R42" s="32"/>
      <c r="S42" s="28"/>
      <c r="T42" s="32"/>
      <c r="U42" s="28"/>
      <c r="V42" s="32"/>
      <c r="W42" s="28"/>
      <c r="Z42" s="50" t="str">
        <f aca="false">Neu!$B15</f>
        <v>B52</v>
      </c>
      <c r="AA42" s="32"/>
      <c r="AB42" s="33"/>
      <c r="AC42" s="33"/>
      <c r="AD42" s="49"/>
      <c r="AE42" s="33"/>
      <c r="AF42" s="33"/>
      <c r="AG42" s="28"/>
      <c r="AH42" s="32"/>
      <c r="AI42" s="33"/>
      <c r="AJ42" s="33"/>
      <c r="AK42" s="33"/>
      <c r="AL42" s="33"/>
      <c r="AM42" s="33"/>
      <c r="AN42" s="28"/>
      <c r="AO42" s="32"/>
      <c r="AP42" s="33"/>
      <c r="AQ42" s="33"/>
      <c r="AR42" s="33"/>
      <c r="AS42" s="33"/>
      <c r="AT42" s="33"/>
      <c r="AU42" s="28"/>
      <c r="AV42" s="32"/>
      <c r="AW42" s="33"/>
      <c r="AX42" s="33"/>
      <c r="AY42" s="33"/>
      <c r="AZ42" s="33"/>
      <c r="BA42" s="33"/>
      <c r="BB42" s="28"/>
      <c r="BD42" s="50" t="str">
        <f aca="false">Neu!$B15</f>
        <v>B52</v>
      </c>
      <c r="BE42" s="32" t="n">
        <v>-60</v>
      </c>
    </row>
    <row r="43" customFormat="false" ht="14.35" hidden="false" customHeight="false" outlineLevel="0" collapsed="false">
      <c r="D43" s="50" t="str">
        <f aca="false">Neu!$B16</f>
        <v>B63</v>
      </c>
      <c r="E43" s="48" t="s">
        <v>1</v>
      </c>
      <c r="F43" s="33" t="n">
        <v>14</v>
      </c>
      <c r="G43" s="28" t="n">
        <v>0.4</v>
      </c>
      <c r="H43" s="32"/>
      <c r="I43" s="33"/>
      <c r="J43" s="28"/>
      <c r="K43" s="32"/>
      <c r="L43" s="33"/>
      <c r="M43" s="28"/>
      <c r="O43" s="50" t="str">
        <f aca="false">Neu!$B16</f>
        <v>B63</v>
      </c>
      <c r="P43" s="32" t="s">
        <v>1</v>
      </c>
      <c r="Q43" s="28" t="s">
        <v>1</v>
      </c>
      <c r="R43" s="32"/>
      <c r="S43" s="28"/>
      <c r="T43" s="32"/>
      <c r="U43" s="28"/>
      <c r="V43" s="32"/>
      <c r="W43" s="28"/>
      <c r="Z43" s="50" t="str">
        <f aca="false">Neu!$B16</f>
        <v>B63</v>
      </c>
      <c r="AA43" s="32"/>
      <c r="AB43" s="33"/>
      <c r="AC43" s="33"/>
      <c r="AD43" s="49"/>
      <c r="AE43" s="33"/>
      <c r="AF43" s="33"/>
      <c r="AG43" s="28"/>
      <c r="AH43" s="32"/>
      <c r="AI43" s="33"/>
      <c r="AJ43" s="33"/>
      <c r="AK43" s="33"/>
      <c r="AL43" s="33"/>
      <c r="AM43" s="33"/>
      <c r="AN43" s="28"/>
      <c r="AO43" s="32"/>
      <c r="AP43" s="33"/>
      <c r="AQ43" s="33"/>
      <c r="AR43" s="33"/>
      <c r="AS43" s="33"/>
      <c r="AT43" s="33"/>
      <c r="AU43" s="28"/>
      <c r="AV43" s="32"/>
      <c r="AW43" s="33"/>
      <c r="AX43" s="33"/>
      <c r="AY43" s="33"/>
      <c r="AZ43" s="33"/>
      <c r="BA43" s="33"/>
      <c r="BB43" s="28"/>
      <c r="BD43" s="50" t="str">
        <f aca="false">Neu!$B16</f>
        <v>B63</v>
      </c>
      <c r="BE43" s="32" t="n">
        <v>-60</v>
      </c>
    </row>
    <row r="44" customFormat="false" ht="14.35" hidden="false" customHeight="false" outlineLevel="0" collapsed="false">
      <c r="D44" s="50" t="str">
        <f aca="false">Neu!$B17</f>
        <v>B64s</v>
      </c>
      <c r="E44" s="48"/>
      <c r="F44" s="33"/>
      <c r="G44" s="28"/>
      <c r="H44" s="32"/>
      <c r="I44" s="33"/>
      <c r="J44" s="28"/>
      <c r="K44" s="32"/>
      <c r="L44" s="33"/>
      <c r="M44" s="28"/>
      <c r="O44" s="50" t="str">
        <f aca="false">Neu!$B17</f>
        <v>B64s</v>
      </c>
      <c r="P44" s="32"/>
      <c r="Q44" s="28"/>
      <c r="R44" s="32"/>
      <c r="S44" s="28"/>
      <c r="T44" s="32"/>
      <c r="U44" s="28"/>
      <c r="V44" s="32"/>
      <c r="W44" s="28"/>
      <c r="Z44" s="50" t="str">
        <f aca="false">Neu!$B17</f>
        <v>B64s</v>
      </c>
      <c r="AA44" s="32"/>
      <c r="AB44" s="33"/>
      <c r="AC44" s="33"/>
      <c r="AD44" s="49"/>
      <c r="AE44" s="33"/>
      <c r="AF44" s="33"/>
      <c r="AG44" s="28"/>
      <c r="AH44" s="32"/>
      <c r="AI44" s="33"/>
      <c r="AJ44" s="33"/>
      <c r="AK44" s="33"/>
      <c r="AL44" s="33"/>
      <c r="AM44" s="33"/>
      <c r="AN44" s="28"/>
      <c r="AO44" s="32"/>
      <c r="AP44" s="33"/>
      <c r="AQ44" s="33"/>
      <c r="AR44" s="33"/>
      <c r="AS44" s="33"/>
      <c r="AT44" s="33"/>
      <c r="AU44" s="28"/>
      <c r="AV44" s="32"/>
      <c r="AW44" s="33"/>
      <c r="AX44" s="33"/>
      <c r="AY44" s="33"/>
      <c r="AZ44" s="33"/>
      <c r="BA44" s="33"/>
      <c r="BB44" s="28"/>
      <c r="BD44" s="50" t="str">
        <f aca="false">Neu!$B17</f>
        <v>B64s</v>
      </c>
      <c r="BE44" s="32" t="n">
        <v>-60</v>
      </c>
    </row>
    <row r="45" customFormat="false" ht="14.35" hidden="false" customHeight="false" outlineLevel="0" collapsed="false">
      <c r="D45" s="50" t="str">
        <f aca="false">Neu!$B18</f>
        <v>B64a</v>
      </c>
      <c r="E45" s="48"/>
      <c r="F45" s="33"/>
      <c r="G45" s="28"/>
      <c r="H45" s="32"/>
      <c r="I45" s="33"/>
      <c r="J45" s="28"/>
      <c r="K45" s="32"/>
      <c r="L45" s="33"/>
      <c r="M45" s="28"/>
      <c r="O45" s="50" t="str">
        <f aca="false">Neu!$B18</f>
        <v>B64a</v>
      </c>
      <c r="P45" s="32"/>
      <c r="Q45" s="28"/>
      <c r="R45" s="32"/>
      <c r="S45" s="28"/>
      <c r="T45" s="32"/>
      <c r="U45" s="28"/>
      <c r="V45" s="32"/>
      <c r="W45" s="28"/>
      <c r="Z45" s="50" t="str">
        <f aca="false">Neu!$B18</f>
        <v>B64a</v>
      </c>
      <c r="AA45" s="32"/>
      <c r="AB45" s="33"/>
      <c r="AC45" s="33"/>
      <c r="AD45" s="49"/>
      <c r="AE45" s="33"/>
      <c r="AF45" s="33"/>
      <c r="AG45" s="28"/>
      <c r="AH45" s="32"/>
      <c r="AI45" s="33"/>
      <c r="AJ45" s="33"/>
      <c r="AK45" s="33"/>
      <c r="AL45" s="33"/>
      <c r="AM45" s="33"/>
      <c r="AN45" s="28"/>
      <c r="AO45" s="32"/>
      <c r="AP45" s="33"/>
      <c r="AQ45" s="33"/>
      <c r="AR45" s="33"/>
      <c r="AS45" s="33"/>
      <c r="AT45" s="33"/>
      <c r="AU45" s="28"/>
      <c r="AV45" s="32"/>
      <c r="AW45" s="33"/>
      <c r="AX45" s="33"/>
      <c r="AY45" s="33"/>
      <c r="AZ45" s="33"/>
      <c r="BA45" s="33"/>
      <c r="BB45" s="28"/>
      <c r="BD45" s="50" t="str">
        <f aca="false">Neu!$B18</f>
        <v>B64a</v>
      </c>
      <c r="BE45" s="32" t="n">
        <v>-60</v>
      </c>
    </row>
    <row r="46" customFormat="false" ht="14.35" hidden="false" customHeight="false" outlineLevel="0" collapsed="false">
      <c r="D46" s="50" t="str">
        <f aca="false">Neu!$B19</f>
        <v>B65</v>
      </c>
      <c r="E46" s="48" t="s">
        <v>1</v>
      </c>
      <c r="F46" s="33" t="n">
        <v>1</v>
      </c>
      <c r="G46" s="28" t="n">
        <v>0.2</v>
      </c>
      <c r="H46" s="32"/>
      <c r="I46" s="33"/>
      <c r="J46" s="28"/>
      <c r="K46" s="32"/>
      <c r="L46" s="33"/>
      <c r="M46" s="28"/>
      <c r="O46" s="50" t="str">
        <f aca="false">Neu!$B19</f>
        <v>B65</v>
      </c>
      <c r="P46" s="32" t="s">
        <v>1</v>
      </c>
      <c r="Q46" s="28" t="s">
        <v>1</v>
      </c>
      <c r="R46" s="32"/>
      <c r="S46" s="28"/>
      <c r="T46" s="32"/>
      <c r="U46" s="28"/>
      <c r="V46" s="32"/>
      <c r="W46" s="28"/>
      <c r="Z46" s="50" t="str">
        <f aca="false">Neu!$B19</f>
        <v>B65</v>
      </c>
      <c r="AA46" s="32"/>
      <c r="AB46" s="33"/>
      <c r="AC46" s="33"/>
      <c r="AD46" s="49"/>
      <c r="AE46" s="33"/>
      <c r="AF46" s="33"/>
      <c r="AG46" s="28"/>
      <c r="AH46" s="32"/>
      <c r="AI46" s="33"/>
      <c r="AJ46" s="33"/>
      <c r="AK46" s="33"/>
      <c r="AL46" s="33"/>
      <c r="AM46" s="33"/>
      <c r="AN46" s="28"/>
      <c r="AO46" s="32"/>
      <c r="AP46" s="33"/>
      <c r="AQ46" s="33"/>
      <c r="AR46" s="33"/>
      <c r="AS46" s="33"/>
      <c r="AT46" s="33"/>
      <c r="AU46" s="28"/>
      <c r="AV46" s="32"/>
      <c r="AW46" s="33"/>
      <c r="AX46" s="33"/>
      <c r="AY46" s="33"/>
      <c r="AZ46" s="33"/>
      <c r="BA46" s="33"/>
      <c r="BB46" s="28"/>
      <c r="BD46" s="50" t="str">
        <f aca="false">Neu!$B19</f>
        <v>B65</v>
      </c>
      <c r="BE46" s="32" t="n">
        <v>-60</v>
      </c>
    </row>
    <row r="47" customFormat="false" ht="14.35" hidden="false" customHeight="false" outlineLevel="0" collapsed="false">
      <c r="D47" s="50" t="str">
        <f aca="false">Neu!$B20</f>
        <v>CBI2</v>
      </c>
      <c r="E47" s="48" t="s">
        <v>1</v>
      </c>
      <c r="F47" s="33" t="n">
        <v>1</v>
      </c>
      <c r="G47" s="28" t="n">
        <v>0.2</v>
      </c>
      <c r="H47" s="32"/>
      <c r="I47" s="33"/>
      <c r="J47" s="28"/>
      <c r="K47" s="32"/>
      <c r="L47" s="33"/>
      <c r="M47" s="28"/>
      <c r="O47" s="50" t="str">
        <f aca="false">Neu!$B20</f>
        <v>CBI2</v>
      </c>
      <c r="P47" s="32" t="s">
        <v>1</v>
      </c>
      <c r="Q47" s="28" t="s">
        <v>1</v>
      </c>
      <c r="R47" s="32"/>
      <c r="S47" s="28"/>
      <c r="T47" s="32"/>
      <c r="U47" s="28"/>
      <c r="V47" s="32"/>
      <c r="W47" s="28"/>
      <c r="Z47" s="50" t="str">
        <f aca="false">Neu!$B20</f>
        <v>CBI2</v>
      </c>
      <c r="AA47" s="32"/>
      <c r="AB47" s="33"/>
      <c r="AC47" s="33"/>
      <c r="AD47" s="49"/>
      <c r="AE47" s="33"/>
      <c r="AF47" s="33"/>
      <c r="AG47" s="28"/>
      <c r="AH47" s="32"/>
      <c r="AI47" s="33"/>
      <c r="AJ47" s="33"/>
      <c r="AK47" s="33"/>
      <c r="AL47" s="33"/>
      <c r="AM47" s="33"/>
      <c r="AN47" s="28"/>
      <c r="AO47" s="32"/>
      <c r="AP47" s="33"/>
      <c r="AQ47" s="33"/>
      <c r="AR47" s="33"/>
      <c r="AS47" s="33"/>
      <c r="AT47" s="33"/>
      <c r="AU47" s="28"/>
      <c r="AV47" s="32"/>
      <c r="AW47" s="33"/>
      <c r="AX47" s="33"/>
      <c r="AY47" s="33"/>
      <c r="AZ47" s="33"/>
      <c r="BA47" s="33"/>
      <c r="BB47" s="28"/>
      <c r="BD47" s="50" t="str">
        <f aca="false">Neu!$B20</f>
        <v>CBI2</v>
      </c>
      <c r="BE47" s="32" t="n">
        <v>-60</v>
      </c>
    </row>
    <row r="48" customFormat="false" ht="14.35" hidden="false" customHeight="false" outlineLevel="0" collapsed="false">
      <c r="D48" s="50" t="n">
        <f aca="false">Neu!$B21</f>
        <v>0</v>
      </c>
      <c r="E48" s="48"/>
      <c r="F48" s="33"/>
      <c r="G48" s="28"/>
      <c r="H48" s="32"/>
      <c r="I48" s="33"/>
      <c r="J48" s="28"/>
      <c r="K48" s="32"/>
      <c r="L48" s="33"/>
      <c r="M48" s="28"/>
      <c r="O48" s="50" t="n">
        <f aca="false">Neu!$B21</f>
        <v>0</v>
      </c>
      <c r="P48" s="32"/>
      <c r="Q48" s="28"/>
      <c r="R48" s="32"/>
      <c r="S48" s="28"/>
      <c r="T48" s="32"/>
      <c r="U48" s="28"/>
      <c r="V48" s="32"/>
      <c r="W48" s="28"/>
      <c r="Z48" s="50" t="n">
        <f aca="false">Neu!$B21</f>
        <v>0</v>
      </c>
      <c r="AA48" s="32"/>
      <c r="AB48" s="33"/>
      <c r="AC48" s="33"/>
      <c r="AD48" s="49"/>
      <c r="AE48" s="33"/>
      <c r="AF48" s="33"/>
      <c r="AG48" s="28"/>
      <c r="AH48" s="32"/>
      <c r="AI48" s="33"/>
      <c r="AJ48" s="33"/>
      <c r="AK48" s="33"/>
      <c r="AL48" s="33"/>
      <c r="AM48" s="33"/>
      <c r="AN48" s="28"/>
      <c r="AO48" s="32"/>
      <c r="AP48" s="33"/>
      <c r="AQ48" s="33"/>
      <c r="AR48" s="33"/>
      <c r="AS48" s="33"/>
      <c r="AT48" s="33"/>
      <c r="AU48" s="28"/>
      <c r="AV48" s="32"/>
      <c r="AW48" s="33"/>
      <c r="AX48" s="33"/>
      <c r="AY48" s="33"/>
      <c r="AZ48" s="33"/>
      <c r="BA48" s="33"/>
      <c r="BB48" s="28"/>
      <c r="BD48" s="50" t="n">
        <f aca="false">Neu!$B21</f>
        <v>0</v>
      </c>
      <c r="BE48" s="48"/>
    </row>
    <row r="49" customFormat="false" ht="14.35" hidden="false" customHeight="false" outlineLevel="0" collapsed="false">
      <c r="D49" s="50" t="n">
        <f aca="false">Neu!$B22</f>
        <v>0</v>
      </c>
      <c r="E49" s="48"/>
      <c r="F49" s="33"/>
      <c r="G49" s="28"/>
      <c r="H49" s="32"/>
      <c r="I49" s="33"/>
      <c r="J49" s="28"/>
      <c r="K49" s="32"/>
      <c r="L49" s="33"/>
      <c r="M49" s="28"/>
      <c r="O49" s="50" t="n">
        <f aca="false">Neu!$B22</f>
        <v>0</v>
      </c>
      <c r="P49" s="32"/>
      <c r="Q49" s="28"/>
      <c r="R49" s="32"/>
      <c r="S49" s="28"/>
      <c r="T49" s="32"/>
      <c r="U49" s="28"/>
      <c r="V49" s="32"/>
      <c r="W49" s="28"/>
      <c r="Z49" s="50" t="n">
        <f aca="false">Neu!$B22</f>
        <v>0</v>
      </c>
      <c r="AA49" s="32"/>
      <c r="AB49" s="33"/>
      <c r="AC49" s="33"/>
      <c r="AD49" s="49"/>
      <c r="AE49" s="33"/>
      <c r="AF49" s="33"/>
      <c r="AG49" s="28"/>
      <c r="AH49" s="32"/>
      <c r="AI49" s="33"/>
      <c r="AJ49" s="33"/>
      <c r="AK49" s="33"/>
      <c r="AL49" s="33"/>
      <c r="AM49" s="33"/>
      <c r="AN49" s="28"/>
      <c r="AO49" s="32"/>
      <c r="AP49" s="33"/>
      <c r="AQ49" s="33"/>
      <c r="AR49" s="33"/>
      <c r="AS49" s="33"/>
      <c r="AT49" s="33"/>
      <c r="AU49" s="28"/>
      <c r="AV49" s="32"/>
      <c r="AW49" s="33"/>
      <c r="AX49" s="33"/>
      <c r="AY49" s="33"/>
      <c r="AZ49" s="33"/>
      <c r="BA49" s="33"/>
      <c r="BB49" s="28"/>
      <c r="BD49" s="50" t="n">
        <f aca="false">Neu!$B22</f>
        <v>0</v>
      </c>
      <c r="BE49" s="48"/>
    </row>
    <row r="50" customFormat="false" ht="14.35" hidden="false" customHeight="false" outlineLevel="0" collapsed="false">
      <c r="D50" s="50" t="n">
        <f aca="false">Neu!$B23</f>
        <v>0</v>
      </c>
      <c r="E50" s="48"/>
      <c r="F50" s="33"/>
      <c r="G50" s="28"/>
      <c r="H50" s="32"/>
      <c r="I50" s="33"/>
      <c r="J50" s="28"/>
      <c r="K50" s="32"/>
      <c r="L50" s="33"/>
      <c r="M50" s="28"/>
      <c r="O50" s="50" t="n">
        <f aca="false">Neu!$B23</f>
        <v>0</v>
      </c>
      <c r="P50" s="32"/>
      <c r="Q50" s="28"/>
      <c r="R50" s="32"/>
      <c r="S50" s="28"/>
      <c r="T50" s="32"/>
      <c r="U50" s="28"/>
      <c r="V50" s="32"/>
      <c r="W50" s="28"/>
      <c r="Z50" s="50" t="n">
        <f aca="false">Neu!$B23</f>
        <v>0</v>
      </c>
      <c r="AA50" s="32"/>
      <c r="AB50" s="33"/>
      <c r="AC50" s="33"/>
      <c r="AD50" s="49"/>
      <c r="AE50" s="33"/>
      <c r="AF50" s="33"/>
      <c r="AG50" s="28"/>
      <c r="AH50" s="32"/>
      <c r="AI50" s="33"/>
      <c r="AJ50" s="33"/>
      <c r="AK50" s="33"/>
      <c r="AL50" s="33"/>
      <c r="AM50" s="33"/>
      <c r="AN50" s="28"/>
      <c r="AO50" s="32"/>
      <c r="AP50" s="33"/>
      <c r="AQ50" s="33"/>
      <c r="AR50" s="33"/>
      <c r="AS50" s="33"/>
      <c r="AT50" s="33"/>
      <c r="AU50" s="28"/>
      <c r="AV50" s="32"/>
      <c r="AW50" s="33"/>
      <c r="AX50" s="33"/>
      <c r="AY50" s="33"/>
      <c r="AZ50" s="33"/>
      <c r="BA50" s="33"/>
      <c r="BB50" s="28"/>
      <c r="BD50" s="50" t="n">
        <f aca="false">Neu!$B23</f>
        <v>0</v>
      </c>
      <c r="BE50" s="48"/>
    </row>
    <row r="51" customFormat="false" ht="14.35" hidden="false" customHeight="false" outlineLevel="0" collapsed="false">
      <c r="D51" s="51" t="n">
        <f aca="false">Neu!$B24</f>
        <v>0</v>
      </c>
      <c r="E51" s="52"/>
      <c r="F51" s="38"/>
      <c r="G51" s="36"/>
      <c r="H51" s="37"/>
      <c r="I51" s="38"/>
      <c r="J51" s="36"/>
      <c r="K51" s="37"/>
      <c r="L51" s="38"/>
      <c r="M51" s="36"/>
      <c r="O51" s="51" t="n">
        <f aca="false">Neu!$B24</f>
        <v>0</v>
      </c>
      <c r="P51" s="37"/>
      <c r="Q51" s="36"/>
      <c r="R51" s="37"/>
      <c r="S51" s="36"/>
      <c r="T51" s="37"/>
      <c r="U51" s="36"/>
      <c r="V51" s="37"/>
      <c r="W51" s="36"/>
      <c r="Z51" s="51" t="n">
        <f aca="false">Neu!$B24</f>
        <v>0</v>
      </c>
      <c r="AA51" s="37"/>
      <c r="AB51" s="38"/>
      <c r="AC51" s="38"/>
      <c r="AD51" s="53"/>
      <c r="AE51" s="38"/>
      <c r="AF51" s="38"/>
      <c r="AG51" s="36"/>
      <c r="AH51" s="37"/>
      <c r="AI51" s="38"/>
      <c r="AJ51" s="38"/>
      <c r="AK51" s="38"/>
      <c r="AL51" s="38"/>
      <c r="AM51" s="38"/>
      <c r="AN51" s="36"/>
      <c r="AO51" s="37"/>
      <c r="AP51" s="38"/>
      <c r="AQ51" s="38"/>
      <c r="AR51" s="38"/>
      <c r="AS51" s="38"/>
      <c r="AT51" s="38"/>
      <c r="AU51" s="36"/>
      <c r="AV51" s="37"/>
      <c r="AW51" s="38"/>
      <c r="AX51" s="38"/>
      <c r="AY51" s="38"/>
      <c r="AZ51" s="38"/>
      <c r="BA51" s="38"/>
      <c r="BB51" s="36"/>
      <c r="BD51" s="51" t="n">
        <f aca="false">Neu!$B24</f>
        <v>0</v>
      </c>
      <c r="BE51" s="52"/>
    </row>
    <row r="52" customFormat="false" ht="14.25" hidden="false" customHeight="false" outlineLevel="0" collapsed="false">
      <c r="AC52" s="40"/>
      <c r="AD52" s="54"/>
      <c r="AE52" s="40"/>
      <c r="AF52" s="40"/>
      <c r="AG52" s="40"/>
      <c r="AV52" s="32"/>
      <c r="AW52" s="33"/>
      <c r="AX52" s="33"/>
      <c r="AY52" s="33"/>
      <c r="AZ52" s="33"/>
      <c r="BA52" s="33"/>
      <c r="BB52" s="28"/>
    </row>
    <row r="54" customFormat="false" ht="14.25" hidden="false" customHeight="false" outlineLevel="0" collapsed="false">
      <c r="F54" s="1" t="s">
        <v>64</v>
      </c>
      <c r="AC54" s="12" t="s">
        <v>65</v>
      </c>
      <c r="AD54" s="1" t="s">
        <v>66</v>
      </c>
      <c r="AG54" s="1" t="s">
        <v>67</v>
      </c>
      <c r="AM54" s="55" t="s">
        <v>68</v>
      </c>
      <c r="AN54" s="1" t="s">
        <v>69</v>
      </c>
    </row>
    <row r="55" customFormat="false" ht="14.25" hidden="false" customHeight="false" outlineLevel="0" collapsed="false">
      <c r="AC55" s="12" t="s">
        <v>70</v>
      </c>
      <c r="AD55" s="1" t="s">
        <v>71</v>
      </c>
      <c r="AG55" s="1" t="s">
        <v>72</v>
      </c>
      <c r="AM55" s="55" t="s">
        <v>73</v>
      </c>
      <c r="AN55" s="1" t="s">
        <v>74</v>
      </c>
    </row>
    <row r="56" customFormat="false" ht="14.25" hidden="false" customHeight="false" outlineLevel="0" collapsed="false">
      <c r="AC56" s="55" t="s">
        <v>75</v>
      </c>
      <c r="AD56" s="1" t="s">
        <v>76</v>
      </c>
      <c r="AG56" s="1" t="s">
        <v>77</v>
      </c>
      <c r="AM56" s="55" t="s">
        <v>75</v>
      </c>
      <c r="AN56" s="1" t="s">
        <v>78</v>
      </c>
    </row>
    <row r="57" customFormat="false" ht="14.25" hidden="false" customHeight="false" outlineLevel="0" collapsed="false">
      <c r="C57" s="1" t="s">
        <v>20</v>
      </c>
      <c r="D57" s="1" t="s">
        <v>79</v>
      </c>
      <c r="AM57" s="55" t="s">
        <v>80</v>
      </c>
      <c r="AN57" s="1" t="s">
        <v>81</v>
      </c>
    </row>
    <row r="58" customFormat="false" ht="14.25" hidden="false" customHeight="false" outlineLevel="0" collapsed="false">
      <c r="C58" s="1" t="s">
        <v>21</v>
      </c>
      <c r="D58" s="1" t="s">
        <v>82</v>
      </c>
      <c r="AM58" s="55" t="s">
        <v>83</v>
      </c>
      <c r="AN58" s="1" t="s">
        <v>84</v>
      </c>
    </row>
    <row r="59" customFormat="false" ht="14.25" hidden="false" customHeight="false" outlineLevel="0" collapsed="false">
      <c r="C59" s="1" t="s">
        <v>22</v>
      </c>
      <c r="D59" s="1" t="s">
        <v>85</v>
      </c>
      <c r="AM59" s="56"/>
    </row>
    <row r="60" customFormat="false" ht="14.25" hidden="false" customHeight="false" outlineLevel="0" collapsed="false">
      <c r="C60" s="1" t="s">
        <v>19</v>
      </c>
      <c r="D60" s="1" t="s">
        <v>86</v>
      </c>
    </row>
    <row r="61" customFormat="false" ht="14.25" hidden="false" customHeight="false" outlineLevel="0" collapsed="false">
      <c r="C61" s="1" t="s">
        <v>23</v>
      </c>
      <c r="D61" s="1" t="s">
        <v>87</v>
      </c>
    </row>
    <row r="62" customFormat="false" ht="14.25" hidden="false" customHeight="false" outlineLevel="0" collapsed="false">
      <c r="C62" s="1" t="s">
        <v>24</v>
      </c>
      <c r="D62" s="1" t="s">
        <v>88</v>
      </c>
    </row>
  </sheetData>
  <mergeCells count="38">
    <mergeCell ref="E1:F1"/>
    <mergeCell ref="G1:AG1"/>
    <mergeCell ref="AH1:BH1"/>
    <mergeCell ref="BI1:CI1"/>
    <mergeCell ref="CJ1:DJ1"/>
    <mergeCell ref="DK1:EK1"/>
    <mergeCell ref="EL1:FL1"/>
    <mergeCell ref="FM1:GM1"/>
    <mergeCell ref="GN1:HN1"/>
    <mergeCell ref="HO1:IO1"/>
    <mergeCell ref="E2:F2"/>
    <mergeCell ref="G2:I2"/>
    <mergeCell ref="J2:U2"/>
    <mergeCell ref="V2:AG2"/>
    <mergeCell ref="AH2:AJ2"/>
    <mergeCell ref="AK2:AV2"/>
    <mergeCell ref="AW2:BH2"/>
    <mergeCell ref="BI2:BK2"/>
    <mergeCell ref="BL2:BW2"/>
    <mergeCell ref="BX2:CI2"/>
    <mergeCell ref="CJ2:CL2"/>
    <mergeCell ref="CM2:CX2"/>
    <mergeCell ref="CY2:DJ2"/>
    <mergeCell ref="DK2:DM2"/>
    <mergeCell ref="DN2:DY2"/>
    <mergeCell ref="DZ2:EK2"/>
    <mergeCell ref="EL2:EN2"/>
    <mergeCell ref="EO2:EZ2"/>
    <mergeCell ref="FA2:FL2"/>
    <mergeCell ref="FM2:FO2"/>
    <mergeCell ref="FP2:GA2"/>
    <mergeCell ref="GB2:GM2"/>
    <mergeCell ref="GN2:GP2"/>
    <mergeCell ref="GQ2:HB2"/>
    <mergeCell ref="HC2:HN2"/>
    <mergeCell ref="HO2:HQ2"/>
    <mergeCell ref="HR2:IC2"/>
    <mergeCell ref="ID2:IO2"/>
  </mergeCells>
  <conditionalFormatting sqref="A4:A24">
    <cfRule type="cellIs" priority="2" operator="equal" aboveAverage="0" equalAverage="0" bottom="0" percent="0" rank="0" text="" dxfId="0">
      <formula>0</formula>
    </cfRule>
  </conditionalFormatting>
  <conditionalFormatting sqref="D31:D51">
    <cfRule type="cellIs" priority="3" operator="equal" aboveAverage="0" equalAverage="0" bottom="0" percent="0" rank="0" text="" dxfId="1">
      <formula>0</formula>
    </cfRule>
  </conditionalFormatting>
  <conditionalFormatting sqref="E4:IO24">
    <cfRule type="expression" priority="4" aboveAverage="0" equalAverage="0" bottom="0" percent="0" rank="0" text="" dxfId="2">
      <formula>LEN(TRIM(E4))&gt;0</formula>
    </cfRule>
  </conditionalFormatting>
  <conditionalFormatting sqref="G25:AD26">
    <cfRule type="expression" priority="5" aboveAverage="0" equalAverage="0" bottom="0" percent="0" rank="0" text="" dxfId="3">
      <formula>LEN(TRIM(G25))&gt;0</formula>
    </cfRule>
  </conditionalFormatting>
  <conditionalFormatting sqref="O31:O51">
    <cfRule type="cellIs" priority="6" operator="equal" aboveAverage="0" equalAverage="0" bottom="0" percent="0" rank="0" text="" dxfId="4">
      <formula>0</formula>
    </cfRule>
  </conditionalFormatting>
  <conditionalFormatting sqref="Z31:Z51">
    <cfRule type="cellIs" priority="7" operator="equal" aboveAverage="0" equalAverage="0" bottom="0" percent="0" rank="0" text="" dxfId="5">
      <formula>0</formula>
    </cfRule>
  </conditionalFormatting>
  <conditionalFormatting sqref="AH25:BE27">
    <cfRule type="expression" priority="8" aboveAverage="0" equalAverage="0" bottom="0" percent="0" rank="0" text="" dxfId="6">
      <formula>LEN(TRIM(AH25))&gt;0</formula>
    </cfRule>
  </conditionalFormatting>
  <conditionalFormatting sqref="BD31:BD51">
    <cfRule type="cellIs" priority="9" operator="equal" aboveAverage="0" equalAverage="0" bottom="0" percent="0" rank="0" text="" dxfId="7">
      <formula>0</formula>
    </cfRule>
  </conditionalFormatting>
  <conditionalFormatting sqref="BI25:BI27">
    <cfRule type="expression" priority="10" aboveAverage="0" equalAverage="0" bottom="0" percent="0" rank="0" text="" dxfId="8">
      <formula>LEN(TRIM(BI25))&gt;0</formula>
    </cfRule>
  </conditionalFormatting>
  <conditionalFormatting sqref="DC26">
    <cfRule type="expression" priority="11" aboveAverage="0" equalAverage="0" bottom="0" percent="0" rank="0" text="" dxfId="9">
      <formula>LEN(TRIM(DC26))&gt;0</formula>
    </cfRule>
  </conditionalFormatting>
  <conditionalFormatting sqref="DC25:DG25">
    <cfRule type="expression" priority="12" aboveAverage="0" equalAverage="0" bottom="0" percent="0" rank="0" text="" dxfId="10">
      <formula>LEN(TRIM(DC25))&gt;0</formula>
    </cfRule>
  </conditionalFormatting>
  <conditionalFormatting sqref="DC27:DG27">
    <cfRule type="expression" priority="13" aboveAverage="0" equalAverage="0" bottom="0" percent="0" rank="0" text="" dxfId="11">
      <formula>LEN(TRIM(DC27))&gt;0</formula>
    </cfRule>
  </conditionalFormatting>
  <conditionalFormatting sqref="DJ25:DJ27">
    <cfRule type="expression" priority="14" aboveAverage="0" equalAverage="0" bottom="0" percent="0" rank="0" text="" dxfId="12">
      <formula>LEN(TRIM(DJ25))&gt;0</formula>
    </cfRule>
  </conditionalFormatting>
  <conditionalFormatting sqref="EJ25:EJ27">
    <cfRule type="expression" priority="15" aboveAverage="0" equalAverage="0" bottom="0" percent="0" rank="0" text="" dxfId="13">
      <formula>LEN(TRIM(EJ25))&gt;0</formula>
    </cfRule>
  </conditionalFormatting>
  <conditionalFormatting sqref="FK25:FK27">
    <cfRule type="expression" priority="16" aboveAverage="0" equalAverage="0" bottom="0" percent="0" rank="0" text="" dxfId="14">
      <formula>LEN(TRIM(FK25))&gt;0</formula>
    </cfRule>
  </conditionalFormatting>
  <conditionalFormatting sqref="FM29:FM31">
    <cfRule type="expression" priority="17" aboveAverage="0" equalAverage="0" bottom="0" percent="0" rank="0" text="" dxfId="15">
      <formula>LEN(TRIM(FM29))&gt;0</formula>
    </cfRule>
  </conditionalFormatting>
  <conditionalFormatting sqref="FM25:FS25 GB25:GF25">
    <cfRule type="expression" priority="18" aboveAverage="0" equalAverage="0" bottom="0" percent="0" rank="0" text="" dxfId="16">
      <formula>LEN(TRIM(FM25))&gt;0</formula>
    </cfRule>
  </conditionalFormatting>
  <conditionalFormatting sqref="FM27:FS27 GB27:GF27">
    <cfRule type="expression" priority="19" aboveAverage="0" equalAverage="0" bottom="0" percent="0" rank="0" text="" dxfId="17">
      <formula>LEN(TRIM(FM27))&gt;0</formula>
    </cfRule>
  </conditionalFormatting>
  <conditionalFormatting sqref="FT25:GA27">
    <cfRule type="expression" priority="20" aboveAverage="0" equalAverage="0" bottom="0" percent="0" rank="0" text="" dxfId="18">
      <formula>LEN(TRIM(FT25))&gt;0</formula>
    </cfRule>
  </conditionalFormatting>
  <conditionalFormatting sqref="GN25:GT26">
    <cfRule type="expression" priority="21" aboveAverage="0" equalAverage="0" bottom="0" percent="0" rank="0" text="" dxfId="19">
      <formula>LEN(TRIM(GN25))&gt;0</formula>
    </cfRule>
  </conditionalFormatting>
  <conditionalFormatting sqref="GU25:HB27">
    <cfRule type="expression" priority="22" aboveAverage="0" equalAverage="0" bottom="0" percent="0" rank="0" text="" dxfId="20">
      <formula>LEN(TRIM(GU25))&gt;0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Z87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F13" activeCellId="0" sqref="F13"/>
    </sheetView>
  </sheetViews>
  <sheetFormatPr defaultColWidth="9.1796875" defaultRowHeight="14.25" zeroHeight="false" outlineLevelRow="0" outlineLevelCol="0"/>
  <cols>
    <col collapsed="false" customWidth="true" hidden="false" outlineLevel="0" max="2" min="1" style="40" width="8.45"/>
    <col collapsed="false" customWidth="true" hidden="false" outlineLevel="0" max="3" min="3" style="40" width="10.54"/>
    <col collapsed="false" customWidth="true" hidden="false" outlineLevel="0" max="4" min="4" style="40" width="8.45"/>
    <col collapsed="false" customWidth="true" hidden="false" outlineLevel="0" max="5" min="5" style="40" width="10.72"/>
    <col collapsed="false" customWidth="true" hidden="false" outlineLevel="0" max="6" min="6" style="40" width="8.82"/>
    <col collapsed="false" customWidth="true" hidden="false" outlineLevel="0" max="7" min="7" style="40" width="17"/>
    <col collapsed="false" customWidth="true" hidden="false" outlineLevel="0" max="8" min="8" style="40" width="9"/>
    <col collapsed="false" customWidth="true" hidden="false" outlineLevel="0" max="9" min="9" style="40" width="8.45"/>
    <col collapsed="false" customWidth="true" hidden="false" outlineLevel="0" max="10" min="10" style="40" width="10.18"/>
    <col collapsed="false" customWidth="true" hidden="false" outlineLevel="0" max="11" min="11" style="40" width="12.17"/>
    <col collapsed="false" customWidth="true" hidden="false" outlineLevel="0" max="12" min="12" style="40" width="19.18"/>
    <col collapsed="false" customWidth="true" hidden="false" outlineLevel="0" max="13" min="13" style="40" width="10.27"/>
    <col collapsed="false" customWidth="true" hidden="false" outlineLevel="0" max="14" min="14" style="40" width="8.45"/>
    <col collapsed="false" customWidth="true" hidden="false" outlineLevel="0" max="15" min="15" style="40" width="10.18"/>
    <col collapsed="false" customWidth="true" hidden="false" outlineLevel="0" max="16" min="16" style="40" width="9.82"/>
    <col collapsed="false" customWidth="true" hidden="false" outlineLevel="0" max="17" min="17" style="40" width="15.83"/>
    <col collapsed="false" customWidth="true" hidden="false" outlineLevel="0" max="19" min="18" style="40" width="8.45"/>
    <col collapsed="false" customWidth="true" hidden="false" outlineLevel="0" max="20" min="20" style="40" width="10.27"/>
    <col collapsed="false" customWidth="true" hidden="false" outlineLevel="0" max="21" min="21" style="40" width="17"/>
    <col collapsed="false" customWidth="true" hidden="false" outlineLevel="0" max="24" min="22" style="40" width="8.45"/>
    <col collapsed="false" customWidth="true" hidden="false" outlineLevel="0" max="25" min="25" style="40" width="11.17"/>
    <col collapsed="false" customWidth="true" hidden="false" outlineLevel="0" max="26" min="26" style="40" width="7.82"/>
    <col collapsed="false" customWidth="true" hidden="false" outlineLevel="0" max="27" min="27" style="40" width="15.72"/>
    <col collapsed="false" customWidth="true" hidden="false" outlineLevel="0" max="31" min="28" style="40" width="7.82"/>
    <col collapsed="false" customWidth="false" hidden="false" outlineLevel="0" max="1024" min="32" style="40" width="9.18"/>
  </cols>
  <sheetData>
    <row r="1" customFormat="false" ht="14.25" hidden="false" customHeight="false" outlineLevel="0" collapsed="false">
      <c r="F1" s="57" t="s">
        <v>89</v>
      </c>
      <c r="G1" s="57"/>
      <c r="H1" s="57"/>
      <c r="I1" s="57"/>
      <c r="J1" s="57"/>
      <c r="K1" s="57"/>
      <c r="L1" s="12" t="s">
        <v>90</v>
      </c>
      <c r="M1" s="15" t="s">
        <v>91</v>
      </c>
      <c r="N1" s="58" t="s">
        <v>92</v>
      </c>
      <c r="T1" s="58" t="s">
        <v>93</v>
      </c>
    </row>
    <row r="2" customFormat="false" ht="14.25" hidden="false" customHeight="false" outlineLevel="0" collapsed="false">
      <c r="A2" s="59" t="s">
        <v>94</v>
      </c>
      <c r="B2" s="60" t="s">
        <v>95</v>
      </c>
      <c r="C2" s="33" t="s">
        <v>96</v>
      </c>
      <c r="D2" s="60" t="s">
        <v>97</v>
      </c>
      <c r="E2" s="33" t="n">
        <v>1</v>
      </c>
      <c r="F2" s="61" t="s">
        <v>98</v>
      </c>
      <c r="G2" s="58" t="s">
        <v>99</v>
      </c>
      <c r="M2" s="15" t="s">
        <v>100</v>
      </c>
      <c r="N2" s="58" t="s">
        <v>101</v>
      </c>
      <c r="Q2" s="15" t="s">
        <v>102</v>
      </c>
      <c r="R2" s="58" t="s">
        <v>103</v>
      </c>
      <c r="T2" s="15" t="s">
        <v>104</v>
      </c>
      <c r="U2" s="40" t="s">
        <v>105</v>
      </c>
    </row>
    <row r="3" customFormat="false" ht="14.25" hidden="false" customHeight="false" outlineLevel="0" collapsed="false">
      <c r="B3" s="60" t="s">
        <v>106</v>
      </c>
      <c r="C3" s="33" t="n">
        <v>30</v>
      </c>
      <c r="D3" s="60" t="s">
        <v>107</v>
      </c>
      <c r="E3" s="33" t="n">
        <v>0</v>
      </c>
      <c r="F3" s="12" t="s">
        <v>108</v>
      </c>
      <c r="G3" s="58" t="s">
        <v>109</v>
      </c>
      <c r="I3" s="59" t="s">
        <v>110</v>
      </c>
      <c r="J3" s="58" t="s">
        <v>111</v>
      </c>
      <c r="M3" s="15" t="s">
        <v>112</v>
      </c>
      <c r="N3" s="58" t="s">
        <v>113</v>
      </c>
      <c r="Q3" s="15" t="s">
        <v>114</v>
      </c>
      <c r="R3" s="58" t="s">
        <v>115</v>
      </c>
      <c r="T3" s="15" t="s">
        <v>116</v>
      </c>
      <c r="U3" s="40" t="s">
        <v>117</v>
      </c>
    </row>
    <row r="4" customFormat="false" ht="14.25" hidden="false" customHeight="false" outlineLevel="0" collapsed="false">
      <c r="B4" s="60" t="s">
        <v>118</v>
      </c>
      <c r="C4" s="33" t="n">
        <v>5E-005</v>
      </c>
      <c r="D4" s="60" t="s">
        <v>119</v>
      </c>
      <c r="E4" s="33" t="n">
        <v>1</v>
      </c>
      <c r="F4" s="61" t="s">
        <v>120</v>
      </c>
      <c r="G4" s="58" t="s">
        <v>121</v>
      </c>
      <c r="I4" s="59" t="s">
        <v>122</v>
      </c>
      <c r="J4" s="62" t="s">
        <v>123</v>
      </c>
      <c r="M4" s="15" t="s">
        <v>12</v>
      </c>
      <c r="N4" s="58" t="s">
        <v>124</v>
      </c>
      <c r="Q4" s="15" t="s">
        <v>125</v>
      </c>
      <c r="R4" s="58" t="s">
        <v>126</v>
      </c>
      <c r="T4" s="15" t="s">
        <v>127</v>
      </c>
      <c r="U4" s="40" t="s">
        <v>128</v>
      </c>
    </row>
    <row r="5" customFormat="false" ht="14.25" hidden="false" customHeight="false" outlineLevel="0" collapsed="false">
      <c r="B5" s="63" t="s">
        <v>129</v>
      </c>
      <c r="F5" s="12" t="s">
        <v>108</v>
      </c>
      <c r="G5" s="58" t="s">
        <v>130</v>
      </c>
      <c r="I5" s="40" t="s">
        <v>108</v>
      </c>
      <c r="J5" s="62" t="s">
        <v>131</v>
      </c>
      <c r="M5" s="15" t="s">
        <v>13</v>
      </c>
      <c r="N5" s="58" t="s">
        <v>132</v>
      </c>
      <c r="Q5" s="15" t="s">
        <v>133</v>
      </c>
      <c r="R5" s="58" t="s">
        <v>134</v>
      </c>
      <c r="T5" s="15" t="s">
        <v>135</v>
      </c>
      <c r="U5" s="40" t="s">
        <v>136</v>
      </c>
    </row>
    <row r="6" customFormat="false" ht="15" hidden="false" customHeight="false" outlineLevel="0" collapsed="false">
      <c r="A6" s="64" t="s">
        <v>137</v>
      </c>
      <c r="J6" s="62" t="s">
        <v>138</v>
      </c>
      <c r="M6" s="65" t="s">
        <v>139</v>
      </c>
      <c r="N6" s="58" t="s">
        <v>140</v>
      </c>
    </row>
    <row r="7" customFormat="false" ht="15" hidden="false" customHeight="false" outlineLevel="0" collapsed="false">
      <c r="B7" s="66" t="s">
        <v>141</v>
      </c>
      <c r="C7" s="66"/>
      <c r="D7" s="66"/>
      <c r="E7" s="66"/>
      <c r="F7" s="66"/>
      <c r="G7" s="67" t="s">
        <v>142</v>
      </c>
      <c r="H7" s="67"/>
      <c r="I7" s="67"/>
      <c r="J7" s="67"/>
      <c r="K7" s="67"/>
      <c r="L7" s="2" t="s">
        <v>143</v>
      </c>
      <c r="M7" s="2"/>
      <c r="N7" s="2"/>
      <c r="O7" s="2"/>
      <c r="P7" s="2"/>
      <c r="Q7" s="2" t="s">
        <v>144</v>
      </c>
      <c r="R7" s="2"/>
      <c r="S7" s="2"/>
      <c r="T7" s="2"/>
      <c r="U7" s="2"/>
      <c r="V7" s="2" t="s">
        <v>145</v>
      </c>
      <c r="W7" s="2"/>
      <c r="X7" s="2"/>
      <c r="Y7" s="2"/>
      <c r="Z7" s="2"/>
    </row>
    <row r="8" customFormat="false" ht="14.25" hidden="false" customHeight="false" outlineLevel="0" collapsed="false">
      <c r="A8" s="2" t="s">
        <v>146</v>
      </c>
      <c r="B8" s="68" t="s">
        <v>147</v>
      </c>
      <c r="C8" s="15" t="s">
        <v>148</v>
      </c>
      <c r="D8" s="15" t="s">
        <v>149</v>
      </c>
      <c r="E8" s="15" t="s">
        <v>150</v>
      </c>
      <c r="F8" s="69" t="s">
        <v>151</v>
      </c>
      <c r="G8" s="70" t="s">
        <v>147</v>
      </c>
      <c r="H8" s="15" t="s">
        <v>148</v>
      </c>
      <c r="I8" s="15" t="s">
        <v>152</v>
      </c>
      <c r="J8" s="15" t="s">
        <v>153</v>
      </c>
      <c r="K8" s="16" t="s">
        <v>151</v>
      </c>
      <c r="L8" s="14" t="s">
        <v>147</v>
      </c>
      <c r="M8" s="15" t="s">
        <v>148</v>
      </c>
      <c r="N8" s="15" t="s">
        <v>152</v>
      </c>
      <c r="O8" s="15" t="s">
        <v>153</v>
      </c>
      <c r="P8" s="16" t="s">
        <v>151</v>
      </c>
      <c r="Q8" s="14" t="s">
        <v>147</v>
      </c>
      <c r="R8" s="15" t="s">
        <v>148</v>
      </c>
      <c r="S8" s="15" t="s">
        <v>152</v>
      </c>
      <c r="T8" s="15" t="s">
        <v>153</v>
      </c>
      <c r="U8" s="16" t="s">
        <v>151</v>
      </c>
      <c r="V8" s="14" t="s">
        <v>147</v>
      </c>
      <c r="W8" s="15" t="s">
        <v>148</v>
      </c>
      <c r="X8" s="15" t="s">
        <v>152</v>
      </c>
      <c r="Y8" s="15" t="s">
        <v>153</v>
      </c>
      <c r="Z8" s="16" t="s">
        <v>151</v>
      </c>
    </row>
    <row r="9" customFormat="false" ht="14.25" hidden="false" customHeight="false" outlineLevel="0" collapsed="false">
      <c r="A9" s="71" t="n">
        <v>1</v>
      </c>
      <c r="B9" s="72" t="s">
        <v>141</v>
      </c>
      <c r="C9" s="33" t="n">
        <v>15</v>
      </c>
      <c r="D9" s="33" t="n">
        <v>0</v>
      </c>
      <c r="E9" s="33" t="n">
        <v>30</v>
      </c>
      <c r="F9" s="73" t="s">
        <v>154</v>
      </c>
      <c r="G9" s="32" t="s">
        <v>155</v>
      </c>
      <c r="H9" s="33" t="n">
        <v>10</v>
      </c>
      <c r="I9" s="33" t="n">
        <v>-80</v>
      </c>
      <c r="J9" s="33" t="n">
        <v>20</v>
      </c>
      <c r="K9" s="73" t="s">
        <v>156</v>
      </c>
      <c r="L9" s="32" t="s">
        <v>157</v>
      </c>
      <c r="M9" s="33" t="n">
        <v>10</v>
      </c>
      <c r="N9" s="33" t="n">
        <v>-80</v>
      </c>
      <c r="O9" s="33" t="n">
        <v>20</v>
      </c>
      <c r="P9" s="73" t="s">
        <v>158</v>
      </c>
      <c r="Q9" s="32" t="s">
        <v>159</v>
      </c>
      <c r="R9" s="33" t="n">
        <v>10</v>
      </c>
      <c r="S9" s="33" t="n">
        <v>-80</v>
      </c>
      <c r="T9" s="33" t="n">
        <v>20</v>
      </c>
      <c r="U9" s="73" t="s">
        <v>160</v>
      </c>
      <c r="V9" s="32"/>
      <c r="W9" s="33"/>
      <c r="X9" s="33"/>
      <c r="Y9" s="33"/>
      <c r="Z9" s="28"/>
    </row>
    <row r="10" customFormat="false" ht="14.25" hidden="false" customHeight="false" outlineLevel="0" collapsed="false">
      <c r="A10" s="71" t="n">
        <v>1</v>
      </c>
      <c r="B10" s="72" t="s">
        <v>141</v>
      </c>
      <c r="C10" s="33" t="n">
        <v>15</v>
      </c>
      <c r="D10" s="33" t="n">
        <v>0</v>
      </c>
      <c r="E10" s="33" t="n">
        <v>30</v>
      </c>
      <c r="F10" s="73" t="s">
        <v>154</v>
      </c>
      <c r="G10" s="32" t="s">
        <v>161</v>
      </c>
      <c r="H10" s="33" t="n">
        <v>10</v>
      </c>
      <c r="I10" s="33" t="n">
        <v>-80</v>
      </c>
      <c r="J10" s="33" t="n">
        <v>20</v>
      </c>
      <c r="K10" s="73" t="s">
        <v>156</v>
      </c>
      <c r="L10" s="32" t="s">
        <v>162</v>
      </c>
      <c r="M10" s="33" t="n">
        <v>10</v>
      </c>
      <c r="N10" s="33" t="n">
        <v>-80</v>
      </c>
      <c r="O10" s="33" t="n">
        <v>20</v>
      </c>
      <c r="P10" s="73" t="s">
        <v>158</v>
      </c>
      <c r="Q10" s="32" t="s">
        <v>163</v>
      </c>
      <c r="R10" s="33" t="n">
        <v>10</v>
      </c>
      <c r="S10" s="33" t="n">
        <v>-80</v>
      </c>
      <c r="T10" s="33" t="n">
        <v>20</v>
      </c>
      <c r="U10" s="73" t="s">
        <v>160</v>
      </c>
      <c r="V10" s="32"/>
      <c r="W10" s="33"/>
      <c r="X10" s="33"/>
      <c r="Y10" s="33"/>
      <c r="Z10" s="28"/>
    </row>
    <row r="11" customFormat="false" ht="14.25" hidden="false" customHeight="false" outlineLevel="0" collapsed="false">
      <c r="A11" s="71" t="n">
        <v>1</v>
      </c>
      <c r="B11" s="72" t="s">
        <v>141</v>
      </c>
      <c r="C11" s="33" t="n">
        <v>15</v>
      </c>
      <c r="D11" s="33" t="n">
        <v>0</v>
      </c>
      <c r="E11" s="33" t="n">
        <v>30</v>
      </c>
      <c r="F11" s="73" t="s">
        <v>154</v>
      </c>
      <c r="G11" s="32" t="s">
        <v>164</v>
      </c>
      <c r="H11" s="33" t="n">
        <v>10</v>
      </c>
      <c r="I11" s="33" t="n">
        <v>-80</v>
      </c>
      <c r="J11" s="33" t="n">
        <v>20</v>
      </c>
      <c r="K11" s="73" t="s">
        <v>156</v>
      </c>
      <c r="L11" s="32" t="s">
        <v>165</v>
      </c>
      <c r="M11" s="33" t="n">
        <v>10</v>
      </c>
      <c r="N11" s="33" t="n">
        <v>-80</v>
      </c>
      <c r="O11" s="33" t="n">
        <v>20</v>
      </c>
      <c r="P11" s="73" t="s">
        <v>158</v>
      </c>
      <c r="Q11" s="32" t="s">
        <v>166</v>
      </c>
      <c r="R11" s="33" t="n">
        <v>10</v>
      </c>
      <c r="S11" s="33" t="n">
        <v>-80</v>
      </c>
      <c r="T11" s="33" t="n">
        <v>20</v>
      </c>
      <c r="U11" s="73" t="s">
        <v>160</v>
      </c>
      <c r="V11" s="32"/>
      <c r="W11" s="33"/>
      <c r="X11" s="33"/>
      <c r="Y11" s="33"/>
      <c r="Z11" s="28"/>
    </row>
    <row r="12" customFormat="false" ht="14.25" hidden="false" customHeight="false" outlineLevel="0" collapsed="false">
      <c r="A12" s="71" t="n">
        <v>1</v>
      </c>
      <c r="B12" s="72" t="s">
        <v>141</v>
      </c>
      <c r="C12" s="33" t="n">
        <v>15</v>
      </c>
      <c r="D12" s="33" t="n">
        <v>0</v>
      </c>
      <c r="E12" s="33" t="n">
        <v>30</v>
      </c>
      <c r="F12" s="73" t="s">
        <v>154</v>
      </c>
      <c r="G12" s="32" t="s">
        <v>167</v>
      </c>
      <c r="H12" s="33" t="n">
        <v>10</v>
      </c>
      <c r="I12" s="33" t="n">
        <v>-80</v>
      </c>
      <c r="J12" s="33" t="n">
        <v>20</v>
      </c>
      <c r="K12" s="73" t="s">
        <v>156</v>
      </c>
      <c r="L12" s="32" t="s">
        <v>168</v>
      </c>
      <c r="M12" s="33" t="n">
        <v>10</v>
      </c>
      <c r="N12" s="33" t="n">
        <v>-80</v>
      </c>
      <c r="O12" s="33" t="n">
        <v>20</v>
      </c>
      <c r="P12" s="73" t="s">
        <v>158</v>
      </c>
      <c r="Q12" s="32" t="s">
        <v>169</v>
      </c>
      <c r="R12" s="33" t="n">
        <v>10</v>
      </c>
      <c r="S12" s="33" t="n">
        <v>-80</v>
      </c>
      <c r="T12" s="33" t="n">
        <v>20</v>
      </c>
      <c r="U12" s="73" t="s">
        <v>160</v>
      </c>
      <c r="V12" s="32"/>
      <c r="W12" s="33"/>
      <c r="X12" s="33"/>
      <c r="Y12" s="33"/>
      <c r="Z12" s="28"/>
    </row>
    <row r="13" customFormat="false" ht="14.25" hidden="false" customHeight="false" outlineLevel="0" collapsed="false">
      <c r="A13" s="71" t="n">
        <v>1</v>
      </c>
      <c r="B13" s="72" t="s">
        <v>141</v>
      </c>
      <c r="C13" s="33" t="n">
        <v>15</v>
      </c>
      <c r="D13" s="33" t="n">
        <v>0</v>
      </c>
      <c r="E13" s="33" t="n">
        <v>30</v>
      </c>
      <c r="F13" s="73" t="s">
        <v>154</v>
      </c>
      <c r="G13" s="32" t="s">
        <v>170</v>
      </c>
      <c r="H13" s="33" t="n">
        <v>10</v>
      </c>
      <c r="I13" s="33" t="n">
        <v>-80</v>
      </c>
      <c r="J13" s="33" t="n">
        <v>20</v>
      </c>
      <c r="K13" s="73" t="s">
        <v>156</v>
      </c>
      <c r="L13" s="32" t="s">
        <v>171</v>
      </c>
      <c r="M13" s="33" t="n">
        <v>10</v>
      </c>
      <c r="N13" s="33" t="n">
        <v>-80</v>
      </c>
      <c r="O13" s="33" t="n">
        <v>20</v>
      </c>
      <c r="P13" s="73" t="s">
        <v>158</v>
      </c>
      <c r="Q13" s="32" t="s">
        <v>172</v>
      </c>
      <c r="R13" s="33" t="n">
        <v>10</v>
      </c>
      <c r="S13" s="33" t="n">
        <v>-80</v>
      </c>
      <c r="T13" s="33" t="n">
        <v>20</v>
      </c>
      <c r="U13" s="73" t="s">
        <v>160</v>
      </c>
      <c r="V13" s="32"/>
      <c r="W13" s="33"/>
      <c r="X13" s="33"/>
      <c r="Y13" s="33"/>
      <c r="Z13" s="28"/>
    </row>
    <row r="14" customFormat="false" ht="14.25" hidden="false" customHeight="false" outlineLevel="0" collapsed="false">
      <c r="A14" s="71" t="n">
        <v>1</v>
      </c>
      <c r="B14" s="72" t="s">
        <v>141</v>
      </c>
      <c r="C14" s="33" t="n">
        <v>15</v>
      </c>
      <c r="D14" s="33" t="n">
        <v>0</v>
      </c>
      <c r="E14" s="33" t="n">
        <v>30</v>
      </c>
      <c r="F14" s="73" t="s">
        <v>154</v>
      </c>
      <c r="G14" s="32" t="s">
        <v>173</v>
      </c>
      <c r="H14" s="33" t="n">
        <v>10</v>
      </c>
      <c r="I14" s="33" t="n">
        <v>-80</v>
      </c>
      <c r="J14" s="33" t="n">
        <v>20</v>
      </c>
      <c r="K14" s="73" t="s">
        <v>156</v>
      </c>
      <c r="L14" s="32" t="s">
        <v>174</v>
      </c>
      <c r="M14" s="33" t="n">
        <v>10</v>
      </c>
      <c r="N14" s="33" t="n">
        <v>-80</v>
      </c>
      <c r="O14" s="33" t="n">
        <v>20</v>
      </c>
      <c r="P14" s="73" t="s">
        <v>158</v>
      </c>
      <c r="Q14" s="32"/>
      <c r="R14" s="33"/>
      <c r="S14" s="33"/>
      <c r="T14" s="33"/>
      <c r="U14" s="73"/>
      <c r="V14" s="32"/>
      <c r="W14" s="33"/>
      <c r="X14" s="33"/>
      <c r="Y14" s="33"/>
      <c r="Z14" s="28"/>
    </row>
    <row r="15" customFormat="false" ht="14.25" hidden="false" customHeight="false" outlineLevel="0" collapsed="false">
      <c r="A15" s="71"/>
      <c r="B15" s="72"/>
      <c r="C15" s="33"/>
      <c r="D15" s="33"/>
      <c r="E15" s="33"/>
      <c r="F15" s="73"/>
      <c r="G15" s="32"/>
      <c r="H15" s="33"/>
      <c r="I15" s="33"/>
      <c r="J15" s="33"/>
      <c r="K15" s="73"/>
      <c r="L15" s="32"/>
      <c r="M15" s="33"/>
      <c r="N15" s="33"/>
      <c r="O15" s="33"/>
      <c r="P15" s="73"/>
      <c r="Q15" s="32"/>
      <c r="R15" s="33"/>
      <c r="S15" s="33"/>
      <c r="T15" s="33"/>
      <c r="U15" s="73"/>
      <c r="V15" s="32"/>
      <c r="W15" s="33"/>
      <c r="X15" s="33"/>
      <c r="Y15" s="33"/>
      <c r="Z15" s="28"/>
    </row>
    <row r="16" customFormat="false" ht="14.25" hidden="false" customHeight="false" outlineLevel="0" collapsed="false">
      <c r="A16" s="71"/>
      <c r="B16" s="72"/>
      <c r="C16" s="33"/>
      <c r="D16" s="33"/>
      <c r="E16" s="33"/>
      <c r="F16" s="73"/>
      <c r="G16" s="32"/>
      <c r="H16" s="33"/>
      <c r="I16" s="33"/>
      <c r="J16" s="33"/>
      <c r="K16" s="73"/>
      <c r="L16" s="32"/>
      <c r="M16" s="33"/>
      <c r="N16" s="33"/>
      <c r="O16" s="33"/>
      <c r="P16" s="73"/>
      <c r="Q16" s="32"/>
      <c r="R16" s="33"/>
      <c r="S16" s="33"/>
      <c r="T16" s="33"/>
      <c r="U16" s="73"/>
      <c r="V16" s="32"/>
      <c r="W16" s="33"/>
      <c r="X16" s="33"/>
      <c r="Y16" s="33"/>
      <c r="Z16" s="28"/>
    </row>
    <row r="17" customFormat="false" ht="14.25" hidden="false" customHeight="false" outlineLevel="0" collapsed="false">
      <c r="A17" s="71"/>
      <c r="B17" s="72"/>
      <c r="C17" s="33"/>
      <c r="D17" s="33"/>
      <c r="E17" s="33"/>
      <c r="F17" s="73"/>
      <c r="G17" s="74"/>
      <c r="H17" s="33"/>
      <c r="I17" s="33"/>
      <c r="J17" s="33"/>
      <c r="K17" s="73"/>
      <c r="L17" s="32"/>
      <c r="M17" s="33"/>
      <c r="N17" s="33"/>
      <c r="O17" s="33"/>
      <c r="P17" s="73"/>
      <c r="Q17" s="32"/>
      <c r="R17" s="33"/>
      <c r="S17" s="33"/>
      <c r="T17" s="33"/>
      <c r="U17" s="73"/>
      <c r="V17" s="32"/>
      <c r="W17" s="33"/>
      <c r="X17" s="33"/>
      <c r="Y17" s="33"/>
      <c r="Z17" s="28"/>
    </row>
    <row r="18" customFormat="false" ht="14.25" hidden="false" customHeight="false" outlineLevel="0" collapsed="false">
      <c r="A18" s="71"/>
      <c r="B18" s="72"/>
      <c r="C18" s="33"/>
      <c r="D18" s="33"/>
      <c r="E18" s="33"/>
      <c r="F18" s="73"/>
      <c r="G18" s="74"/>
      <c r="H18" s="33"/>
      <c r="I18" s="33"/>
      <c r="J18" s="33"/>
      <c r="K18" s="73"/>
      <c r="L18" s="32"/>
      <c r="M18" s="33"/>
      <c r="N18" s="33"/>
      <c r="O18" s="33"/>
      <c r="P18" s="73"/>
      <c r="Q18" s="32"/>
      <c r="R18" s="33"/>
      <c r="S18" s="33"/>
      <c r="T18" s="33"/>
      <c r="U18" s="73"/>
      <c r="V18" s="32"/>
      <c r="W18" s="33"/>
      <c r="X18" s="33"/>
      <c r="Y18" s="33"/>
      <c r="Z18" s="28"/>
    </row>
    <row r="19" customFormat="false" ht="14.25" hidden="false" customHeight="false" outlineLevel="0" collapsed="false">
      <c r="A19" s="71"/>
      <c r="B19" s="72"/>
      <c r="C19" s="33"/>
      <c r="D19" s="33"/>
      <c r="E19" s="33"/>
      <c r="F19" s="73"/>
      <c r="G19" s="74"/>
      <c r="H19" s="33"/>
      <c r="I19" s="33"/>
      <c r="J19" s="33"/>
      <c r="K19" s="73"/>
      <c r="L19" s="32"/>
      <c r="M19" s="33"/>
      <c r="N19" s="33"/>
      <c r="O19" s="33"/>
      <c r="P19" s="73"/>
      <c r="Q19" s="32"/>
      <c r="R19" s="33"/>
      <c r="S19" s="33"/>
      <c r="T19" s="33"/>
      <c r="U19" s="73"/>
      <c r="V19" s="32"/>
      <c r="W19" s="33"/>
      <c r="X19" s="33"/>
      <c r="Y19" s="33"/>
      <c r="Z19" s="28"/>
    </row>
    <row r="20" customFormat="false" ht="14.25" hidden="false" customHeight="false" outlineLevel="0" collapsed="false">
      <c r="A20" s="71"/>
      <c r="B20" s="72"/>
      <c r="C20" s="33"/>
      <c r="D20" s="33"/>
      <c r="E20" s="33"/>
      <c r="F20" s="73"/>
      <c r="G20" s="74"/>
      <c r="H20" s="33"/>
      <c r="I20" s="33"/>
      <c r="J20" s="33"/>
      <c r="K20" s="73"/>
      <c r="L20" s="32"/>
      <c r="M20" s="33"/>
      <c r="N20" s="33"/>
      <c r="O20" s="33"/>
      <c r="P20" s="73"/>
      <c r="Q20" s="32"/>
      <c r="R20" s="33"/>
      <c r="S20" s="33"/>
      <c r="T20" s="33"/>
      <c r="U20" s="73"/>
      <c r="V20" s="32"/>
      <c r="W20" s="33"/>
      <c r="X20" s="33"/>
      <c r="Y20" s="33"/>
      <c r="Z20" s="28"/>
    </row>
    <row r="21" customFormat="false" ht="14.25" hidden="false" customHeight="false" outlineLevel="0" collapsed="false">
      <c r="A21" s="71"/>
      <c r="B21" s="72"/>
      <c r="C21" s="33"/>
      <c r="D21" s="33"/>
      <c r="E21" s="33"/>
      <c r="F21" s="73"/>
      <c r="G21" s="74"/>
      <c r="H21" s="33"/>
      <c r="I21" s="33"/>
      <c r="J21" s="33"/>
      <c r="K21" s="73"/>
      <c r="L21" s="32"/>
      <c r="M21" s="33"/>
      <c r="N21" s="33"/>
      <c r="O21" s="33"/>
      <c r="P21" s="73"/>
      <c r="Q21" s="32"/>
      <c r="R21" s="33"/>
      <c r="S21" s="33"/>
      <c r="T21" s="33"/>
      <c r="U21" s="73"/>
      <c r="V21" s="32"/>
      <c r="W21" s="33"/>
      <c r="X21" s="33"/>
      <c r="Y21" s="33"/>
      <c r="Z21" s="28"/>
    </row>
    <row r="22" customFormat="false" ht="14.25" hidden="false" customHeight="false" outlineLevel="0" collapsed="false">
      <c r="A22" s="71"/>
      <c r="B22" s="72"/>
      <c r="C22" s="33"/>
      <c r="D22" s="33"/>
      <c r="E22" s="33"/>
      <c r="F22" s="73"/>
      <c r="G22" s="74"/>
      <c r="H22" s="33"/>
      <c r="I22" s="33"/>
      <c r="J22" s="33"/>
      <c r="K22" s="73"/>
      <c r="L22" s="32"/>
      <c r="M22" s="33"/>
      <c r="N22" s="33"/>
      <c r="O22" s="33"/>
      <c r="P22" s="73"/>
      <c r="Q22" s="32"/>
      <c r="R22" s="33"/>
      <c r="S22" s="33"/>
      <c r="T22" s="33"/>
      <c r="U22" s="73"/>
      <c r="V22" s="32"/>
      <c r="W22" s="33"/>
      <c r="X22" s="33"/>
      <c r="Y22" s="33"/>
      <c r="Z22" s="28"/>
    </row>
    <row r="23" customFormat="false" ht="15" hidden="false" customHeight="false" outlineLevel="0" collapsed="false">
      <c r="A23" s="75"/>
      <c r="B23" s="76"/>
      <c r="C23" s="38"/>
      <c r="D23" s="38"/>
      <c r="E23" s="38"/>
      <c r="F23" s="77"/>
      <c r="G23" s="78"/>
      <c r="H23" s="38"/>
      <c r="I23" s="38"/>
      <c r="J23" s="38"/>
      <c r="K23" s="77"/>
      <c r="L23" s="37"/>
      <c r="M23" s="38"/>
      <c r="N23" s="38"/>
      <c r="O23" s="38"/>
      <c r="P23" s="77"/>
      <c r="Q23" s="37"/>
      <c r="R23" s="38"/>
      <c r="S23" s="38"/>
      <c r="T23" s="38"/>
      <c r="U23" s="77"/>
      <c r="V23" s="37"/>
      <c r="W23" s="38"/>
      <c r="X23" s="38"/>
      <c r="Y23" s="38"/>
      <c r="Z23" s="36"/>
    </row>
    <row r="25" customFormat="false" ht="14.25" hidden="false" customHeight="false" outlineLevel="0" collapsed="false">
      <c r="A25" s="57" t="s">
        <v>175</v>
      </c>
      <c r="B25" s="57"/>
      <c r="C25" s="57"/>
      <c r="D25" s="57"/>
      <c r="E25" s="57"/>
      <c r="F25" s="57"/>
      <c r="G25" s="57"/>
      <c r="H25" s="57"/>
      <c r="I25" s="57"/>
      <c r="J25" s="57"/>
      <c r="L25" s="57" t="s">
        <v>176</v>
      </c>
      <c r="M25" s="57"/>
    </row>
    <row r="26" customFormat="false" ht="15" hidden="false" customHeight="true" outlineLevel="0" collapsed="false">
      <c r="B26" s="15" t="s">
        <v>177</v>
      </c>
      <c r="C26" s="15"/>
      <c r="D26" s="15"/>
      <c r="E26" s="15"/>
      <c r="G26" s="15" t="s">
        <v>178</v>
      </c>
      <c r="H26" s="15"/>
      <c r="I26" s="15"/>
      <c r="J26" s="15"/>
      <c r="L26" s="32" t="s">
        <v>179</v>
      </c>
      <c r="M26" s="79" t="s">
        <v>180</v>
      </c>
      <c r="N26" s="79"/>
      <c r="O26" s="79"/>
      <c r="P26" s="79"/>
      <c r="Q26" s="79"/>
    </row>
    <row r="27" customFormat="false" ht="14.25" hidden="false" customHeight="false" outlineLevel="0" collapsed="false">
      <c r="B27" s="15" t="s">
        <v>181</v>
      </c>
      <c r="C27" s="15" t="s">
        <v>149</v>
      </c>
      <c r="D27" s="15" t="s">
        <v>150</v>
      </c>
      <c r="E27" s="15" t="s">
        <v>182</v>
      </c>
      <c r="G27" s="15" t="s">
        <v>181</v>
      </c>
      <c r="H27" s="15" t="s">
        <v>149</v>
      </c>
      <c r="I27" s="15" t="s">
        <v>150</v>
      </c>
      <c r="J27" s="15" t="s">
        <v>183</v>
      </c>
      <c r="L27" s="32"/>
      <c r="M27" s="79"/>
      <c r="N27" s="79"/>
      <c r="O27" s="79"/>
      <c r="P27" s="79"/>
      <c r="Q27" s="79"/>
    </row>
    <row r="28" customFormat="false" ht="14.25" hidden="false" customHeight="false" outlineLevel="0" collapsed="false">
      <c r="B28" s="33" t="s">
        <v>32</v>
      </c>
      <c r="C28" s="33" t="n">
        <v>0</v>
      </c>
      <c r="D28" s="33" t="n">
        <v>30</v>
      </c>
      <c r="E28" s="33" t="n">
        <v>-2</v>
      </c>
      <c r="G28" s="33"/>
      <c r="H28" s="33"/>
      <c r="I28" s="33"/>
      <c r="J28" s="33"/>
      <c r="L28" s="32"/>
      <c r="M28" s="1"/>
    </row>
    <row r="29" customFormat="false" ht="14.25" hidden="false" customHeight="false" outlineLevel="0" collapsed="false">
      <c r="B29" s="33" t="s">
        <v>33</v>
      </c>
      <c r="C29" s="33" t="n">
        <v>0</v>
      </c>
      <c r="D29" s="33" t="n">
        <v>30</v>
      </c>
      <c r="E29" s="33" t="n">
        <v>-2</v>
      </c>
      <c r="G29" s="33"/>
      <c r="H29" s="33"/>
      <c r="I29" s="33"/>
      <c r="J29" s="33"/>
      <c r="L29" s="32"/>
      <c r="M29" s="1"/>
    </row>
    <row r="30" customFormat="false" ht="14.25" hidden="false" customHeight="false" outlineLevel="0" collapsed="false">
      <c r="B30" s="33" t="s">
        <v>34</v>
      </c>
      <c r="C30" s="33" t="n">
        <v>0</v>
      </c>
      <c r="D30" s="33" t="n">
        <v>30</v>
      </c>
      <c r="E30" s="33" t="n">
        <v>-2</v>
      </c>
      <c r="G30" s="33"/>
      <c r="H30" s="33"/>
      <c r="I30" s="33"/>
      <c r="J30" s="33"/>
      <c r="L30" s="32"/>
      <c r="M30" s="1"/>
    </row>
    <row r="31" customFormat="false" ht="14.25" hidden="false" customHeight="false" outlineLevel="0" collapsed="false">
      <c r="B31" s="33" t="s">
        <v>35</v>
      </c>
      <c r="C31" s="33" t="n">
        <v>0</v>
      </c>
      <c r="D31" s="33" t="n">
        <v>30</v>
      </c>
      <c r="E31" s="33" t="n">
        <v>-2</v>
      </c>
      <c r="G31" s="33"/>
      <c r="H31" s="33"/>
      <c r="I31" s="33"/>
      <c r="J31" s="33"/>
      <c r="L31" s="32"/>
      <c r="M31" s="1"/>
    </row>
    <row r="32" customFormat="false" ht="14.25" hidden="false" customHeight="false" outlineLevel="0" collapsed="false">
      <c r="B32" s="33" t="s">
        <v>36</v>
      </c>
      <c r="C32" s="33" t="n">
        <v>0</v>
      </c>
      <c r="D32" s="33" t="n">
        <v>30</v>
      </c>
      <c r="E32" s="33" t="n">
        <v>-2</v>
      </c>
      <c r="G32" s="33"/>
      <c r="H32" s="33"/>
      <c r="I32" s="33"/>
      <c r="J32" s="33"/>
      <c r="L32" s="32"/>
      <c r="M32" s="1"/>
    </row>
    <row r="33" customFormat="false" ht="14.25" hidden="false" customHeight="false" outlineLevel="0" collapsed="false">
      <c r="B33" s="33" t="s">
        <v>38</v>
      </c>
      <c r="C33" s="33" t="n">
        <v>0</v>
      </c>
      <c r="D33" s="33" t="n">
        <v>30</v>
      </c>
      <c r="E33" s="33" t="n">
        <v>-2</v>
      </c>
      <c r="G33" s="33"/>
      <c r="H33" s="33"/>
      <c r="I33" s="33"/>
      <c r="J33" s="33"/>
      <c r="L33" s="32"/>
      <c r="M33" s="1"/>
    </row>
    <row r="34" customFormat="false" ht="14.25" hidden="false" customHeight="false" outlineLevel="0" collapsed="false">
      <c r="B34" s="33" t="s">
        <v>39</v>
      </c>
      <c r="C34" s="33" t="n">
        <v>0</v>
      </c>
      <c r="D34" s="33" t="n">
        <v>30</v>
      </c>
      <c r="E34" s="33" t="n">
        <v>-2</v>
      </c>
      <c r="G34" s="33"/>
      <c r="H34" s="33"/>
      <c r="I34" s="33"/>
      <c r="J34" s="33"/>
      <c r="L34" s="32"/>
      <c r="M34" s="1"/>
    </row>
    <row r="35" customFormat="false" ht="14.25" hidden="false" customHeight="false" outlineLevel="0" collapsed="false">
      <c r="B35" s="33" t="s">
        <v>40</v>
      </c>
      <c r="C35" s="33" t="n">
        <v>0</v>
      </c>
      <c r="D35" s="33" t="n">
        <v>30</v>
      </c>
      <c r="E35" s="33" t="n">
        <v>-2</v>
      </c>
      <c r="G35" s="33"/>
      <c r="H35" s="33"/>
      <c r="I35" s="33"/>
      <c r="J35" s="33"/>
      <c r="L35" s="32"/>
      <c r="M35" s="1"/>
    </row>
    <row r="36" customFormat="false" ht="14.25" hidden="false" customHeight="false" outlineLevel="0" collapsed="false">
      <c r="B36" s="33" t="s">
        <v>41</v>
      </c>
      <c r="C36" s="33" t="n">
        <v>0</v>
      </c>
      <c r="D36" s="33" t="n">
        <v>30</v>
      </c>
      <c r="E36" s="33" t="n">
        <v>-2</v>
      </c>
      <c r="G36" s="33"/>
      <c r="H36" s="33"/>
      <c r="I36" s="33"/>
      <c r="J36" s="33"/>
      <c r="L36" s="32"/>
      <c r="M36" s="1"/>
    </row>
    <row r="37" customFormat="false" ht="14.25" hidden="false" customHeight="false" outlineLevel="0" collapsed="false">
      <c r="B37" s="33" t="s">
        <v>43</v>
      </c>
      <c r="C37" s="33" t="n">
        <v>0</v>
      </c>
      <c r="D37" s="33" t="n">
        <v>30</v>
      </c>
      <c r="E37" s="33" t="n">
        <v>-2</v>
      </c>
      <c r="G37" s="33"/>
      <c r="H37" s="33"/>
      <c r="I37" s="33"/>
      <c r="J37" s="33"/>
      <c r="L37" s="27"/>
      <c r="M37" s="1"/>
    </row>
    <row r="38" customFormat="false" ht="14.25" hidden="false" customHeight="false" outlineLevel="0" collapsed="false">
      <c r="B38" s="33" t="s">
        <v>44</v>
      </c>
      <c r="C38" s="33" t="n">
        <v>0</v>
      </c>
      <c r="D38" s="33" t="n">
        <v>30</v>
      </c>
      <c r="E38" s="33" t="n">
        <v>-2</v>
      </c>
      <c r="G38" s="33"/>
      <c r="H38" s="33"/>
      <c r="I38" s="33"/>
      <c r="J38" s="33"/>
      <c r="L38" s="27"/>
      <c r="M38" s="1"/>
    </row>
    <row r="39" customFormat="false" ht="14.25" hidden="false" customHeight="false" outlineLevel="0" collapsed="false">
      <c r="B39" s="33" t="s">
        <v>45</v>
      </c>
      <c r="C39" s="33" t="n">
        <v>0</v>
      </c>
      <c r="D39" s="33" t="n">
        <v>30</v>
      </c>
      <c r="E39" s="33" t="n">
        <v>-2</v>
      </c>
      <c r="G39" s="33"/>
      <c r="H39" s="33"/>
      <c r="I39" s="33"/>
      <c r="J39" s="33"/>
      <c r="L39" s="27"/>
      <c r="M39" s="1"/>
    </row>
    <row r="40" customFormat="false" ht="14.25" hidden="false" customHeight="false" outlineLevel="0" collapsed="false">
      <c r="B40" s="33" t="s">
        <v>47</v>
      </c>
      <c r="C40" s="33" t="n">
        <v>0</v>
      </c>
      <c r="D40" s="33" t="n">
        <v>30</v>
      </c>
      <c r="E40" s="33" t="n">
        <v>-2</v>
      </c>
      <c r="G40" s="33"/>
      <c r="H40" s="33"/>
      <c r="I40" s="33"/>
      <c r="J40" s="33"/>
      <c r="L40" s="27"/>
      <c r="M40" s="1"/>
    </row>
    <row r="41" customFormat="false" ht="14.25" hidden="false" customHeight="false" outlineLevel="0" collapsed="false">
      <c r="B41" s="33" t="s">
        <v>48</v>
      </c>
      <c r="C41" s="33" t="n">
        <v>0</v>
      </c>
      <c r="D41" s="33" t="n">
        <v>30</v>
      </c>
      <c r="E41" s="33" t="n">
        <v>-2</v>
      </c>
      <c r="G41" s="33"/>
      <c r="H41" s="33"/>
      <c r="I41" s="33"/>
      <c r="J41" s="33"/>
      <c r="L41" s="27"/>
      <c r="M41" s="1"/>
    </row>
    <row r="42" customFormat="false" ht="14.25" hidden="false" customHeight="false" outlineLevel="0" collapsed="false">
      <c r="B42" s="33" t="s">
        <v>32</v>
      </c>
      <c r="C42" s="33" t="n">
        <v>1</v>
      </c>
      <c r="D42" s="33" t="n">
        <v>2</v>
      </c>
      <c r="E42" s="33" t="n">
        <v>6</v>
      </c>
      <c r="G42" s="33"/>
      <c r="H42" s="33"/>
      <c r="I42" s="33"/>
      <c r="J42" s="33"/>
      <c r="L42" s="27"/>
      <c r="M42" s="1"/>
    </row>
    <row r="43" customFormat="false" ht="14.25" hidden="false" customHeight="false" outlineLevel="0" collapsed="false">
      <c r="B43" s="33" t="s">
        <v>33</v>
      </c>
      <c r="C43" s="33" t="n">
        <v>3</v>
      </c>
      <c r="D43" s="33" t="n">
        <v>4</v>
      </c>
      <c r="E43" s="33" t="n">
        <v>4</v>
      </c>
      <c r="G43" s="33"/>
      <c r="H43" s="33"/>
      <c r="I43" s="33"/>
      <c r="J43" s="33"/>
      <c r="L43" s="27"/>
      <c r="M43" s="1"/>
    </row>
    <row r="44" customFormat="false" ht="14.25" hidden="false" customHeight="false" outlineLevel="0" collapsed="false">
      <c r="B44" s="33" t="s">
        <v>34</v>
      </c>
      <c r="C44" s="33" t="n">
        <v>5</v>
      </c>
      <c r="D44" s="33" t="n">
        <v>6</v>
      </c>
      <c r="E44" s="33" t="n">
        <v>9</v>
      </c>
      <c r="G44" s="33"/>
      <c r="H44" s="33"/>
      <c r="I44" s="33"/>
      <c r="J44" s="33"/>
      <c r="L44" s="27"/>
      <c r="M44" s="1"/>
    </row>
    <row r="45" customFormat="false" ht="14.25" hidden="false" customHeight="false" outlineLevel="0" collapsed="false">
      <c r="B45" s="33" t="s">
        <v>35</v>
      </c>
      <c r="C45" s="33" t="n">
        <v>7</v>
      </c>
      <c r="D45" s="33" t="n">
        <v>8</v>
      </c>
      <c r="E45" s="33" t="n">
        <v>4</v>
      </c>
      <c r="G45" s="33"/>
      <c r="H45" s="33"/>
      <c r="I45" s="33"/>
      <c r="J45" s="33"/>
    </row>
    <row r="46" customFormat="false" ht="14.25" hidden="false" customHeight="false" outlineLevel="0" collapsed="false">
      <c r="B46" s="33" t="s">
        <v>36</v>
      </c>
      <c r="C46" s="33" t="n">
        <v>9</v>
      </c>
      <c r="D46" s="33" t="n">
        <v>10</v>
      </c>
      <c r="E46" s="33" t="n">
        <v>7</v>
      </c>
      <c r="G46" s="33"/>
      <c r="H46" s="33"/>
      <c r="I46" s="33"/>
      <c r="J46" s="33"/>
    </row>
    <row r="47" customFormat="false" ht="14.25" hidden="false" customHeight="false" outlineLevel="0" collapsed="false">
      <c r="B47" s="33" t="s">
        <v>38</v>
      </c>
      <c r="C47" s="33" t="n">
        <v>11</v>
      </c>
      <c r="D47" s="33" t="n">
        <v>12</v>
      </c>
      <c r="E47" s="33" t="n">
        <v>7</v>
      </c>
      <c r="G47" s="33"/>
      <c r="H47" s="33"/>
      <c r="I47" s="33"/>
      <c r="J47" s="33"/>
    </row>
    <row r="48" customFormat="false" ht="14.25" hidden="false" customHeight="false" outlineLevel="0" collapsed="false">
      <c r="B48" s="33" t="s">
        <v>39</v>
      </c>
      <c r="C48" s="33" t="n">
        <v>13</v>
      </c>
      <c r="D48" s="33" t="n">
        <v>14</v>
      </c>
      <c r="E48" s="33" t="n">
        <v>4</v>
      </c>
      <c r="G48" s="33"/>
      <c r="H48" s="33"/>
      <c r="I48" s="33"/>
      <c r="J48" s="33"/>
    </row>
    <row r="49" customFormat="false" ht="14.25" hidden="false" customHeight="false" outlineLevel="0" collapsed="false">
      <c r="B49" s="33" t="s">
        <v>40</v>
      </c>
      <c r="C49" s="33" t="n">
        <v>15</v>
      </c>
      <c r="D49" s="33" t="n">
        <v>16</v>
      </c>
      <c r="E49" s="33" t="n">
        <v>4</v>
      </c>
      <c r="G49" s="33"/>
      <c r="H49" s="33"/>
      <c r="I49" s="33"/>
      <c r="J49" s="33"/>
    </row>
    <row r="50" customFormat="false" ht="14.25" hidden="false" customHeight="false" outlineLevel="0" collapsed="false">
      <c r="B50" s="33" t="s">
        <v>41</v>
      </c>
      <c r="C50" s="33" t="n">
        <v>17</v>
      </c>
      <c r="D50" s="33" t="n">
        <v>18</v>
      </c>
      <c r="E50" s="33" t="n">
        <v>4</v>
      </c>
      <c r="G50" s="33"/>
      <c r="H50" s="33"/>
      <c r="I50" s="33"/>
      <c r="J50" s="33"/>
    </row>
    <row r="51" customFormat="false" ht="14.25" hidden="false" customHeight="false" outlineLevel="0" collapsed="false">
      <c r="B51" s="33" t="s">
        <v>43</v>
      </c>
      <c r="C51" s="33" t="n">
        <v>19</v>
      </c>
      <c r="D51" s="33" t="n">
        <v>20</v>
      </c>
      <c r="E51" s="33" t="n">
        <v>4</v>
      </c>
      <c r="G51" s="33"/>
      <c r="H51" s="33"/>
      <c r="I51" s="33"/>
      <c r="J51" s="33"/>
    </row>
    <row r="52" customFormat="false" ht="14.25" hidden="false" customHeight="false" outlineLevel="0" collapsed="false">
      <c r="B52" s="33" t="s">
        <v>44</v>
      </c>
      <c r="C52" s="33" t="n">
        <v>21</v>
      </c>
      <c r="D52" s="33" t="n">
        <v>22</v>
      </c>
      <c r="E52" s="33" t="n">
        <v>4</v>
      </c>
      <c r="G52" s="33"/>
      <c r="H52" s="33"/>
      <c r="I52" s="33"/>
      <c r="J52" s="33"/>
    </row>
    <row r="53" customFormat="false" ht="14.25" hidden="false" customHeight="false" outlineLevel="0" collapsed="false">
      <c r="B53" s="33" t="s">
        <v>45</v>
      </c>
      <c r="C53" s="33" t="n">
        <v>23</v>
      </c>
      <c r="D53" s="33" t="n">
        <v>24</v>
      </c>
      <c r="E53" s="33" t="n">
        <v>4</v>
      </c>
      <c r="G53" s="33"/>
      <c r="H53" s="33"/>
      <c r="I53" s="33"/>
      <c r="J53" s="33"/>
    </row>
    <row r="54" customFormat="false" ht="14.25" hidden="false" customHeight="false" outlineLevel="0" collapsed="false">
      <c r="B54" s="33" t="s">
        <v>47</v>
      </c>
      <c r="C54" s="33" t="n">
        <v>25</v>
      </c>
      <c r="D54" s="33" t="n">
        <v>26</v>
      </c>
      <c r="E54" s="33" t="n">
        <v>4</v>
      </c>
      <c r="G54" s="33"/>
      <c r="H54" s="33"/>
      <c r="I54" s="33"/>
      <c r="J54" s="33"/>
    </row>
    <row r="55" customFormat="false" ht="14.25" hidden="false" customHeight="false" outlineLevel="0" collapsed="false">
      <c r="B55" s="33" t="s">
        <v>48</v>
      </c>
      <c r="C55" s="33" t="n">
        <v>27</v>
      </c>
      <c r="D55" s="33" t="n">
        <v>28</v>
      </c>
      <c r="E55" s="33" t="n">
        <v>4</v>
      </c>
      <c r="G55" s="33"/>
      <c r="H55" s="33"/>
      <c r="I55" s="33"/>
      <c r="J55" s="33"/>
    </row>
    <row r="56" customFormat="false" ht="14.25" hidden="false" customHeight="false" outlineLevel="0" collapsed="false">
      <c r="B56" s="33"/>
      <c r="C56" s="33"/>
      <c r="D56" s="33"/>
      <c r="E56" s="33"/>
      <c r="G56" s="33"/>
      <c r="H56" s="33"/>
      <c r="I56" s="33"/>
      <c r="J56" s="33"/>
    </row>
    <row r="57" customFormat="false" ht="14.25" hidden="false" customHeight="false" outlineLevel="0" collapsed="false">
      <c r="B57" s="33"/>
      <c r="C57" s="33"/>
      <c r="D57" s="33"/>
      <c r="E57" s="33"/>
      <c r="G57" s="33"/>
      <c r="H57" s="33"/>
      <c r="I57" s="33"/>
      <c r="J57" s="33"/>
    </row>
    <row r="58" customFormat="false" ht="14.25" hidden="false" customHeight="false" outlineLevel="0" collapsed="false">
      <c r="B58" s="33"/>
      <c r="C58" s="33"/>
      <c r="D58" s="33"/>
      <c r="E58" s="33"/>
      <c r="G58" s="33"/>
      <c r="H58" s="33"/>
      <c r="I58" s="33"/>
      <c r="J58" s="33"/>
    </row>
    <row r="59" customFormat="false" ht="14.25" hidden="false" customHeight="false" outlineLevel="0" collapsed="false">
      <c r="B59" s="33"/>
      <c r="C59" s="33"/>
      <c r="D59" s="33"/>
      <c r="E59" s="33"/>
      <c r="G59" s="33"/>
      <c r="H59" s="33"/>
      <c r="I59" s="33"/>
      <c r="J59" s="33"/>
    </row>
    <row r="60" customFormat="false" ht="14.25" hidden="false" customHeight="false" outlineLevel="0" collapsed="false">
      <c r="B60" s="33"/>
      <c r="C60" s="33"/>
      <c r="D60" s="33"/>
      <c r="E60" s="33"/>
      <c r="G60" s="33"/>
      <c r="H60" s="33"/>
      <c r="I60" s="33"/>
      <c r="J60" s="33"/>
    </row>
    <row r="61" customFormat="false" ht="14.25" hidden="false" customHeight="false" outlineLevel="0" collapsed="false">
      <c r="B61" s="33"/>
      <c r="C61" s="33"/>
      <c r="D61" s="33"/>
      <c r="E61" s="33"/>
      <c r="G61" s="33"/>
      <c r="H61" s="33"/>
      <c r="I61" s="33"/>
      <c r="J61" s="33"/>
    </row>
    <row r="62" customFormat="false" ht="14.25" hidden="false" customHeight="false" outlineLevel="0" collapsed="false">
      <c r="B62" s="33"/>
      <c r="C62" s="33"/>
      <c r="D62" s="33"/>
      <c r="E62" s="33"/>
      <c r="G62" s="33"/>
      <c r="H62" s="33"/>
      <c r="I62" s="33"/>
      <c r="J62" s="33"/>
    </row>
    <row r="63" customFormat="false" ht="14.25" hidden="false" customHeight="false" outlineLevel="0" collapsed="false">
      <c r="B63" s="33"/>
      <c r="C63" s="33"/>
      <c r="D63" s="33"/>
      <c r="E63" s="33"/>
      <c r="G63" s="33"/>
      <c r="H63" s="33"/>
      <c r="I63" s="33"/>
      <c r="J63" s="33"/>
    </row>
    <row r="64" customFormat="false" ht="14.25" hidden="false" customHeight="false" outlineLevel="0" collapsed="false">
      <c r="B64" s="33"/>
      <c r="C64" s="33"/>
      <c r="D64" s="33"/>
      <c r="E64" s="33"/>
      <c r="G64" s="33"/>
      <c r="H64" s="33"/>
      <c r="I64" s="33"/>
      <c r="J64" s="33"/>
    </row>
    <row r="65" customFormat="false" ht="14.25" hidden="false" customHeight="false" outlineLevel="0" collapsed="false">
      <c r="B65" s="33"/>
      <c r="C65" s="33"/>
      <c r="D65" s="33"/>
      <c r="E65" s="33"/>
      <c r="G65" s="33"/>
      <c r="H65" s="33"/>
      <c r="I65" s="33"/>
      <c r="J65" s="33"/>
    </row>
    <row r="66" customFormat="false" ht="14.25" hidden="false" customHeight="false" outlineLevel="0" collapsed="false">
      <c r="B66" s="33"/>
      <c r="C66" s="33"/>
      <c r="D66" s="33"/>
      <c r="E66" s="33"/>
      <c r="G66" s="33"/>
      <c r="H66" s="33"/>
      <c r="I66" s="33"/>
      <c r="J66" s="33"/>
    </row>
    <row r="67" customFormat="false" ht="14.25" hidden="false" customHeight="false" outlineLevel="0" collapsed="false">
      <c r="B67" s="33"/>
      <c r="C67" s="33"/>
      <c r="D67" s="33"/>
      <c r="E67" s="33"/>
      <c r="G67" s="33"/>
      <c r="H67" s="33"/>
      <c r="I67" s="33"/>
      <c r="J67" s="33"/>
    </row>
    <row r="68" customFormat="false" ht="14.25" hidden="false" customHeight="false" outlineLevel="0" collapsed="false">
      <c r="B68" s="33"/>
      <c r="C68" s="33"/>
      <c r="D68" s="33"/>
      <c r="E68" s="33"/>
      <c r="G68" s="33"/>
      <c r="H68" s="33"/>
      <c r="I68" s="33"/>
      <c r="J68" s="33"/>
    </row>
    <row r="69" customFormat="false" ht="14.25" hidden="false" customHeight="false" outlineLevel="0" collapsed="false">
      <c r="B69" s="33"/>
      <c r="C69" s="33"/>
      <c r="D69" s="33"/>
      <c r="E69" s="33"/>
      <c r="G69" s="33"/>
      <c r="H69" s="33"/>
      <c r="I69" s="33"/>
      <c r="J69" s="33"/>
    </row>
    <row r="70" customFormat="false" ht="14.25" hidden="false" customHeight="false" outlineLevel="0" collapsed="false">
      <c r="B70" s="33"/>
      <c r="C70" s="33"/>
      <c r="D70" s="33"/>
      <c r="E70" s="33"/>
      <c r="G70" s="33"/>
      <c r="H70" s="33"/>
      <c r="I70" s="33"/>
      <c r="J70" s="33"/>
    </row>
    <row r="71" customFormat="false" ht="14.25" hidden="false" customHeight="false" outlineLevel="0" collapsed="false">
      <c r="B71" s="33"/>
      <c r="C71" s="33"/>
      <c r="D71" s="33"/>
      <c r="E71" s="33"/>
      <c r="G71" s="33"/>
      <c r="H71" s="33"/>
      <c r="I71" s="33"/>
      <c r="J71" s="33"/>
    </row>
    <row r="72" customFormat="false" ht="14.25" hidden="false" customHeight="false" outlineLevel="0" collapsed="false">
      <c r="B72" s="33"/>
      <c r="C72" s="33"/>
      <c r="D72" s="33"/>
      <c r="E72" s="33"/>
      <c r="G72" s="33"/>
      <c r="H72" s="33"/>
      <c r="I72" s="33"/>
      <c r="J72" s="33"/>
    </row>
    <row r="73" customFormat="false" ht="14.25" hidden="false" customHeight="false" outlineLevel="0" collapsed="false">
      <c r="B73" s="33"/>
      <c r="C73" s="33"/>
      <c r="D73" s="33"/>
      <c r="E73" s="33"/>
      <c r="G73" s="33"/>
      <c r="H73" s="33"/>
      <c r="I73" s="33"/>
      <c r="J73" s="33"/>
    </row>
    <row r="74" customFormat="false" ht="14.25" hidden="false" customHeight="false" outlineLevel="0" collapsed="false">
      <c r="B74" s="33"/>
      <c r="C74" s="33"/>
      <c r="D74" s="33"/>
      <c r="E74" s="33"/>
      <c r="G74" s="33"/>
      <c r="H74" s="33"/>
      <c r="I74" s="33"/>
      <c r="J74" s="33"/>
    </row>
    <row r="75" customFormat="false" ht="14.25" hidden="false" customHeight="false" outlineLevel="0" collapsed="false">
      <c r="B75" s="33"/>
      <c r="C75" s="33"/>
      <c r="D75" s="33"/>
      <c r="E75" s="33"/>
      <c r="G75" s="33"/>
      <c r="H75" s="33"/>
      <c r="I75" s="33"/>
      <c r="J75" s="33"/>
    </row>
    <row r="76" customFormat="false" ht="14.25" hidden="false" customHeight="false" outlineLevel="0" collapsed="false">
      <c r="B76" s="33"/>
      <c r="C76" s="33"/>
      <c r="D76" s="33"/>
      <c r="E76" s="33"/>
      <c r="G76" s="33"/>
      <c r="H76" s="33"/>
      <c r="I76" s="33"/>
      <c r="J76" s="33"/>
    </row>
    <row r="77" customFormat="false" ht="14.25" hidden="false" customHeight="false" outlineLevel="0" collapsed="false">
      <c r="B77" s="33"/>
      <c r="C77" s="33"/>
      <c r="D77" s="33"/>
      <c r="E77" s="33"/>
      <c r="G77" s="33"/>
      <c r="H77" s="33"/>
      <c r="I77" s="33"/>
      <c r="J77" s="33"/>
    </row>
    <row r="78" customFormat="false" ht="14.25" hidden="false" customHeight="false" outlineLevel="0" collapsed="false">
      <c r="B78" s="33"/>
      <c r="C78" s="33"/>
      <c r="D78" s="33"/>
      <c r="E78" s="33"/>
      <c r="G78" s="33"/>
      <c r="H78" s="33"/>
      <c r="I78" s="33"/>
      <c r="J78" s="33"/>
    </row>
    <row r="79" customFormat="false" ht="14.25" hidden="false" customHeight="false" outlineLevel="0" collapsed="false">
      <c r="B79" s="33"/>
      <c r="C79" s="33"/>
      <c r="D79" s="33"/>
      <c r="E79" s="33"/>
      <c r="G79" s="33"/>
      <c r="H79" s="33"/>
      <c r="I79" s="33"/>
      <c r="J79" s="33"/>
    </row>
    <row r="80" customFormat="false" ht="14.25" hidden="false" customHeight="false" outlineLevel="0" collapsed="false">
      <c r="B80" s="33"/>
      <c r="C80" s="33"/>
      <c r="D80" s="33"/>
      <c r="E80" s="33"/>
      <c r="G80" s="33"/>
      <c r="H80" s="33"/>
      <c r="I80" s="33"/>
      <c r="J80" s="33"/>
    </row>
    <row r="81" customFormat="false" ht="14.25" hidden="false" customHeight="false" outlineLevel="0" collapsed="false">
      <c r="B81" s="33"/>
      <c r="C81" s="33"/>
      <c r="D81" s="33"/>
      <c r="E81" s="33"/>
      <c r="G81" s="33"/>
      <c r="H81" s="33"/>
      <c r="I81" s="33"/>
      <c r="J81" s="33"/>
    </row>
    <row r="82" customFormat="false" ht="14.25" hidden="false" customHeight="false" outlineLevel="0" collapsed="false">
      <c r="B82" s="33"/>
      <c r="C82" s="33"/>
      <c r="D82" s="33"/>
      <c r="E82" s="33"/>
      <c r="G82" s="33"/>
      <c r="H82" s="33"/>
      <c r="I82" s="33"/>
      <c r="J82" s="33"/>
    </row>
    <row r="83" customFormat="false" ht="14.25" hidden="false" customHeight="false" outlineLevel="0" collapsed="false">
      <c r="B83" s="33"/>
      <c r="C83" s="33"/>
      <c r="D83" s="33"/>
      <c r="E83" s="33"/>
      <c r="G83" s="33"/>
      <c r="H83" s="33"/>
      <c r="I83" s="33"/>
      <c r="J83" s="33"/>
    </row>
    <row r="84" customFormat="false" ht="14.25" hidden="false" customHeight="false" outlineLevel="0" collapsed="false">
      <c r="B84" s="33"/>
      <c r="C84" s="33"/>
      <c r="D84" s="33"/>
      <c r="E84" s="33"/>
      <c r="G84" s="33"/>
      <c r="H84" s="33"/>
      <c r="I84" s="33"/>
      <c r="J84" s="33"/>
    </row>
    <row r="85" customFormat="false" ht="14.25" hidden="false" customHeight="false" outlineLevel="0" collapsed="false">
      <c r="B85" s="33"/>
      <c r="C85" s="33"/>
      <c r="D85" s="33"/>
      <c r="E85" s="33"/>
      <c r="G85" s="33"/>
      <c r="H85" s="33"/>
      <c r="I85" s="33"/>
      <c r="J85" s="33"/>
    </row>
    <row r="86" customFormat="false" ht="14.25" hidden="false" customHeight="false" outlineLevel="0" collapsed="false">
      <c r="B86" s="33"/>
      <c r="C86" s="33"/>
      <c r="D86" s="33"/>
      <c r="E86" s="33"/>
      <c r="G86" s="33"/>
      <c r="H86" s="33"/>
      <c r="I86" s="33"/>
      <c r="J86" s="33"/>
    </row>
    <row r="87" customFormat="false" ht="14.25" hidden="false" customHeight="false" outlineLevel="0" collapsed="false">
      <c r="B87" s="33"/>
      <c r="C87" s="33"/>
      <c r="D87" s="33"/>
      <c r="E87" s="33"/>
      <c r="G87" s="33"/>
      <c r="H87" s="33"/>
      <c r="I87" s="33"/>
      <c r="J87" s="33"/>
    </row>
  </sheetData>
  <mergeCells count="11">
    <mergeCell ref="F1:K1"/>
    <mergeCell ref="B7:F7"/>
    <mergeCell ref="G7:K7"/>
    <mergeCell ref="L7:P7"/>
    <mergeCell ref="Q7:U7"/>
    <mergeCell ref="V7:Z7"/>
    <mergeCell ref="A25:J25"/>
    <mergeCell ref="L25:M25"/>
    <mergeCell ref="B26:E26"/>
    <mergeCell ref="G26:J26"/>
    <mergeCell ref="M26:Q27"/>
  </mergeCells>
  <conditionalFormatting sqref="C3">
    <cfRule type="cellIs" priority="2" operator="notEqual" aboveAverage="0" equalAverage="0" bottom="0" percent="0" rank="0" text="" dxfId="21">
      <formula>MAX($E$9:$E$23)</formula>
    </cfRule>
  </conditionalFormatting>
  <conditionalFormatting sqref="M16">
    <cfRule type="expression" priority="3" aboveAverage="0" equalAverage="0" bottom="0" percent="0" rank="0" text="" dxfId="22">
      <formula>LEN(TRIM(M16))=0</formula>
    </cfRule>
    <cfRule type="cellIs" priority="4" operator="equal" aboveAverage="0" equalAverage="0" bottom="0" percent="0" rank="0" text="" dxfId="23">
      <formula>0</formula>
    </cfRule>
    <cfRule type="expression" priority="5" aboveAverage="0" equalAverage="0" bottom="0" percent="0" rank="0" text="" dxfId="24">
      <formula>LEN(TRIM(M16))=0</formula>
    </cfRule>
    <cfRule type="cellIs" priority="6" operator="equal" aboveAverage="0" equalAverage="0" bottom="0" percent="0" rank="0" text="" dxfId="25">
      <formula>0</formula>
    </cfRule>
  </conditionalFormatting>
  <dataValidations count="1">
    <dataValidation allowBlank="true" errorStyle="stop" operator="between" showDropDown="false" showErrorMessage="true" showInputMessage="true" sqref="F9:F23 K9:K23 P9:P23 U9:U23 Z9:Z23" type="list">
      <formula1>"green,red,yellow,blue,orange,cyan,black,white,magenta,pink"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Z88"/>
  <sheetViews>
    <sheetView showFormulas="false" showGridLines="true" showRowColHeaders="true" showZeros="true" rightToLeft="false" tabSelected="false" showOutlineSymbols="true" defaultGridColor="true" view="normal" topLeftCell="B22" colorId="64" zoomScale="90" zoomScaleNormal="90" zoomScalePageLayoutView="100" workbookViewId="0">
      <selection pane="topLeft" activeCell="F39" activeCellId="0" sqref="F39"/>
    </sheetView>
  </sheetViews>
  <sheetFormatPr defaultColWidth="9.1796875" defaultRowHeight="14.25" zeroHeight="false" outlineLevelRow="0" outlineLevelCol="0"/>
  <cols>
    <col collapsed="false" customWidth="true" hidden="false" outlineLevel="0" max="2" min="1" style="40" width="8.45"/>
    <col collapsed="false" customWidth="true" hidden="false" outlineLevel="0" max="3" min="3" style="40" width="10.54"/>
    <col collapsed="false" customWidth="true" hidden="false" outlineLevel="0" max="4" min="4" style="40" width="8.45"/>
    <col collapsed="false" customWidth="true" hidden="false" outlineLevel="0" max="5" min="5" style="40" width="10.72"/>
    <col collapsed="false" customWidth="true" hidden="false" outlineLevel="0" max="6" min="6" style="40" width="8.82"/>
    <col collapsed="false" customWidth="true" hidden="false" outlineLevel="0" max="7" min="7" style="40" width="17"/>
    <col collapsed="false" customWidth="true" hidden="false" outlineLevel="0" max="8" min="8" style="40" width="9"/>
    <col collapsed="false" customWidth="true" hidden="false" outlineLevel="0" max="9" min="9" style="40" width="8.45"/>
    <col collapsed="false" customWidth="true" hidden="false" outlineLevel="0" max="10" min="10" style="40" width="10.18"/>
    <col collapsed="false" customWidth="true" hidden="false" outlineLevel="0" max="11" min="11" style="40" width="12.17"/>
    <col collapsed="false" customWidth="true" hidden="false" outlineLevel="0" max="12" min="12" style="40" width="19.18"/>
    <col collapsed="false" customWidth="true" hidden="false" outlineLevel="0" max="13" min="13" style="40" width="10.27"/>
    <col collapsed="false" customWidth="true" hidden="false" outlineLevel="0" max="14" min="14" style="40" width="8.45"/>
    <col collapsed="false" customWidth="true" hidden="false" outlineLevel="0" max="15" min="15" style="40" width="10.18"/>
    <col collapsed="false" customWidth="true" hidden="false" outlineLevel="0" max="16" min="16" style="40" width="9.82"/>
    <col collapsed="false" customWidth="true" hidden="false" outlineLevel="0" max="17" min="17" style="40" width="15.83"/>
    <col collapsed="false" customWidth="true" hidden="false" outlineLevel="0" max="19" min="18" style="40" width="8.45"/>
    <col collapsed="false" customWidth="true" hidden="false" outlineLevel="0" max="20" min="20" style="40" width="10.27"/>
    <col collapsed="false" customWidth="true" hidden="false" outlineLevel="0" max="21" min="21" style="40" width="17"/>
    <col collapsed="false" customWidth="true" hidden="false" outlineLevel="0" max="24" min="22" style="40" width="8.45"/>
    <col collapsed="false" customWidth="true" hidden="false" outlineLevel="0" max="25" min="25" style="40" width="11.17"/>
    <col collapsed="false" customWidth="true" hidden="false" outlineLevel="0" max="26" min="26" style="40" width="7.82"/>
    <col collapsed="false" customWidth="true" hidden="false" outlineLevel="0" max="27" min="27" style="40" width="15.72"/>
    <col collapsed="false" customWidth="true" hidden="false" outlineLevel="0" max="31" min="28" style="40" width="7.82"/>
    <col collapsed="false" customWidth="false" hidden="false" outlineLevel="0" max="1024" min="32" style="40" width="9.18"/>
  </cols>
  <sheetData>
    <row r="1" customFormat="false" ht="14.25" hidden="false" customHeight="false" outlineLevel="0" collapsed="false">
      <c r="F1" s="57" t="s">
        <v>89</v>
      </c>
      <c r="G1" s="57"/>
      <c r="H1" s="57"/>
      <c r="I1" s="57"/>
      <c r="J1" s="57"/>
      <c r="K1" s="57"/>
      <c r="L1" s="12" t="s">
        <v>90</v>
      </c>
      <c r="M1" s="15" t="s">
        <v>91</v>
      </c>
      <c r="N1" s="58" t="s">
        <v>92</v>
      </c>
      <c r="T1" s="58" t="s">
        <v>93</v>
      </c>
    </row>
    <row r="2" customFormat="false" ht="14.25" hidden="false" customHeight="false" outlineLevel="0" collapsed="false">
      <c r="A2" s="59" t="s">
        <v>94</v>
      </c>
      <c r="B2" s="60" t="s">
        <v>95</v>
      </c>
      <c r="C2" s="33" t="s">
        <v>184</v>
      </c>
      <c r="D2" s="60" t="s">
        <v>97</v>
      </c>
      <c r="E2" s="33" t="n">
        <v>1</v>
      </c>
      <c r="F2" s="61" t="s">
        <v>98</v>
      </c>
      <c r="G2" s="58" t="s">
        <v>99</v>
      </c>
      <c r="M2" s="15" t="s">
        <v>100</v>
      </c>
      <c r="N2" s="58" t="s">
        <v>101</v>
      </c>
      <c r="Q2" s="15" t="s">
        <v>102</v>
      </c>
      <c r="R2" s="58" t="s">
        <v>103</v>
      </c>
      <c r="T2" s="15" t="s">
        <v>104</v>
      </c>
      <c r="U2" s="40" t="s">
        <v>105</v>
      </c>
    </row>
    <row r="3" customFormat="false" ht="14.25" hidden="false" customHeight="false" outlineLevel="0" collapsed="false">
      <c r="B3" s="60" t="s">
        <v>106</v>
      </c>
      <c r="C3" s="33" t="n">
        <v>240</v>
      </c>
      <c r="D3" s="60" t="s">
        <v>107</v>
      </c>
      <c r="E3" s="33" t="n">
        <v>1</v>
      </c>
      <c r="F3" s="12" t="s">
        <v>108</v>
      </c>
      <c r="G3" s="58" t="s">
        <v>109</v>
      </c>
      <c r="I3" s="59" t="s">
        <v>110</v>
      </c>
      <c r="J3" s="58" t="s">
        <v>111</v>
      </c>
      <c r="M3" s="15" t="s">
        <v>112</v>
      </c>
      <c r="N3" s="58" t="s">
        <v>113</v>
      </c>
      <c r="Q3" s="15" t="s">
        <v>114</v>
      </c>
      <c r="R3" s="58" t="s">
        <v>115</v>
      </c>
      <c r="T3" s="15" t="s">
        <v>116</v>
      </c>
      <c r="U3" s="40" t="s">
        <v>117</v>
      </c>
    </row>
    <row r="4" customFormat="false" ht="14.25" hidden="false" customHeight="false" outlineLevel="0" collapsed="false">
      <c r="B4" s="60" t="s">
        <v>118</v>
      </c>
      <c r="C4" s="33" t="n">
        <v>5E-005</v>
      </c>
      <c r="D4" s="60" t="s">
        <v>119</v>
      </c>
      <c r="E4" s="33" t="n">
        <v>1</v>
      </c>
      <c r="F4" s="61" t="s">
        <v>120</v>
      </c>
      <c r="G4" s="58" t="s">
        <v>121</v>
      </c>
      <c r="I4" s="59" t="s">
        <v>122</v>
      </c>
      <c r="J4" s="62" t="s">
        <v>123</v>
      </c>
      <c r="M4" s="15" t="s">
        <v>12</v>
      </c>
      <c r="N4" s="58" t="s">
        <v>124</v>
      </c>
      <c r="Q4" s="15" t="s">
        <v>125</v>
      </c>
      <c r="R4" s="58" t="s">
        <v>126</v>
      </c>
      <c r="T4" s="15" t="s">
        <v>127</v>
      </c>
      <c r="U4" s="40" t="s">
        <v>128</v>
      </c>
    </row>
    <row r="5" customFormat="false" ht="14.25" hidden="false" customHeight="false" outlineLevel="0" collapsed="false">
      <c r="B5" s="63" t="s">
        <v>129</v>
      </c>
      <c r="F5" s="12" t="s">
        <v>108</v>
      </c>
      <c r="G5" s="58" t="s">
        <v>130</v>
      </c>
      <c r="I5" s="40" t="s">
        <v>108</v>
      </c>
      <c r="J5" s="62" t="s">
        <v>131</v>
      </c>
      <c r="M5" s="15" t="s">
        <v>13</v>
      </c>
      <c r="N5" s="58" t="s">
        <v>132</v>
      </c>
      <c r="Q5" s="15" t="s">
        <v>133</v>
      </c>
      <c r="R5" s="58" t="s">
        <v>134</v>
      </c>
      <c r="T5" s="15" t="s">
        <v>135</v>
      </c>
      <c r="U5" s="40" t="s">
        <v>136</v>
      </c>
    </row>
    <row r="6" customFormat="false" ht="15" hidden="false" customHeight="false" outlineLevel="0" collapsed="false">
      <c r="A6" s="64" t="s">
        <v>137</v>
      </c>
      <c r="J6" s="62" t="s">
        <v>138</v>
      </c>
      <c r="M6" s="65" t="s">
        <v>139</v>
      </c>
      <c r="N6" s="58" t="s">
        <v>140</v>
      </c>
    </row>
    <row r="7" customFormat="false" ht="15" hidden="false" customHeight="false" outlineLevel="0" collapsed="false">
      <c r="B7" s="66" t="s">
        <v>141</v>
      </c>
      <c r="C7" s="66"/>
      <c r="D7" s="66"/>
      <c r="E7" s="66"/>
      <c r="F7" s="66"/>
      <c r="G7" s="67" t="s">
        <v>142</v>
      </c>
      <c r="H7" s="67"/>
      <c r="I7" s="67"/>
      <c r="J7" s="67"/>
      <c r="K7" s="67"/>
      <c r="L7" s="2" t="s">
        <v>143</v>
      </c>
      <c r="M7" s="2"/>
      <c r="N7" s="2"/>
      <c r="O7" s="2"/>
      <c r="P7" s="2"/>
      <c r="Q7" s="2" t="s">
        <v>144</v>
      </c>
      <c r="R7" s="2"/>
      <c r="S7" s="2"/>
      <c r="T7" s="2"/>
      <c r="U7" s="2"/>
      <c r="V7" s="2" t="s">
        <v>145</v>
      </c>
      <c r="W7" s="2"/>
      <c r="X7" s="2"/>
      <c r="Y7" s="2"/>
      <c r="Z7" s="2"/>
    </row>
    <row r="8" customFormat="false" ht="14.25" hidden="false" customHeight="false" outlineLevel="0" collapsed="false">
      <c r="A8" s="2" t="s">
        <v>146</v>
      </c>
      <c r="B8" s="68" t="s">
        <v>147</v>
      </c>
      <c r="C8" s="15" t="s">
        <v>148</v>
      </c>
      <c r="D8" s="15" t="s">
        <v>149</v>
      </c>
      <c r="E8" s="15" t="s">
        <v>150</v>
      </c>
      <c r="F8" s="69" t="s">
        <v>151</v>
      </c>
      <c r="G8" s="70" t="s">
        <v>147</v>
      </c>
      <c r="H8" s="15" t="s">
        <v>148</v>
      </c>
      <c r="I8" s="15" t="s">
        <v>152</v>
      </c>
      <c r="J8" s="15" t="s">
        <v>153</v>
      </c>
      <c r="K8" s="16" t="s">
        <v>151</v>
      </c>
      <c r="L8" s="14" t="s">
        <v>147</v>
      </c>
      <c r="M8" s="15" t="s">
        <v>148</v>
      </c>
      <c r="N8" s="15" t="s">
        <v>152</v>
      </c>
      <c r="O8" s="15" t="s">
        <v>153</v>
      </c>
      <c r="P8" s="16" t="s">
        <v>151</v>
      </c>
      <c r="Q8" s="14" t="s">
        <v>147</v>
      </c>
      <c r="R8" s="15" t="s">
        <v>148</v>
      </c>
      <c r="S8" s="15" t="s">
        <v>152</v>
      </c>
      <c r="T8" s="15" t="s">
        <v>153</v>
      </c>
      <c r="U8" s="16" t="s">
        <v>151</v>
      </c>
      <c r="V8" s="14" t="s">
        <v>147</v>
      </c>
      <c r="W8" s="15" t="s">
        <v>148</v>
      </c>
      <c r="X8" s="15" t="s">
        <v>152</v>
      </c>
      <c r="Y8" s="15" t="s">
        <v>153</v>
      </c>
      <c r="Z8" s="16" t="s">
        <v>151</v>
      </c>
    </row>
    <row r="9" customFormat="false" ht="14.25" hidden="false" customHeight="false" outlineLevel="0" collapsed="false">
      <c r="A9" s="71" t="n">
        <v>1</v>
      </c>
      <c r="B9" s="72" t="s">
        <v>141</v>
      </c>
      <c r="C9" s="33" t="n">
        <v>24</v>
      </c>
      <c r="D9" s="33" t="n">
        <v>0</v>
      </c>
      <c r="E9" s="33" t="n">
        <v>240</v>
      </c>
      <c r="F9" s="73" t="s">
        <v>156</v>
      </c>
      <c r="G9" s="32" t="s">
        <v>174</v>
      </c>
      <c r="H9" s="33" t="n">
        <v>10</v>
      </c>
      <c r="I9" s="33" t="n">
        <v>-80</v>
      </c>
      <c r="J9" s="33" t="n">
        <v>20</v>
      </c>
      <c r="K9" s="73" t="s">
        <v>156</v>
      </c>
      <c r="L9" s="32"/>
      <c r="M9" s="33"/>
      <c r="N9" s="33"/>
      <c r="O9" s="33"/>
      <c r="P9" s="73"/>
      <c r="Q9" s="32"/>
      <c r="R9" s="33"/>
      <c r="S9" s="33"/>
      <c r="T9" s="33"/>
      <c r="U9" s="73"/>
      <c r="V9" s="32"/>
      <c r="W9" s="33"/>
      <c r="X9" s="33"/>
      <c r="Y9" s="33"/>
      <c r="Z9" s="28"/>
    </row>
    <row r="10" customFormat="false" ht="14.25" hidden="false" customHeight="false" outlineLevel="0" collapsed="false">
      <c r="A10" s="71" t="n">
        <v>1</v>
      </c>
      <c r="B10" s="72" t="s">
        <v>141</v>
      </c>
      <c r="C10" s="33" t="n">
        <v>24</v>
      </c>
      <c r="D10" s="33" t="n">
        <v>0</v>
      </c>
      <c r="E10" s="33" t="n">
        <v>240</v>
      </c>
      <c r="F10" s="73" t="s">
        <v>154</v>
      </c>
      <c r="G10" s="32" t="s">
        <v>163</v>
      </c>
      <c r="H10" s="33" t="n">
        <v>10</v>
      </c>
      <c r="I10" s="33" t="n">
        <v>-80</v>
      </c>
      <c r="J10" s="33" t="n">
        <v>20</v>
      </c>
      <c r="K10" s="73" t="s">
        <v>154</v>
      </c>
      <c r="L10" s="32"/>
      <c r="M10" s="33"/>
      <c r="N10" s="33"/>
      <c r="O10" s="33"/>
      <c r="P10" s="73"/>
      <c r="Q10" s="32"/>
      <c r="R10" s="33"/>
      <c r="S10" s="33"/>
      <c r="T10" s="33"/>
      <c r="U10" s="73"/>
      <c r="V10" s="32"/>
      <c r="W10" s="33"/>
      <c r="X10" s="33"/>
      <c r="Y10" s="33"/>
      <c r="Z10" s="28"/>
    </row>
    <row r="11" customFormat="false" ht="14.25" hidden="false" customHeight="false" outlineLevel="0" collapsed="false">
      <c r="A11" s="71" t="n">
        <v>1</v>
      </c>
      <c r="B11" s="72" t="s">
        <v>141</v>
      </c>
      <c r="C11" s="33" t="n">
        <v>24</v>
      </c>
      <c r="D11" s="33" t="n">
        <v>0</v>
      </c>
      <c r="E11" s="33" t="n">
        <v>240</v>
      </c>
      <c r="F11" s="73" t="s">
        <v>160</v>
      </c>
      <c r="G11" s="32" t="s">
        <v>159</v>
      </c>
      <c r="H11" s="33" t="n">
        <v>10</v>
      </c>
      <c r="I11" s="33" t="n">
        <v>-80</v>
      </c>
      <c r="J11" s="33" t="n">
        <v>20</v>
      </c>
      <c r="K11" s="73" t="s">
        <v>160</v>
      </c>
      <c r="L11" s="26"/>
      <c r="M11" s="33"/>
      <c r="N11" s="33"/>
      <c r="O11" s="33"/>
      <c r="P11" s="73"/>
      <c r="Q11" s="32"/>
      <c r="R11" s="33"/>
      <c r="S11" s="33"/>
      <c r="T11" s="33"/>
      <c r="U11" s="73"/>
      <c r="V11" s="32"/>
      <c r="W11" s="33"/>
      <c r="X11" s="33"/>
      <c r="Y11" s="33"/>
      <c r="Z11" s="28"/>
    </row>
    <row r="12" customFormat="false" ht="14.25" hidden="false" customHeight="false" outlineLevel="0" collapsed="false">
      <c r="A12" s="71" t="n">
        <v>1</v>
      </c>
      <c r="B12" s="72" t="s">
        <v>141</v>
      </c>
      <c r="C12" s="33" t="n">
        <v>24</v>
      </c>
      <c r="D12" s="33" t="n">
        <v>0</v>
      </c>
      <c r="E12" s="33" t="n">
        <v>240</v>
      </c>
      <c r="F12" s="73" t="s">
        <v>185</v>
      </c>
      <c r="G12" s="32" t="s">
        <v>161</v>
      </c>
      <c r="H12" s="33" t="n">
        <v>10</v>
      </c>
      <c r="I12" s="33" t="n">
        <v>-80</v>
      </c>
      <c r="J12" s="33" t="n">
        <v>20</v>
      </c>
      <c r="K12" s="73" t="s">
        <v>185</v>
      </c>
      <c r="L12" s="26"/>
      <c r="M12" s="33"/>
      <c r="N12" s="33"/>
      <c r="O12" s="33"/>
      <c r="P12" s="73"/>
      <c r="Q12" s="32"/>
      <c r="R12" s="33"/>
      <c r="S12" s="33"/>
      <c r="T12" s="33"/>
      <c r="U12" s="73"/>
      <c r="V12" s="32"/>
      <c r="W12" s="33"/>
      <c r="X12" s="33"/>
      <c r="Y12" s="33"/>
      <c r="Z12" s="28"/>
    </row>
    <row r="13" customFormat="false" ht="14.25" hidden="false" customHeight="false" outlineLevel="0" collapsed="false">
      <c r="A13" s="71" t="n">
        <v>1</v>
      </c>
      <c r="B13" s="72" t="s">
        <v>141</v>
      </c>
      <c r="C13" s="33" t="n">
        <v>24</v>
      </c>
      <c r="D13" s="33" t="n">
        <v>0</v>
      </c>
      <c r="E13" s="33" t="n">
        <v>240</v>
      </c>
      <c r="F13" s="73" t="s">
        <v>160</v>
      </c>
      <c r="G13" s="32" t="s">
        <v>166</v>
      </c>
      <c r="H13" s="33" t="n">
        <v>10</v>
      </c>
      <c r="I13" s="33" t="n">
        <v>-80</v>
      </c>
      <c r="J13" s="33" t="n">
        <v>20</v>
      </c>
      <c r="K13" s="73" t="s">
        <v>160</v>
      </c>
      <c r="L13" s="32"/>
      <c r="M13" s="33"/>
      <c r="N13" s="33"/>
      <c r="O13" s="33"/>
      <c r="P13" s="73"/>
      <c r="Q13" s="32"/>
      <c r="R13" s="33"/>
      <c r="S13" s="33"/>
      <c r="T13" s="33"/>
      <c r="U13" s="73"/>
      <c r="V13" s="32"/>
      <c r="W13" s="33"/>
      <c r="X13" s="33"/>
      <c r="Y13" s="33"/>
      <c r="Z13" s="28"/>
    </row>
    <row r="14" customFormat="false" ht="14.25" hidden="false" customHeight="false" outlineLevel="0" collapsed="false">
      <c r="A14" s="71" t="n">
        <v>1</v>
      </c>
      <c r="B14" s="72" t="s">
        <v>141</v>
      </c>
      <c r="C14" s="33" t="n">
        <v>24</v>
      </c>
      <c r="D14" s="33" t="n">
        <v>0</v>
      </c>
      <c r="E14" s="33" t="n">
        <v>240</v>
      </c>
      <c r="F14" s="73" t="s">
        <v>156</v>
      </c>
      <c r="G14" s="32" t="s">
        <v>164</v>
      </c>
      <c r="H14" s="33" t="n">
        <v>10</v>
      </c>
      <c r="I14" s="33" t="n">
        <v>-80</v>
      </c>
      <c r="J14" s="33" t="n">
        <v>20</v>
      </c>
      <c r="K14" s="73" t="s">
        <v>156</v>
      </c>
      <c r="L14" s="26"/>
      <c r="M14" s="33"/>
      <c r="N14" s="33"/>
      <c r="O14" s="33"/>
      <c r="P14" s="73"/>
      <c r="Q14" s="32"/>
      <c r="R14" s="33"/>
      <c r="S14" s="33"/>
      <c r="T14" s="33"/>
      <c r="U14" s="73"/>
      <c r="V14" s="32"/>
      <c r="W14" s="33"/>
      <c r="X14" s="33"/>
      <c r="Y14" s="33"/>
      <c r="Z14" s="28"/>
    </row>
    <row r="15" customFormat="false" ht="14.25" hidden="false" customHeight="false" outlineLevel="0" collapsed="false">
      <c r="A15" s="71" t="n">
        <v>1</v>
      </c>
      <c r="B15" s="72" t="s">
        <v>141</v>
      </c>
      <c r="C15" s="33" t="n">
        <v>24</v>
      </c>
      <c r="D15" s="33" t="n">
        <v>0</v>
      </c>
      <c r="E15" s="33" t="n">
        <v>240</v>
      </c>
      <c r="F15" s="73" t="s">
        <v>154</v>
      </c>
      <c r="G15" s="32" t="s">
        <v>165</v>
      </c>
      <c r="H15" s="33" t="n">
        <v>10</v>
      </c>
      <c r="I15" s="33" t="n">
        <v>-80</v>
      </c>
      <c r="J15" s="33" t="n">
        <v>20</v>
      </c>
      <c r="K15" s="73" t="s">
        <v>154</v>
      </c>
      <c r="L15" s="26"/>
      <c r="M15" s="33"/>
      <c r="N15" s="33"/>
      <c r="O15" s="33"/>
      <c r="P15" s="73"/>
      <c r="Q15" s="32"/>
      <c r="R15" s="33"/>
      <c r="S15" s="33"/>
      <c r="T15" s="33"/>
      <c r="U15" s="73"/>
      <c r="V15" s="32"/>
      <c r="W15" s="33"/>
      <c r="X15" s="33"/>
      <c r="Y15" s="33"/>
      <c r="Z15" s="28"/>
    </row>
    <row r="16" customFormat="false" ht="14.25" hidden="false" customHeight="false" outlineLevel="0" collapsed="false">
      <c r="A16" s="71" t="n">
        <v>1</v>
      </c>
      <c r="B16" s="72" t="s">
        <v>141</v>
      </c>
      <c r="C16" s="33" t="n">
        <v>24</v>
      </c>
      <c r="D16" s="33" t="n">
        <v>0</v>
      </c>
      <c r="E16" s="33" t="n">
        <v>240</v>
      </c>
      <c r="F16" s="73" t="s">
        <v>160</v>
      </c>
      <c r="G16" s="32" t="s">
        <v>170</v>
      </c>
      <c r="H16" s="33" t="n">
        <v>10</v>
      </c>
      <c r="I16" s="33" t="n">
        <v>-80</v>
      </c>
      <c r="J16" s="33" t="n">
        <v>20</v>
      </c>
      <c r="K16" s="73" t="s">
        <v>160</v>
      </c>
      <c r="L16" s="26"/>
      <c r="M16" s="33"/>
      <c r="N16" s="33"/>
      <c r="O16" s="33"/>
      <c r="P16" s="73"/>
      <c r="Q16" s="32"/>
      <c r="R16" s="33"/>
      <c r="S16" s="33"/>
      <c r="T16" s="33"/>
      <c r="U16" s="73"/>
      <c r="V16" s="32"/>
      <c r="W16" s="33"/>
      <c r="X16" s="33"/>
      <c r="Y16" s="33"/>
      <c r="Z16" s="28"/>
    </row>
    <row r="17" customFormat="false" ht="14.25" hidden="false" customHeight="false" outlineLevel="0" collapsed="false">
      <c r="A17" s="71" t="n">
        <v>1</v>
      </c>
      <c r="B17" s="72" t="s">
        <v>141</v>
      </c>
      <c r="C17" s="33" t="n">
        <v>24</v>
      </c>
      <c r="D17" s="33" t="n">
        <v>0</v>
      </c>
      <c r="E17" s="33" t="n">
        <v>240</v>
      </c>
      <c r="F17" s="73" t="s">
        <v>185</v>
      </c>
      <c r="G17" s="32" t="s">
        <v>155</v>
      </c>
      <c r="H17" s="33" t="n">
        <v>10</v>
      </c>
      <c r="I17" s="33" t="n">
        <v>-80</v>
      </c>
      <c r="J17" s="33" t="n">
        <v>20</v>
      </c>
      <c r="K17" s="73" t="s">
        <v>185</v>
      </c>
      <c r="L17" s="32"/>
      <c r="M17" s="33"/>
      <c r="N17" s="33"/>
      <c r="O17" s="33"/>
      <c r="P17" s="73"/>
      <c r="Q17" s="32"/>
      <c r="R17" s="33"/>
      <c r="S17" s="33"/>
      <c r="T17" s="33"/>
      <c r="U17" s="73"/>
      <c r="V17" s="32"/>
      <c r="W17" s="33"/>
      <c r="X17" s="33"/>
      <c r="Y17" s="33"/>
      <c r="Z17" s="28"/>
    </row>
    <row r="18" customFormat="false" ht="14.25" hidden="false" customHeight="false" outlineLevel="0" collapsed="false">
      <c r="A18" s="71" t="n">
        <v>1</v>
      </c>
      <c r="B18" s="72" t="s">
        <v>141</v>
      </c>
      <c r="C18" s="33" t="n">
        <v>24</v>
      </c>
      <c r="D18" s="33" t="n">
        <v>0</v>
      </c>
      <c r="E18" s="33" t="n">
        <v>240</v>
      </c>
      <c r="F18" s="73" t="s">
        <v>160</v>
      </c>
      <c r="G18" s="32" t="s">
        <v>157</v>
      </c>
      <c r="H18" s="33" t="n">
        <v>10</v>
      </c>
      <c r="I18" s="33" t="n">
        <v>-80</v>
      </c>
      <c r="J18" s="33" t="n">
        <v>20</v>
      </c>
      <c r="K18" s="73" t="s">
        <v>160</v>
      </c>
      <c r="L18" s="32"/>
      <c r="M18" s="33"/>
      <c r="N18" s="33"/>
      <c r="O18" s="33"/>
      <c r="P18" s="73"/>
      <c r="Q18" s="32"/>
      <c r="R18" s="33"/>
      <c r="S18" s="33"/>
      <c r="T18" s="33"/>
      <c r="U18" s="73"/>
      <c r="V18" s="32"/>
      <c r="W18" s="33"/>
      <c r="X18" s="33"/>
      <c r="Y18" s="33"/>
      <c r="Z18" s="28"/>
    </row>
    <row r="19" customFormat="false" ht="14.25" hidden="false" customHeight="false" outlineLevel="0" collapsed="false">
      <c r="A19" s="71" t="n">
        <v>1</v>
      </c>
      <c r="B19" s="72" t="s">
        <v>141</v>
      </c>
      <c r="C19" s="33" t="n">
        <v>24</v>
      </c>
      <c r="D19" s="33" t="n">
        <v>0</v>
      </c>
      <c r="E19" s="33" t="n">
        <v>240</v>
      </c>
      <c r="F19" s="73" t="s">
        <v>156</v>
      </c>
      <c r="G19" s="32" t="s">
        <v>168</v>
      </c>
      <c r="H19" s="33" t="n">
        <v>10</v>
      </c>
      <c r="I19" s="33" t="n">
        <v>-80</v>
      </c>
      <c r="J19" s="33" t="n">
        <v>20</v>
      </c>
      <c r="K19" s="73" t="s">
        <v>156</v>
      </c>
      <c r="L19" s="32"/>
      <c r="M19" s="33"/>
      <c r="N19" s="33"/>
      <c r="O19" s="33"/>
      <c r="P19" s="73"/>
      <c r="Q19" s="32"/>
      <c r="R19" s="33"/>
      <c r="S19" s="33"/>
      <c r="T19" s="33"/>
      <c r="U19" s="73"/>
      <c r="V19" s="32"/>
      <c r="W19" s="33"/>
      <c r="X19" s="33"/>
      <c r="Y19" s="33"/>
      <c r="Z19" s="28"/>
    </row>
    <row r="20" customFormat="false" ht="14.25" hidden="false" customHeight="false" outlineLevel="0" collapsed="false">
      <c r="A20" s="71" t="n">
        <v>1</v>
      </c>
      <c r="B20" s="72" t="s">
        <v>141</v>
      </c>
      <c r="C20" s="33" t="n">
        <v>24</v>
      </c>
      <c r="D20" s="33" t="n">
        <v>0</v>
      </c>
      <c r="E20" s="33" t="n">
        <v>240</v>
      </c>
      <c r="F20" s="73" t="s">
        <v>154</v>
      </c>
      <c r="G20" s="32" t="s">
        <v>172</v>
      </c>
      <c r="H20" s="33" t="n">
        <v>10</v>
      </c>
      <c r="I20" s="33" t="n">
        <v>-80</v>
      </c>
      <c r="J20" s="33" t="n">
        <v>20</v>
      </c>
      <c r="K20" s="73" t="s">
        <v>154</v>
      </c>
      <c r="L20" s="32"/>
      <c r="M20" s="33"/>
      <c r="N20" s="33"/>
      <c r="O20" s="33"/>
      <c r="P20" s="73"/>
      <c r="Q20" s="32"/>
      <c r="R20" s="33"/>
      <c r="S20" s="33"/>
      <c r="T20" s="33"/>
      <c r="U20" s="73"/>
      <c r="V20" s="32"/>
      <c r="W20" s="33"/>
      <c r="X20" s="33"/>
      <c r="Y20" s="33"/>
      <c r="Z20" s="28"/>
    </row>
    <row r="21" customFormat="false" ht="14.25" hidden="false" customHeight="false" outlineLevel="0" collapsed="false">
      <c r="A21" s="71" t="n">
        <v>1</v>
      </c>
      <c r="B21" s="72" t="s">
        <v>141</v>
      </c>
      <c r="C21" s="33" t="n">
        <v>24</v>
      </c>
      <c r="D21" s="33" t="n">
        <v>0</v>
      </c>
      <c r="E21" s="33" t="n">
        <v>240</v>
      </c>
      <c r="F21" s="73" t="s">
        <v>160</v>
      </c>
      <c r="G21" s="32" t="s">
        <v>169</v>
      </c>
      <c r="H21" s="33" t="n">
        <v>10</v>
      </c>
      <c r="I21" s="33" t="n">
        <v>-80</v>
      </c>
      <c r="J21" s="33" t="n">
        <v>20</v>
      </c>
      <c r="K21" s="73" t="s">
        <v>160</v>
      </c>
      <c r="L21" s="32"/>
      <c r="M21" s="33"/>
      <c r="N21" s="33"/>
      <c r="O21" s="33"/>
      <c r="P21" s="73"/>
      <c r="Q21" s="32"/>
      <c r="R21" s="33"/>
      <c r="S21" s="33"/>
      <c r="T21" s="33"/>
      <c r="U21" s="73"/>
      <c r="V21" s="32"/>
      <c r="W21" s="33"/>
      <c r="X21" s="33"/>
      <c r="Y21" s="33"/>
      <c r="Z21" s="28"/>
    </row>
    <row r="22" customFormat="false" ht="14.25" hidden="false" customHeight="false" outlineLevel="0" collapsed="false">
      <c r="A22" s="71"/>
      <c r="B22" s="72"/>
      <c r="C22" s="33"/>
      <c r="D22" s="33"/>
      <c r="E22" s="33"/>
      <c r="F22" s="73"/>
      <c r="G22" s="32"/>
      <c r="H22" s="33"/>
      <c r="I22" s="33"/>
      <c r="J22" s="33"/>
      <c r="K22" s="73"/>
      <c r="L22" s="32"/>
      <c r="M22" s="33"/>
      <c r="N22" s="33"/>
      <c r="O22" s="33"/>
      <c r="P22" s="73"/>
      <c r="Q22" s="32"/>
      <c r="R22" s="33"/>
      <c r="S22" s="33"/>
      <c r="T22" s="33"/>
      <c r="U22" s="73"/>
      <c r="V22" s="32"/>
      <c r="W22" s="33"/>
      <c r="X22" s="33"/>
      <c r="Y22" s="33"/>
      <c r="Z22" s="28"/>
    </row>
    <row r="23" customFormat="false" ht="14.25" hidden="false" customHeight="false" outlineLevel="0" collapsed="false">
      <c r="A23" s="71"/>
      <c r="B23" s="72"/>
      <c r="C23" s="33"/>
      <c r="D23" s="33"/>
      <c r="E23" s="33"/>
      <c r="F23" s="73"/>
      <c r="G23" s="32"/>
      <c r="H23" s="33"/>
      <c r="I23" s="33"/>
      <c r="J23" s="33"/>
      <c r="K23" s="73"/>
      <c r="L23" s="26"/>
      <c r="M23" s="33"/>
      <c r="N23" s="33"/>
      <c r="O23" s="33"/>
      <c r="P23" s="73"/>
      <c r="Q23" s="32"/>
      <c r="R23" s="33"/>
      <c r="S23" s="33"/>
      <c r="T23" s="33"/>
      <c r="U23" s="73"/>
      <c r="V23" s="32"/>
      <c r="W23" s="33"/>
      <c r="X23" s="33"/>
      <c r="Y23" s="33"/>
      <c r="Z23" s="28"/>
    </row>
    <row r="24" customFormat="false" ht="14.25" hidden="false" customHeight="false" outlineLevel="0" collapsed="false">
      <c r="A24" s="71"/>
      <c r="B24" s="72"/>
      <c r="C24" s="33"/>
      <c r="D24" s="33"/>
      <c r="E24" s="33"/>
      <c r="F24" s="73"/>
      <c r="G24" s="32"/>
      <c r="H24" s="33"/>
      <c r="I24" s="33"/>
      <c r="J24" s="33"/>
      <c r="K24" s="73"/>
      <c r="L24" s="26"/>
      <c r="M24" s="33"/>
      <c r="N24" s="33"/>
      <c r="O24" s="33"/>
      <c r="P24" s="73"/>
      <c r="Q24" s="32"/>
      <c r="R24" s="33"/>
      <c r="S24" s="33"/>
      <c r="T24" s="33"/>
      <c r="U24" s="73"/>
      <c r="V24" s="32"/>
      <c r="W24" s="33"/>
      <c r="X24" s="33"/>
      <c r="Y24" s="33"/>
      <c r="Z24" s="28"/>
    </row>
    <row r="26" customFormat="false" ht="14.25" hidden="false" customHeight="false" outlineLevel="0" collapsed="false">
      <c r="A26" s="57" t="s">
        <v>175</v>
      </c>
      <c r="B26" s="57"/>
      <c r="C26" s="57"/>
      <c r="D26" s="57"/>
      <c r="E26" s="57"/>
      <c r="F26" s="57"/>
      <c r="G26" s="57"/>
      <c r="H26" s="57"/>
      <c r="I26" s="57"/>
      <c r="J26" s="57"/>
      <c r="L26" s="57" t="s">
        <v>176</v>
      </c>
      <c r="M26" s="57"/>
    </row>
    <row r="27" customFormat="false" ht="15" hidden="false" customHeight="true" outlineLevel="0" collapsed="false">
      <c r="B27" s="15" t="s">
        <v>177</v>
      </c>
      <c r="C27" s="15"/>
      <c r="D27" s="15"/>
      <c r="E27" s="15"/>
      <c r="G27" s="15" t="s">
        <v>178</v>
      </c>
      <c r="H27" s="15"/>
      <c r="I27" s="15"/>
      <c r="J27" s="15"/>
      <c r="L27" s="32" t="s">
        <v>179</v>
      </c>
      <c r="M27" s="79" t="s">
        <v>180</v>
      </c>
      <c r="N27" s="79"/>
      <c r="O27" s="79"/>
      <c r="P27" s="79"/>
      <c r="Q27" s="79"/>
    </row>
    <row r="28" customFormat="false" ht="14.25" hidden="false" customHeight="false" outlineLevel="0" collapsed="false">
      <c r="B28" s="15" t="s">
        <v>181</v>
      </c>
      <c r="C28" s="15" t="s">
        <v>149</v>
      </c>
      <c r="D28" s="15" t="s">
        <v>150</v>
      </c>
      <c r="E28" s="15" t="s">
        <v>182</v>
      </c>
      <c r="G28" s="15" t="s">
        <v>181</v>
      </c>
      <c r="H28" s="15" t="s">
        <v>149</v>
      </c>
      <c r="I28" s="15" t="s">
        <v>150</v>
      </c>
      <c r="J28" s="15" t="s">
        <v>183</v>
      </c>
      <c r="L28" s="32"/>
      <c r="M28" s="79"/>
      <c r="N28" s="79"/>
      <c r="O28" s="79"/>
      <c r="P28" s="79"/>
      <c r="Q28" s="79"/>
    </row>
    <row r="29" customFormat="false" ht="14.25" hidden="false" customHeight="false" outlineLevel="0" collapsed="false">
      <c r="B29" s="33" t="s">
        <v>48</v>
      </c>
      <c r="C29" s="33" t="n">
        <v>2</v>
      </c>
      <c r="D29" s="33" t="n">
        <v>500</v>
      </c>
      <c r="E29" s="33" t="n">
        <v>1.87</v>
      </c>
      <c r="G29" s="33"/>
      <c r="H29" s="33"/>
      <c r="I29" s="33"/>
      <c r="J29" s="33"/>
      <c r="L29" s="32"/>
      <c r="M29" s="1"/>
    </row>
    <row r="30" customFormat="false" ht="14.25" hidden="false" customHeight="false" outlineLevel="0" collapsed="false">
      <c r="B30" s="33"/>
      <c r="C30" s="33"/>
      <c r="D30" s="33"/>
      <c r="E30" s="33"/>
      <c r="G30" s="33"/>
      <c r="H30" s="33"/>
      <c r="I30" s="33"/>
      <c r="J30" s="33"/>
      <c r="L30" s="32"/>
      <c r="M30" s="1"/>
    </row>
    <row r="31" customFormat="false" ht="14.25" hidden="false" customHeight="false" outlineLevel="0" collapsed="false">
      <c r="B31" s="33"/>
      <c r="C31" s="33"/>
      <c r="D31" s="33"/>
      <c r="E31" s="33"/>
      <c r="G31" s="33"/>
      <c r="H31" s="33"/>
      <c r="I31" s="33"/>
      <c r="J31" s="33"/>
      <c r="L31" s="32"/>
      <c r="M31" s="1"/>
    </row>
    <row r="32" customFormat="false" ht="14.25" hidden="false" customHeight="false" outlineLevel="0" collapsed="false">
      <c r="B32" s="33"/>
      <c r="C32" s="33"/>
      <c r="D32" s="33"/>
      <c r="E32" s="33"/>
      <c r="G32" s="33"/>
      <c r="H32" s="33"/>
      <c r="I32" s="33"/>
      <c r="J32" s="33"/>
      <c r="L32" s="32"/>
      <c r="M32" s="1"/>
    </row>
    <row r="33" customFormat="false" ht="14.25" hidden="false" customHeight="false" outlineLevel="0" collapsed="false">
      <c r="B33" s="33"/>
      <c r="C33" s="33"/>
      <c r="D33" s="33"/>
      <c r="E33" s="33"/>
      <c r="G33" s="33"/>
      <c r="H33" s="33"/>
      <c r="I33" s="33"/>
      <c r="J33" s="33"/>
      <c r="L33" s="32"/>
      <c r="M33" s="1"/>
    </row>
    <row r="34" customFormat="false" ht="14.25" hidden="false" customHeight="false" outlineLevel="0" collapsed="false">
      <c r="B34" s="33"/>
      <c r="C34" s="33"/>
      <c r="D34" s="33"/>
      <c r="E34" s="33"/>
      <c r="G34" s="33"/>
      <c r="H34" s="33"/>
      <c r="I34" s="33"/>
      <c r="J34" s="33"/>
      <c r="L34" s="32"/>
      <c r="M34" s="1"/>
    </row>
    <row r="35" customFormat="false" ht="14.25" hidden="false" customHeight="false" outlineLevel="0" collapsed="false">
      <c r="B35" s="33"/>
      <c r="C35" s="33"/>
      <c r="D35" s="33"/>
      <c r="E35" s="33"/>
      <c r="G35" s="33"/>
      <c r="H35" s="33"/>
      <c r="I35" s="33"/>
      <c r="J35" s="33"/>
      <c r="L35" s="32"/>
      <c r="M35" s="1"/>
    </row>
    <row r="36" customFormat="false" ht="14.25" hidden="false" customHeight="false" outlineLevel="0" collapsed="false">
      <c r="B36" s="33"/>
      <c r="C36" s="33"/>
      <c r="D36" s="33"/>
      <c r="E36" s="33"/>
      <c r="G36" s="33"/>
      <c r="H36" s="33"/>
      <c r="I36" s="33"/>
      <c r="J36" s="33"/>
      <c r="L36" s="32"/>
      <c r="M36" s="1"/>
    </row>
    <row r="37" customFormat="false" ht="14.25" hidden="false" customHeight="false" outlineLevel="0" collapsed="false">
      <c r="B37" s="33"/>
      <c r="C37" s="33"/>
      <c r="D37" s="33"/>
      <c r="E37" s="33"/>
      <c r="G37" s="33"/>
      <c r="H37" s="33"/>
      <c r="I37" s="33"/>
      <c r="J37" s="33"/>
      <c r="L37" s="32"/>
      <c r="M37" s="1"/>
    </row>
    <row r="38" customFormat="false" ht="14.25" hidden="false" customHeight="false" outlineLevel="0" collapsed="false">
      <c r="B38" s="33"/>
      <c r="C38" s="33"/>
      <c r="D38" s="33"/>
      <c r="E38" s="33"/>
      <c r="G38" s="33"/>
      <c r="H38" s="33"/>
      <c r="I38" s="33"/>
      <c r="J38" s="33"/>
      <c r="L38" s="27"/>
      <c r="M38" s="1"/>
    </row>
    <row r="39" customFormat="false" ht="14.25" hidden="false" customHeight="false" outlineLevel="0" collapsed="false">
      <c r="B39" s="33"/>
      <c r="C39" s="33"/>
      <c r="D39" s="33"/>
      <c r="E39" s="33"/>
      <c r="G39" s="33"/>
      <c r="H39" s="33"/>
      <c r="I39" s="33"/>
      <c r="J39" s="33"/>
      <c r="L39" s="27"/>
      <c r="M39" s="1"/>
    </row>
    <row r="40" customFormat="false" ht="14.25" hidden="false" customHeight="false" outlineLevel="0" collapsed="false">
      <c r="B40" s="33"/>
      <c r="C40" s="33"/>
      <c r="D40" s="33"/>
      <c r="E40" s="33"/>
      <c r="G40" s="33"/>
      <c r="H40" s="33"/>
      <c r="I40" s="33"/>
      <c r="J40" s="33"/>
      <c r="L40" s="27"/>
      <c r="M40" s="1"/>
    </row>
    <row r="41" customFormat="false" ht="14.25" hidden="false" customHeight="false" outlineLevel="0" collapsed="false">
      <c r="B41" s="33"/>
      <c r="C41" s="33"/>
      <c r="D41" s="33"/>
      <c r="E41" s="33"/>
      <c r="G41" s="33"/>
      <c r="H41" s="33"/>
      <c r="I41" s="33"/>
      <c r="J41" s="33"/>
      <c r="L41" s="27"/>
      <c r="M41" s="1"/>
    </row>
    <row r="42" customFormat="false" ht="14.25" hidden="false" customHeight="false" outlineLevel="0" collapsed="false">
      <c r="B42" s="33"/>
      <c r="C42" s="33"/>
      <c r="D42" s="33"/>
      <c r="E42" s="33"/>
      <c r="G42" s="33"/>
      <c r="H42" s="33"/>
      <c r="I42" s="33"/>
      <c r="J42" s="33"/>
      <c r="L42" s="27"/>
      <c r="M42" s="1"/>
    </row>
    <row r="43" customFormat="false" ht="14.25" hidden="false" customHeight="false" outlineLevel="0" collapsed="false">
      <c r="B43" s="33"/>
      <c r="C43" s="33"/>
      <c r="D43" s="33"/>
      <c r="E43" s="33"/>
      <c r="G43" s="33"/>
      <c r="H43" s="33"/>
      <c r="I43" s="33"/>
      <c r="J43" s="33"/>
      <c r="L43" s="27"/>
      <c r="M43" s="1"/>
    </row>
    <row r="44" customFormat="false" ht="14.25" hidden="false" customHeight="false" outlineLevel="0" collapsed="false">
      <c r="B44" s="33"/>
      <c r="C44" s="33"/>
      <c r="D44" s="33"/>
      <c r="E44" s="33"/>
      <c r="G44" s="33"/>
      <c r="H44" s="33"/>
      <c r="I44" s="33"/>
      <c r="J44" s="33"/>
      <c r="L44" s="27"/>
      <c r="M44" s="1"/>
    </row>
    <row r="45" customFormat="false" ht="14.25" hidden="false" customHeight="false" outlineLevel="0" collapsed="false">
      <c r="B45" s="33"/>
      <c r="C45" s="33"/>
      <c r="D45" s="33"/>
      <c r="E45" s="33"/>
      <c r="G45" s="33"/>
      <c r="H45" s="33"/>
      <c r="I45" s="33"/>
      <c r="J45" s="33"/>
      <c r="L45" s="27"/>
      <c r="M45" s="1"/>
    </row>
    <row r="46" customFormat="false" ht="14.25" hidden="false" customHeight="false" outlineLevel="0" collapsed="false">
      <c r="B46" s="33"/>
      <c r="C46" s="33"/>
      <c r="D46" s="33"/>
      <c r="E46" s="33"/>
      <c r="G46" s="33"/>
      <c r="H46" s="33"/>
      <c r="I46" s="33"/>
      <c r="J46" s="33"/>
    </row>
    <row r="47" customFormat="false" ht="14.25" hidden="false" customHeight="false" outlineLevel="0" collapsed="false">
      <c r="B47" s="33"/>
      <c r="C47" s="33"/>
      <c r="D47" s="33"/>
      <c r="E47" s="33"/>
      <c r="G47" s="33"/>
      <c r="H47" s="33"/>
      <c r="I47" s="33"/>
      <c r="J47" s="33"/>
    </row>
    <row r="48" customFormat="false" ht="14.25" hidden="false" customHeight="false" outlineLevel="0" collapsed="false">
      <c r="B48" s="33"/>
      <c r="C48" s="33"/>
      <c r="D48" s="33"/>
      <c r="E48" s="33"/>
      <c r="G48" s="33"/>
      <c r="H48" s="33"/>
      <c r="I48" s="33"/>
      <c r="J48" s="33"/>
    </row>
    <row r="49" customFormat="false" ht="14.25" hidden="false" customHeight="false" outlineLevel="0" collapsed="false">
      <c r="B49" s="33"/>
      <c r="C49" s="33"/>
      <c r="D49" s="33"/>
      <c r="E49" s="33"/>
      <c r="G49" s="33"/>
      <c r="H49" s="33"/>
      <c r="I49" s="33"/>
      <c r="J49" s="33"/>
    </row>
    <row r="50" customFormat="false" ht="14.25" hidden="false" customHeight="false" outlineLevel="0" collapsed="false">
      <c r="B50" s="33"/>
      <c r="C50" s="33"/>
      <c r="D50" s="33"/>
      <c r="E50" s="33"/>
      <c r="G50" s="33"/>
      <c r="H50" s="33"/>
      <c r="I50" s="33"/>
      <c r="J50" s="33"/>
    </row>
    <row r="51" customFormat="false" ht="14.25" hidden="false" customHeight="false" outlineLevel="0" collapsed="false">
      <c r="B51" s="33"/>
      <c r="C51" s="33"/>
      <c r="D51" s="33"/>
      <c r="E51" s="33"/>
      <c r="G51" s="33"/>
      <c r="H51" s="33"/>
      <c r="I51" s="33"/>
      <c r="J51" s="33"/>
    </row>
    <row r="52" customFormat="false" ht="14.25" hidden="false" customHeight="false" outlineLevel="0" collapsed="false">
      <c r="B52" s="33"/>
      <c r="C52" s="33"/>
      <c r="D52" s="33"/>
      <c r="E52" s="33"/>
      <c r="G52" s="33"/>
      <c r="H52" s="33"/>
      <c r="I52" s="33"/>
      <c r="J52" s="33"/>
    </row>
    <row r="53" customFormat="false" ht="14.25" hidden="false" customHeight="false" outlineLevel="0" collapsed="false">
      <c r="B53" s="33"/>
      <c r="C53" s="33"/>
      <c r="D53" s="33"/>
      <c r="E53" s="33"/>
      <c r="G53" s="33"/>
      <c r="H53" s="33"/>
      <c r="I53" s="33"/>
      <c r="J53" s="33"/>
    </row>
    <row r="54" customFormat="false" ht="14.25" hidden="false" customHeight="false" outlineLevel="0" collapsed="false">
      <c r="B54" s="33"/>
      <c r="C54" s="33"/>
      <c r="D54" s="33"/>
      <c r="E54" s="33"/>
      <c r="G54" s="33"/>
      <c r="H54" s="33"/>
      <c r="I54" s="33"/>
      <c r="J54" s="33"/>
    </row>
    <row r="55" customFormat="false" ht="14.25" hidden="false" customHeight="false" outlineLevel="0" collapsed="false">
      <c r="B55" s="33"/>
      <c r="C55" s="33"/>
      <c r="D55" s="33"/>
      <c r="E55" s="33"/>
      <c r="G55" s="33"/>
      <c r="H55" s="33"/>
      <c r="I55" s="33"/>
      <c r="J55" s="33"/>
    </row>
    <row r="56" customFormat="false" ht="14.25" hidden="false" customHeight="false" outlineLevel="0" collapsed="false">
      <c r="B56" s="33"/>
      <c r="C56" s="33"/>
      <c r="D56" s="33"/>
      <c r="E56" s="33"/>
      <c r="G56" s="33"/>
      <c r="H56" s="33"/>
      <c r="I56" s="33"/>
      <c r="J56" s="33"/>
    </row>
    <row r="57" customFormat="false" ht="14.25" hidden="false" customHeight="false" outlineLevel="0" collapsed="false">
      <c r="B57" s="33"/>
      <c r="C57" s="33"/>
      <c r="D57" s="33"/>
      <c r="E57" s="33"/>
      <c r="G57" s="33"/>
      <c r="H57" s="33"/>
      <c r="I57" s="33"/>
      <c r="J57" s="33"/>
    </row>
    <row r="58" customFormat="false" ht="14.25" hidden="false" customHeight="false" outlineLevel="0" collapsed="false">
      <c r="B58" s="33"/>
      <c r="C58" s="33"/>
      <c r="D58" s="33"/>
      <c r="E58" s="33"/>
      <c r="G58" s="33"/>
      <c r="H58" s="33"/>
      <c r="I58" s="33"/>
      <c r="J58" s="33"/>
    </row>
    <row r="59" customFormat="false" ht="14.25" hidden="false" customHeight="false" outlineLevel="0" collapsed="false">
      <c r="B59" s="33"/>
      <c r="C59" s="33"/>
      <c r="D59" s="33"/>
      <c r="E59" s="33"/>
      <c r="G59" s="33"/>
      <c r="H59" s="33"/>
      <c r="I59" s="33"/>
      <c r="J59" s="33"/>
    </row>
    <row r="60" customFormat="false" ht="14.25" hidden="false" customHeight="false" outlineLevel="0" collapsed="false">
      <c r="B60" s="33"/>
      <c r="C60" s="33"/>
      <c r="D60" s="33"/>
      <c r="E60" s="33"/>
      <c r="G60" s="33"/>
      <c r="H60" s="33"/>
      <c r="I60" s="33"/>
      <c r="J60" s="33"/>
    </row>
    <row r="61" customFormat="false" ht="14.25" hidden="false" customHeight="false" outlineLevel="0" collapsed="false">
      <c r="B61" s="33"/>
      <c r="C61" s="33"/>
      <c r="D61" s="33"/>
      <c r="E61" s="33"/>
      <c r="G61" s="33"/>
      <c r="H61" s="33"/>
      <c r="I61" s="33"/>
      <c r="J61" s="33"/>
    </row>
    <row r="62" customFormat="false" ht="14.25" hidden="false" customHeight="false" outlineLevel="0" collapsed="false">
      <c r="B62" s="33"/>
      <c r="C62" s="33"/>
      <c r="D62" s="33"/>
      <c r="E62" s="33"/>
      <c r="G62" s="33"/>
      <c r="H62" s="33"/>
      <c r="I62" s="33"/>
      <c r="J62" s="33"/>
    </row>
    <row r="63" customFormat="false" ht="14.25" hidden="false" customHeight="false" outlineLevel="0" collapsed="false">
      <c r="B63" s="33"/>
      <c r="C63" s="33"/>
      <c r="D63" s="33"/>
      <c r="E63" s="33"/>
      <c r="G63" s="33"/>
      <c r="H63" s="33"/>
      <c r="I63" s="33"/>
      <c r="J63" s="33"/>
    </row>
    <row r="64" customFormat="false" ht="14.25" hidden="false" customHeight="false" outlineLevel="0" collapsed="false">
      <c r="B64" s="33"/>
      <c r="C64" s="33"/>
      <c r="D64" s="33"/>
      <c r="E64" s="33"/>
      <c r="G64" s="33"/>
      <c r="H64" s="33"/>
      <c r="I64" s="33"/>
      <c r="J64" s="33"/>
    </row>
    <row r="65" customFormat="false" ht="14.25" hidden="false" customHeight="false" outlineLevel="0" collapsed="false">
      <c r="B65" s="33"/>
      <c r="C65" s="33"/>
      <c r="D65" s="33"/>
      <c r="E65" s="33"/>
      <c r="G65" s="33"/>
      <c r="H65" s="33"/>
      <c r="I65" s="33"/>
      <c r="J65" s="33"/>
    </row>
    <row r="66" customFormat="false" ht="14.25" hidden="false" customHeight="false" outlineLevel="0" collapsed="false">
      <c r="B66" s="33"/>
      <c r="C66" s="33"/>
      <c r="D66" s="33"/>
      <c r="E66" s="33"/>
      <c r="G66" s="33"/>
      <c r="H66" s="33"/>
      <c r="I66" s="33"/>
      <c r="J66" s="33"/>
    </row>
    <row r="67" customFormat="false" ht="14.25" hidden="false" customHeight="false" outlineLevel="0" collapsed="false">
      <c r="B67" s="33"/>
      <c r="C67" s="33"/>
      <c r="D67" s="33"/>
      <c r="E67" s="33"/>
      <c r="G67" s="33"/>
      <c r="H67" s="33"/>
      <c r="I67" s="33"/>
      <c r="J67" s="33"/>
    </row>
    <row r="68" customFormat="false" ht="14.25" hidden="false" customHeight="false" outlineLevel="0" collapsed="false">
      <c r="B68" s="33"/>
      <c r="C68" s="33"/>
      <c r="D68" s="33"/>
      <c r="E68" s="33"/>
      <c r="G68" s="33"/>
      <c r="H68" s="33"/>
      <c r="I68" s="33"/>
      <c r="J68" s="33"/>
    </row>
    <row r="69" customFormat="false" ht="14.25" hidden="false" customHeight="false" outlineLevel="0" collapsed="false">
      <c r="B69" s="33"/>
      <c r="C69" s="33"/>
      <c r="D69" s="33"/>
      <c r="E69" s="33"/>
      <c r="G69" s="33"/>
      <c r="H69" s="33"/>
      <c r="I69" s="33"/>
      <c r="J69" s="33"/>
    </row>
    <row r="70" customFormat="false" ht="14.25" hidden="false" customHeight="false" outlineLevel="0" collapsed="false">
      <c r="B70" s="33"/>
      <c r="C70" s="33"/>
      <c r="D70" s="33"/>
      <c r="E70" s="33"/>
      <c r="G70" s="33"/>
      <c r="H70" s="33"/>
      <c r="I70" s="33"/>
      <c r="J70" s="33"/>
    </row>
    <row r="71" customFormat="false" ht="14.25" hidden="false" customHeight="false" outlineLevel="0" collapsed="false">
      <c r="B71" s="33"/>
      <c r="C71" s="33"/>
      <c r="D71" s="33"/>
      <c r="E71" s="33"/>
      <c r="G71" s="33"/>
      <c r="H71" s="33"/>
      <c r="I71" s="33"/>
      <c r="J71" s="33"/>
    </row>
    <row r="72" customFormat="false" ht="14.25" hidden="false" customHeight="false" outlineLevel="0" collapsed="false">
      <c r="B72" s="33"/>
      <c r="C72" s="33"/>
      <c r="D72" s="33"/>
      <c r="E72" s="33"/>
      <c r="G72" s="33"/>
      <c r="H72" s="33"/>
      <c r="I72" s="33"/>
      <c r="J72" s="33"/>
    </row>
    <row r="73" customFormat="false" ht="14.25" hidden="false" customHeight="false" outlineLevel="0" collapsed="false">
      <c r="B73" s="33"/>
      <c r="C73" s="33"/>
      <c r="D73" s="33"/>
      <c r="E73" s="33"/>
      <c r="G73" s="33"/>
      <c r="H73" s="33"/>
      <c r="I73" s="33"/>
      <c r="J73" s="33"/>
    </row>
    <row r="74" customFormat="false" ht="14.25" hidden="false" customHeight="false" outlineLevel="0" collapsed="false">
      <c r="B74" s="33"/>
      <c r="C74" s="33"/>
      <c r="D74" s="33"/>
      <c r="E74" s="33"/>
      <c r="G74" s="33"/>
      <c r="H74" s="33"/>
      <c r="I74" s="33"/>
      <c r="J74" s="33"/>
    </row>
    <row r="75" customFormat="false" ht="14.25" hidden="false" customHeight="false" outlineLevel="0" collapsed="false">
      <c r="B75" s="33"/>
      <c r="C75" s="33"/>
      <c r="D75" s="33"/>
      <c r="E75" s="33"/>
      <c r="G75" s="33"/>
      <c r="H75" s="33"/>
      <c r="I75" s="33"/>
      <c r="J75" s="33"/>
    </row>
    <row r="76" customFormat="false" ht="14.25" hidden="false" customHeight="false" outlineLevel="0" collapsed="false">
      <c r="B76" s="33"/>
      <c r="C76" s="33"/>
      <c r="D76" s="33"/>
      <c r="E76" s="33"/>
      <c r="G76" s="33"/>
      <c r="H76" s="33"/>
      <c r="I76" s="33"/>
      <c r="J76" s="33"/>
    </row>
    <row r="77" customFormat="false" ht="14.25" hidden="false" customHeight="false" outlineLevel="0" collapsed="false">
      <c r="B77" s="33"/>
      <c r="C77" s="33"/>
      <c r="D77" s="33"/>
      <c r="E77" s="33"/>
      <c r="G77" s="33"/>
      <c r="H77" s="33"/>
      <c r="I77" s="33"/>
      <c r="J77" s="33"/>
    </row>
    <row r="78" customFormat="false" ht="14.25" hidden="false" customHeight="false" outlineLevel="0" collapsed="false">
      <c r="B78" s="33"/>
      <c r="C78" s="33"/>
      <c r="D78" s="33"/>
      <c r="E78" s="33"/>
      <c r="G78" s="33"/>
      <c r="H78" s="33"/>
      <c r="I78" s="33"/>
      <c r="J78" s="33"/>
    </row>
    <row r="79" customFormat="false" ht="14.25" hidden="false" customHeight="false" outlineLevel="0" collapsed="false">
      <c r="B79" s="33"/>
      <c r="C79" s="33"/>
      <c r="D79" s="33"/>
      <c r="E79" s="33"/>
      <c r="G79" s="33"/>
      <c r="H79" s="33"/>
      <c r="I79" s="33"/>
      <c r="J79" s="33"/>
    </row>
    <row r="80" customFormat="false" ht="14.25" hidden="false" customHeight="false" outlineLevel="0" collapsed="false">
      <c r="B80" s="33"/>
      <c r="C80" s="33"/>
      <c r="D80" s="33"/>
      <c r="E80" s="33"/>
      <c r="G80" s="33"/>
      <c r="H80" s="33"/>
      <c r="I80" s="33"/>
      <c r="J80" s="33"/>
    </row>
    <row r="81" customFormat="false" ht="14.25" hidden="false" customHeight="false" outlineLevel="0" collapsed="false">
      <c r="B81" s="33"/>
      <c r="C81" s="33"/>
      <c r="D81" s="33"/>
      <c r="E81" s="33"/>
      <c r="G81" s="33"/>
      <c r="H81" s="33"/>
      <c r="I81" s="33"/>
      <c r="J81" s="33"/>
    </row>
    <row r="82" customFormat="false" ht="14.25" hidden="false" customHeight="false" outlineLevel="0" collapsed="false">
      <c r="B82" s="33"/>
      <c r="C82" s="33"/>
      <c r="D82" s="33"/>
      <c r="E82" s="33"/>
      <c r="G82" s="33"/>
      <c r="H82" s="33"/>
      <c r="I82" s="33"/>
      <c r="J82" s="33"/>
    </row>
    <row r="83" customFormat="false" ht="14.25" hidden="false" customHeight="false" outlineLevel="0" collapsed="false">
      <c r="B83" s="33"/>
      <c r="C83" s="33"/>
      <c r="D83" s="33"/>
      <c r="E83" s="33"/>
      <c r="G83" s="33"/>
      <c r="H83" s="33"/>
      <c r="I83" s="33"/>
      <c r="J83" s="33"/>
    </row>
    <row r="84" customFormat="false" ht="14.25" hidden="false" customHeight="false" outlineLevel="0" collapsed="false">
      <c r="B84" s="33"/>
      <c r="C84" s="33"/>
      <c r="D84" s="33"/>
      <c r="E84" s="33"/>
      <c r="G84" s="33"/>
      <c r="H84" s="33"/>
      <c r="I84" s="33"/>
      <c r="J84" s="33"/>
    </row>
    <row r="85" customFormat="false" ht="14.25" hidden="false" customHeight="false" outlineLevel="0" collapsed="false">
      <c r="B85" s="33"/>
      <c r="C85" s="33"/>
      <c r="D85" s="33"/>
      <c r="E85" s="33"/>
      <c r="G85" s="33"/>
      <c r="H85" s="33"/>
      <c r="I85" s="33"/>
      <c r="J85" s="33"/>
    </row>
    <row r="86" customFormat="false" ht="14.25" hidden="false" customHeight="false" outlineLevel="0" collapsed="false">
      <c r="B86" s="33"/>
      <c r="C86" s="33"/>
      <c r="D86" s="33"/>
      <c r="E86" s="33"/>
      <c r="G86" s="33"/>
      <c r="H86" s="33"/>
      <c r="I86" s="33"/>
      <c r="J86" s="33"/>
    </row>
    <row r="87" customFormat="false" ht="14.25" hidden="false" customHeight="false" outlineLevel="0" collapsed="false">
      <c r="B87" s="33"/>
      <c r="C87" s="33"/>
      <c r="D87" s="33"/>
      <c r="E87" s="33"/>
      <c r="G87" s="33"/>
      <c r="H87" s="33"/>
      <c r="I87" s="33"/>
      <c r="J87" s="33"/>
    </row>
    <row r="88" customFormat="false" ht="14.25" hidden="false" customHeight="false" outlineLevel="0" collapsed="false">
      <c r="B88" s="33"/>
      <c r="C88" s="33"/>
      <c r="D88" s="33"/>
      <c r="E88" s="33"/>
      <c r="G88" s="33"/>
      <c r="H88" s="33"/>
      <c r="I88" s="33"/>
      <c r="J88" s="33"/>
    </row>
  </sheetData>
  <mergeCells count="11">
    <mergeCell ref="F1:K1"/>
    <mergeCell ref="B7:F7"/>
    <mergeCell ref="G7:K7"/>
    <mergeCell ref="L7:P7"/>
    <mergeCell ref="Q7:U7"/>
    <mergeCell ref="V7:Z7"/>
    <mergeCell ref="A26:J26"/>
    <mergeCell ref="L26:M26"/>
    <mergeCell ref="B27:E27"/>
    <mergeCell ref="G27:J27"/>
    <mergeCell ref="M27:Q28"/>
  </mergeCells>
  <conditionalFormatting sqref="C3">
    <cfRule type="cellIs" priority="2" operator="notEqual" aboveAverage="0" equalAverage="0" bottom="0" percent="0" rank="0" text="" dxfId="26">
      <formula>MAX($E$9:$E$24)</formula>
    </cfRule>
  </conditionalFormatting>
  <conditionalFormatting sqref="M15">
    <cfRule type="expression" priority="3" aboveAverage="0" equalAverage="0" bottom="0" percent="0" rank="0" text="" dxfId="27">
      <formula>LEN(TRIM(M15))=0</formula>
    </cfRule>
    <cfRule type="cellIs" priority="4" operator="equal" aboveAverage="0" equalAverage="0" bottom="0" percent="0" rank="0" text="" dxfId="28">
      <formula>0</formula>
    </cfRule>
  </conditionalFormatting>
  <conditionalFormatting sqref="M15:M16">
    <cfRule type="expression" priority="5" aboveAverage="0" equalAverage="0" bottom="0" percent="0" rank="0" text="" dxfId="29">
      <formula>LEN(TRIM(M15))=0</formula>
    </cfRule>
    <cfRule type="cellIs" priority="6" operator="equal" aboveAverage="0" equalAverage="0" bottom="0" percent="0" rank="0" text="" dxfId="30">
      <formula>0</formula>
    </cfRule>
  </conditionalFormatting>
  <conditionalFormatting sqref="M16">
    <cfRule type="expression" priority="7" aboveAverage="0" equalAverage="0" bottom="0" percent="0" rank="0" text="" dxfId="31">
      <formula>LEN(TRIM(M16))=0</formula>
    </cfRule>
    <cfRule type="cellIs" priority="8" operator="equal" aboveAverage="0" equalAverage="0" bottom="0" percent="0" rank="0" text="" dxfId="32">
      <formula>0</formula>
    </cfRule>
  </conditionalFormatting>
  <dataValidations count="1">
    <dataValidation allowBlank="true" errorStyle="stop" operator="between" showDropDown="false" showErrorMessage="true" showInputMessage="true" sqref="F9:F24 K9:K24 P9:P24 U9:U24 Z9:Z24" type="list">
      <formula1>"green,red,yellow,blue,orange,cyan,black,white,magenta,pink"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D76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O33" activeCellId="0" sqref="O33"/>
    </sheetView>
  </sheetViews>
  <sheetFormatPr defaultColWidth="9.1796875" defaultRowHeight="14.25" zeroHeight="false" outlineLevelRow="0" outlineLevelCol="0"/>
  <cols>
    <col collapsed="false" customWidth="true" hidden="false" outlineLevel="0" max="1" min="1" style="80" width="4.18"/>
    <col collapsed="false" customWidth="false" hidden="false" outlineLevel="0" max="2" min="2" style="80" width="9.18"/>
    <col collapsed="false" customWidth="true" hidden="false" outlineLevel="0" max="23" min="3" style="80" width="6.73"/>
    <col collapsed="false" customWidth="false" hidden="false" outlineLevel="0" max="1024" min="24" style="80" width="9.18"/>
  </cols>
  <sheetData>
    <row r="1" customFormat="false" ht="15" hidden="false" customHeight="false" outlineLevel="0" collapsed="false">
      <c r="A1" s="81"/>
      <c r="B1" s="81"/>
      <c r="C1" s="82" t="s">
        <v>186</v>
      </c>
      <c r="D1" s="82"/>
      <c r="E1" s="82"/>
      <c r="F1" s="82"/>
      <c r="G1" s="82"/>
      <c r="H1" s="82"/>
      <c r="I1" s="82"/>
      <c r="J1" s="82"/>
      <c r="K1" s="82"/>
      <c r="L1" s="82"/>
      <c r="M1" s="82"/>
      <c r="N1" s="82"/>
      <c r="O1" s="82"/>
      <c r="P1" s="82"/>
      <c r="Q1" s="82"/>
      <c r="R1" s="82"/>
      <c r="S1" s="82"/>
      <c r="T1" s="82"/>
      <c r="U1" s="82"/>
      <c r="V1" s="82"/>
      <c r="W1" s="82"/>
    </row>
    <row r="2" customFormat="false" ht="15" hidden="false" customHeight="false" outlineLevel="0" collapsed="false">
      <c r="A2" s="81"/>
      <c r="B2" s="81"/>
      <c r="C2" s="83" t="str">
        <f aca="false">Neu!$B4</f>
        <v>B4</v>
      </c>
      <c r="D2" s="84" t="str">
        <f aca="false">Neu!$B5</f>
        <v>B8</v>
      </c>
      <c r="E2" s="84" t="str">
        <f aca="false">Neu!$B6</f>
        <v>B20</v>
      </c>
      <c r="F2" s="84" t="str">
        <f aca="false">Neu!$B7</f>
        <v>B30</v>
      </c>
      <c r="G2" s="84" t="str">
        <f aca="false">Neu!$B8</f>
        <v>B31s</v>
      </c>
      <c r="H2" s="84" t="str">
        <f aca="false">Neu!$B9</f>
        <v>B31a</v>
      </c>
      <c r="I2" s="84" t="str">
        <f aca="false">Neu!$B10</f>
        <v>B34</v>
      </c>
      <c r="J2" s="84" t="str">
        <f aca="false">Neu!$B11</f>
        <v>B35</v>
      </c>
      <c r="K2" s="84" t="str">
        <f aca="false">Neu!$B12</f>
        <v>B40</v>
      </c>
      <c r="L2" s="84" t="str">
        <f aca="false">Neu!$B13</f>
        <v>B51s</v>
      </c>
      <c r="M2" s="84" t="str">
        <f aca="false">Neu!$B14</f>
        <v>B51a</v>
      </c>
      <c r="N2" s="84" t="str">
        <f aca="false">Neu!$B15</f>
        <v>B52</v>
      </c>
      <c r="O2" s="84" t="str">
        <f aca="false">Neu!$B16</f>
        <v>B63</v>
      </c>
      <c r="P2" s="84" t="str">
        <f aca="false">Neu!$B17</f>
        <v>B64s</v>
      </c>
      <c r="Q2" s="84" t="str">
        <f aca="false">Neu!$B18</f>
        <v>B64a</v>
      </c>
      <c r="R2" s="84" t="str">
        <f aca="false">Neu!$B19</f>
        <v>B65</v>
      </c>
      <c r="S2" s="84" t="str">
        <f aca="false">Neu!$B20</f>
        <v>CBI2</v>
      </c>
      <c r="T2" s="84" t="n">
        <f aca="false">Neu!$B21</f>
        <v>0</v>
      </c>
      <c r="U2" s="84" t="n">
        <f aca="false">Neu!$B22</f>
        <v>0</v>
      </c>
      <c r="V2" s="84" t="n">
        <f aca="false">Neu!$B23</f>
        <v>0</v>
      </c>
      <c r="W2" s="85" t="n">
        <f aca="false">Neu!$B24</f>
        <v>0</v>
      </c>
    </row>
    <row r="3" customFormat="false" ht="14.25" hidden="false" customHeight="true" outlineLevel="0" collapsed="false">
      <c r="A3" s="86" t="s">
        <v>187</v>
      </c>
      <c r="B3" s="47" t="str">
        <f aca="false">Neu!B4</f>
        <v>B4</v>
      </c>
      <c r="C3" s="87"/>
      <c r="D3" s="88" t="n">
        <v>0.6</v>
      </c>
      <c r="E3" s="88"/>
      <c r="F3" s="88"/>
      <c r="G3" s="88" t="n">
        <v>0.1</v>
      </c>
      <c r="H3" s="89"/>
      <c r="I3" s="88"/>
      <c r="J3" s="88"/>
      <c r="K3" s="88"/>
      <c r="L3" s="88" t="n">
        <v>0.841</v>
      </c>
      <c r="M3" s="88"/>
      <c r="N3" s="88" t="n">
        <v>0.6</v>
      </c>
      <c r="O3" s="88"/>
      <c r="P3" s="88" t="n">
        <v>0.2</v>
      </c>
      <c r="Q3" s="88"/>
      <c r="R3" s="88"/>
      <c r="S3" s="89"/>
      <c r="T3" s="88"/>
      <c r="U3" s="88"/>
      <c r="V3" s="88"/>
      <c r="W3" s="90"/>
      <c r="X3" s="91" t="s">
        <v>188</v>
      </c>
      <c r="Y3" s="80" t="s">
        <v>189</v>
      </c>
      <c r="Z3" s="92"/>
      <c r="AA3" s="92"/>
      <c r="AB3" s="92"/>
      <c r="AC3" s="92"/>
      <c r="AD3" s="92"/>
    </row>
    <row r="4" customFormat="false" ht="14.25" hidden="false" customHeight="true" outlineLevel="0" collapsed="false">
      <c r="A4" s="86"/>
      <c r="B4" s="47"/>
      <c r="C4" s="93"/>
      <c r="D4" s="94"/>
      <c r="E4" s="94"/>
      <c r="F4" s="94"/>
      <c r="G4" s="94"/>
      <c r="H4" s="95"/>
      <c r="I4" s="94"/>
      <c r="J4" s="94"/>
      <c r="K4" s="94"/>
      <c r="L4" s="94"/>
      <c r="M4" s="94"/>
      <c r="N4" s="94"/>
      <c r="O4" s="94"/>
      <c r="P4" s="94"/>
      <c r="Q4" s="94"/>
      <c r="R4" s="94"/>
      <c r="S4" s="95"/>
      <c r="T4" s="94"/>
      <c r="U4" s="94"/>
      <c r="V4" s="94"/>
      <c r="W4" s="96"/>
      <c r="X4" s="91" t="s">
        <v>190</v>
      </c>
      <c r="Y4" s="97" t="n">
        <f aca="false">MAX($C$3:$W$44)-(ROW(Y4)-4)*0.5</f>
        <v>5</v>
      </c>
      <c r="Z4" s="92"/>
      <c r="AA4" s="92"/>
      <c r="AB4" s="92"/>
      <c r="AC4" s="92"/>
      <c r="AD4" s="92"/>
    </row>
    <row r="5" customFormat="false" ht="14.25" hidden="false" customHeight="true" outlineLevel="0" collapsed="false">
      <c r="A5" s="86"/>
      <c r="B5" s="50" t="str">
        <f aca="false">Neu!B5</f>
        <v>B8</v>
      </c>
      <c r="C5" s="98"/>
      <c r="D5" s="99"/>
      <c r="E5" s="100"/>
      <c r="F5" s="100"/>
      <c r="G5" s="100"/>
      <c r="H5" s="101"/>
      <c r="I5" s="100"/>
      <c r="J5" s="100"/>
      <c r="K5" s="100"/>
      <c r="L5" s="100"/>
      <c r="M5" s="100"/>
      <c r="N5" s="100"/>
      <c r="O5" s="100"/>
      <c r="P5" s="100"/>
      <c r="Q5" s="100"/>
      <c r="R5" s="100"/>
      <c r="S5" s="101"/>
      <c r="T5" s="100"/>
      <c r="U5" s="100"/>
      <c r="V5" s="100"/>
      <c r="W5" s="102"/>
      <c r="X5" s="92"/>
      <c r="Y5" s="97" t="n">
        <f aca="false">MAX($C$3:$W$44)-(ROW(Y5)-4)*0.5</f>
        <v>4.5</v>
      </c>
      <c r="Z5" s="92"/>
      <c r="AA5" s="92"/>
      <c r="AB5" s="92"/>
      <c r="AC5" s="92"/>
      <c r="AD5" s="92"/>
    </row>
    <row r="6" customFormat="false" ht="14.25" hidden="false" customHeight="true" outlineLevel="0" collapsed="false">
      <c r="A6" s="86"/>
      <c r="B6" s="50"/>
      <c r="C6" s="103"/>
      <c r="D6" s="104"/>
      <c r="E6" s="105"/>
      <c r="F6" s="105"/>
      <c r="G6" s="105"/>
      <c r="H6" s="106"/>
      <c r="I6" s="105"/>
      <c r="J6" s="105"/>
      <c r="K6" s="105"/>
      <c r="L6" s="105"/>
      <c r="M6" s="105"/>
      <c r="N6" s="105"/>
      <c r="O6" s="105"/>
      <c r="P6" s="105"/>
      <c r="Q6" s="105"/>
      <c r="R6" s="105"/>
      <c r="S6" s="106"/>
      <c r="T6" s="105"/>
      <c r="U6" s="105"/>
      <c r="V6" s="105"/>
      <c r="W6" s="107"/>
      <c r="X6" s="92"/>
      <c r="Y6" s="97" t="n">
        <f aca="false">MAX($C$3:$W$44)-(ROW(Y6)-4)*0.5</f>
        <v>4</v>
      </c>
      <c r="Z6" s="92"/>
      <c r="AA6" s="92"/>
      <c r="AB6" s="92"/>
      <c r="AC6" s="92"/>
      <c r="AD6" s="92"/>
    </row>
    <row r="7" customFormat="false" ht="14.25" hidden="false" customHeight="true" outlineLevel="0" collapsed="false">
      <c r="A7" s="86"/>
      <c r="B7" s="50" t="str">
        <f aca="false">Neu!B6</f>
        <v>B20</v>
      </c>
      <c r="C7" s="98" t="n">
        <v>0.1</v>
      </c>
      <c r="D7" s="100" t="n">
        <v>0.6</v>
      </c>
      <c r="E7" s="99"/>
      <c r="F7" s="100"/>
      <c r="G7" s="100"/>
      <c r="H7" s="101"/>
      <c r="I7" s="100"/>
      <c r="J7" s="100"/>
      <c r="K7" s="100"/>
      <c r="L7" s="100"/>
      <c r="M7" s="100"/>
      <c r="N7" s="100"/>
      <c r="O7" s="100"/>
      <c r="P7" s="100"/>
      <c r="Q7" s="100"/>
      <c r="R7" s="100"/>
      <c r="S7" s="101"/>
      <c r="T7" s="100"/>
      <c r="U7" s="100"/>
      <c r="V7" s="100"/>
      <c r="W7" s="102"/>
      <c r="X7" s="92"/>
      <c r="Y7" s="97" t="n">
        <f aca="false">MAX($C$3:$W$44)-(ROW(Y7)-4)*0.5</f>
        <v>3.5</v>
      </c>
      <c r="Z7" s="92"/>
      <c r="AA7" s="92"/>
      <c r="AB7" s="92"/>
      <c r="AC7" s="92"/>
      <c r="AD7" s="92"/>
    </row>
    <row r="8" customFormat="false" ht="14.25" hidden="false" customHeight="true" outlineLevel="0" collapsed="false">
      <c r="A8" s="86"/>
      <c r="B8" s="50"/>
      <c r="C8" s="103" t="n">
        <v>0.18</v>
      </c>
      <c r="D8" s="105" t="n">
        <v>0.9</v>
      </c>
      <c r="E8" s="104"/>
      <c r="F8" s="105"/>
      <c r="G8" s="105"/>
      <c r="H8" s="106"/>
      <c r="I8" s="105"/>
      <c r="J8" s="105"/>
      <c r="K8" s="105"/>
      <c r="L8" s="105"/>
      <c r="M8" s="105"/>
      <c r="N8" s="105"/>
      <c r="O8" s="105"/>
      <c r="P8" s="105"/>
      <c r="Q8" s="105"/>
      <c r="R8" s="105"/>
      <c r="S8" s="106"/>
      <c r="T8" s="105"/>
      <c r="U8" s="105"/>
      <c r="V8" s="105"/>
      <c r="W8" s="107"/>
      <c r="X8" s="92"/>
      <c r="Y8" s="97" t="n">
        <f aca="false">MAX($C$3:$W$44)-(ROW(Y8)-4)*0.5</f>
        <v>3</v>
      </c>
      <c r="Z8" s="92"/>
      <c r="AA8" s="92"/>
      <c r="AB8" s="92"/>
      <c r="AC8" s="92"/>
      <c r="AD8" s="92"/>
    </row>
    <row r="9" customFormat="false" ht="14.25" hidden="false" customHeight="true" outlineLevel="0" collapsed="false">
      <c r="A9" s="86"/>
      <c r="B9" s="50" t="str">
        <f aca="false">Neu!B7</f>
        <v>B30</v>
      </c>
      <c r="C9" s="98"/>
      <c r="D9" s="100" t="n">
        <v>0.7</v>
      </c>
      <c r="E9" s="100"/>
      <c r="F9" s="99"/>
      <c r="G9" s="100" t="n">
        <v>0.5</v>
      </c>
      <c r="H9" s="101"/>
      <c r="I9" s="100"/>
      <c r="J9" s="100"/>
      <c r="K9" s="100"/>
      <c r="L9" s="100"/>
      <c r="M9" s="100"/>
      <c r="N9" s="100"/>
      <c r="O9" s="100" t="n">
        <v>0.25</v>
      </c>
      <c r="P9" s="100" t="n">
        <v>0.2</v>
      </c>
      <c r="Q9" s="100"/>
      <c r="R9" s="100"/>
      <c r="S9" s="101"/>
      <c r="T9" s="100"/>
      <c r="U9" s="100"/>
      <c r="V9" s="100"/>
      <c r="W9" s="102"/>
      <c r="X9" s="92"/>
      <c r="Y9" s="97" t="n">
        <f aca="false">MAX($C$3:$W$44)-(ROW(Y9)-4)*0.5</f>
        <v>2.5</v>
      </c>
      <c r="Z9" s="92"/>
      <c r="AA9" s="92"/>
      <c r="AB9" s="92"/>
      <c r="AC9" s="92"/>
      <c r="AD9" s="92"/>
    </row>
    <row r="10" customFormat="false" ht="14.25" hidden="false" customHeight="true" outlineLevel="0" collapsed="false">
      <c r="A10" s="86"/>
      <c r="B10" s="50"/>
      <c r="C10" s="103"/>
      <c r="D10" s="105" t="n">
        <v>1</v>
      </c>
      <c r="E10" s="105"/>
      <c r="F10" s="104"/>
      <c r="G10" s="105"/>
      <c r="H10" s="106"/>
      <c r="I10" s="105"/>
      <c r="J10" s="105"/>
      <c r="K10" s="105"/>
      <c r="L10" s="105"/>
      <c r="M10" s="105"/>
      <c r="N10" s="105"/>
      <c r="O10" s="105"/>
      <c r="P10" s="105" t="n">
        <v>5</v>
      </c>
      <c r="Q10" s="105"/>
      <c r="R10" s="105"/>
      <c r="S10" s="106"/>
      <c r="T10" s="105"/>
      <c r="U10" s="105"/>
      <c r="V10" s="105"/>
      <c r="W10" s="107"/>
      <c r="X10" s="92"/>
      <c r="Y10" s="97" t="n">
        <f aca="false">MAX($C$3:$W$44)-(ROW(Y10)-4)*0.5</f>
        <v>2</v>
      </c>
      <c r="Z10" s="92"/>
      <c r="AA10" s="92"/>
      <c r="AB10" s="92"/>
      <c r="AC10" s="92"/>
      <c r="AD10" s="92"/>
    </row>
    <row r="11" customFormat="false" ht="14.25" hidden="false" customHeight="true" outlineLevel="0" collapsed="false">
      <c r="A11" s="86"/>
      <c r="B11" s="50" t="str">
        <f aca="false">Neu!B8</f>
        <v>B31s</v>
      </c>
      <c r="C11" s="98"/>
      <c r="D11" s="100"/>
      <c r="E11" s="100"/>
      <c r="F11" s="100"/>
      <c r="G11" s="99"/>
      <c r="H11" s="101"/>
      <c r="I11" s="100"/>
      <c r="J11" s="100"/>
      <c r="K11" s="100"/>
      <c r="L11" s="100"/>
      <c r="M11" s="100"/>
      <c r="N11" s="100"/>
      <c r="O11" s="100"/>
      <c r="P11" s="100"/>
      <c r="Q11" s="100"/>
      <c r="R11" s="100"/>
      <c r="S11" s="101"/>
      <c r="T11" s="100"/>
      <c r="U11" s="100"/>
      <c r="V11" s="100"/>
      <c r="W11" s="102"/>
      <c r="X11" s="92"/>
      <c r="Y11" s="97" t="n">
        <f aca="false">MAX($C$3:$W$44)-(ROW(Y11)-4)*0.5</f>
        <v>1.5</v>
      </c>
      <c r="Z11" s="92"/>
      <c r="AA11" s="92"/>
      <c r="AB11" s="92"/>
      <c r="AC11" s="92"/>
      <c r="AD11" s="92"/>
    </row>
    <row r="12" customFormat="false" ht="14.25" hidden="false" customHeight="true" outlineLevel="0" collapsed="false">
      <c r="A12" s="86"/>
      <c r="B12" s="50"/>
      <c r="C12" s="103"/>
      <c r="D12" s="105"/>
      <c r="E12" s="105"/>
      <c r="F12" s="105"/>
      <c r="G12" s="104"/>
      <c r="H12" s="106"/>
      <c r="I12" s="105"/>
      <c r="J12" s="105"/>
      <c r="K12" s="105"/>
      <c r="L12" s="105"/>
      <c r="M12" s="105"/>
      <c r="N12" s="105"/>
      <c r="O12" s="105"/>
      <c r="P12" s="105"/>
      <c r="Q12" s="105"/>
      <c r="R12" s="105"/>
      <c r="S12" s="106"/>
      <c r="T12" s="105"/>
      <c r="U12" s="105"/>
      <c r="V12" s="105"/>
      <c r="W12" s="107"/>
      <c r="X12" s="92"/>
      <c r="Y12" s="97" t="n">
        <f aca="false">MAX($C$3:$W$44)-(ROW(Y12)-4)*0.5</f>
        <v>1</v>
      </c>
      <c r="Z12" s="92"/>
      <c r="AA12" s="92"/>
      <c r="AB12" s="92"/>
      <c r="AC12" s="92"/>
      <c r="AD12" s="92"/>
    </row>
    <row r="13" customFormat="false" ht="14.25" hidden="false" customHeight="true" outlineLevel="0" collapsed="false">
      <c r="A13" s="86"/>
      <c r="B13" s="50" t="str">
        <f aca="false">Neu!B9</f>
        <v>B31a</v>
      </c>
      <c r="C13" s="98"/>
      <c r="D13" s="100"/>
      <c r="E13" s="100"/>
      <c r="F13" s="100"/>
      <c r="G13" s="100"/>
      <c r="H13" s="108"/>
      <c r="I13" s="100"/>
      <c r="J13" s="100"/>
      <c r="K13" s="100"/>
      <c r="L13" s="100"/>
      <c r="M13" s="100"/>
      <c r="N13" s="100"/>
      <c r="O13" s="100"/>
      <c r="P13" s="100" t="n">
        <v>0.3</v>
      </c>
      <c r="Q13" s="100"/>
      <c r="R13" s="100"/>
      <c r="S13" s="101"/>
      <c r="T13" s="100"/>
      <c r="U13" s="100"/>
      <c r="V13" s="100"/>
      <c r="W13" s="102"/>
      <c r="X13" s="92"/>
      <c r="Y13" s="97" t="n">
        <f aca="false">MAX($C$3:$W$44)-(ROW(Y13)-4)*0.5</f>
        <v>0.5</v>
      </c>
      <c r="Z13" s="92"/>
      <c r="AA13" s="92"/>
      <c r="AB13" s="92"/>
      <c r="AC13" s="92"/>
      <c r="AD13" s="92"/>
    </row>
    <row r="14" customFormat="false" ht="14.25" hidden="false" customHeight="true" outlineLevel="0" collapsed="false">
      <c r="A14" s="86"/>
      <c r="B14" s="50"/>
      <c r="C14" s="109"/>
      <c r="D14" s="94"/>
      <c r="E14" s="94"/>
      <c r="F14" s="94"/>
      <c r="G14" s="94" t="n">
        <v>3.8</v>
      </c>
      <c r="H14" s="110"/>
      <c r="I14" s="94"/>
      <c r="J14" s="94"/>
      <c r="K14" s="94"/>
      <c r="L14" s="94"/>
      <c r="M14" s="94"/>
      <c r="N14" s="94"/>
      <c r="O14" s="94"/>
      <c r="P14" s="94"/>
      <c r="Q14" s="94"/>
      <c r="R14" s="94"/>
      <c r="S14" s="95"/>
      <c r="T14" s="94"/>
      <c r="U14" s="94"/>
      <c r="V14" s="94"/>
      <c r="W14" s="96"/>
      <c r="X14" s="92"/>
      <c r="Y14" s="97" t="n">
        <f aca="false">MAX($C$3:$W$44)-(ROW(Y14)-4)*0.5</f>
        <v>0</v>
      </c>
      <c r="Z14" s="92"/>
      <c r="AA14" s="92"/>
      <c r="AB14" s="92"/>
      <c r="AC14" s="92"/>
      <c r="AD14" s="92"/>
    </row>
    <row r="15" customFormat="false" ht="14.25" hidden="false" customHeight="true" outlineLevel="0" collapsed="false">
      <c r="A15" s="86"/>
      <c r="B15" s="50" t="str">
        <f aca="false">Neu!B10</f>
        <v>B34</v>
      </c>
      <c r="C15" s="98"/>
      <c r="D15" s="100" t="n">
        <v>0.2</v>
      </c>
      <c r="E15" s="100" t="n">
        <v>0.5</v>
      </c>
      <c r="F15" s="100"/>
      <c r="G15" s="100" t="n">
        <v>0.125</v>
      </c>
      <c r="H15" s="101"/>
      <c r="I15" s="99"/>
      <c r="J15" s="100"/>
      <c r="K15" s="100"/>
      <c r="L15" s="100"/>
      <c r="M15" s="100"/>
      <c r="N15" s="100"/>
      <c r="O15" s="100" t="n">
        <v>0.4</v>
      </c>
      <c r="P15" s="100" t="n">
        <v>0.6</v>
      </c>
      <c r="Q15" s="100"/>
      <c r="R15" s="100"/>
      <c r="S15" s="101"/>
      <c r="T15" s="100"/>
      <c r="U15" s="100"/>
      <c r="V15" s="100"/>
      <c r="W15" s="102"/>
      <c r="X15" s="92"/>
      <c r="Y15" s="97" t="n">
        <f aca="false">MAX($C$3:$W$44)-(ROW(Y15)-4)*0.5</f>
        <v>-0.5</v>
      </c>
      <c r="Z15" s="92"/>
      <c r="AA15" s="92"/>
      <c r="AB15" s="92"/>
      <c r="AC15" s="92"/>
      <c r="AD15" s="92"/>
    </row>
    <row r="16" customFormat="false" ht="14.25" hidden="false" customHeight="true" outlineLevel="0" collapsed="false">
      <c r="A16" s="86"/>
      <c r="B16" s="50"/>
      <c r="C16" s="103"/>
      <c r="D16" s="105" t="n">
        <v>0</v>
      </c>
      <c r="E16" s="105"/>
      <c r="F16" s="105"/>
      <c r="G16" s="105" t="n">
        <v>0.05</v>
      </c>
      <c r="H16" s="106"/>
      <c r="I16" s="104"/>
      <c r="J16" s="105"/>
      <c r="K16" s="105"/>
      <c r="L16" s="105"/>
      <c r="M16" s="105"/>
      <c r="N16" s="105"/>
      <c r="O16" s="105"/>
      <c r="P16" s="105"/>
      <c r="Q16" s="105"/>
      <c r="R16" s="105"/>
      <c r="S16" s="106"/>
      <c r="T16" s="105"/>
      <c r="U16" s="105"/>
      <c r="V16" s="105"/>
      <c r="W16" s="107"/>
      <c r="X16" s="92"/>
      <c r="Y16" s="97" t="n">
        <f aca="false">MAX($C$3:$W$44)-(ROW(Y16)-4)*0.5</f>
        <v>-1</v>
      </c>
      <c r="Z16" s="92"/>
      <c r="AA16" s="92"/>
      <c r="AB16" s="92"/>
      <c r="AC16" s="92"/>
      <c r="AD16" s="92"/>
    </row>
    <row r="17" customFormat="false" ht="14.25" hidden="false" customHeight="true" outlineLevel="0" collapsed="false">
      <c r="A17" s="86"/>
      <c r="B17" s="50" t="str">
        <f aca="false">Neu!B11</f>
        <v>B35</v>
      </c>
      <c r="C17" s="98" t="n">
        <v>1.8</v>
      </c>
      <c r="D17" s="100"/>
      <c r="E17" s="100"/>
      <c r="F17" s="100"/>
      <c r="G17" s="100"/>
      <c r="H17" s="101"/>
      <c r="I17" s="100"/>
      <c r="J17" s="99"/>
      <c r="K17" s="100"/>
      <c r="L17" s="100"/>
      <c r="M17" s="100" t="n">
        <v>0.56</v>
      </c>
      <c r="N17" s="100" t="n">
        <v>0.15</v>
      </c>
      <c r="O17" s="100"/>
      <c r="P17" s="100"/>
      <c r="Q17" s="100"/>
      <c r="R17" s="100"/>
      <c r="S17" s="101"/>
      <c r="T17" s="100"/>
      <c r="U17" s="100"/>
      <c r="V17" s="100"/>
      <c r="W17" s="102"/>
      <c r="X17" s="92"/>
      <c r="Y17" s="97" t="n">
        <f aca="false">MAX($C$3:$W$44)-(ROW(Y17)-4)*0.5</f>
        <v>-1.5</v>
      </c>
      <c r="Z17" s="92"/>
      <c r="AA17" s="92"/>
      <c r="AB17" s="92"/>
      <c r="AC17" s="92"/>
      <c r="AD17" s="92"/>
    </row>
    <row r="18" customFormat="false" ht="14.25" hidden="false" customHeight="true" outlineLevel="0" collapsed="false">
      <c r="A18" s="86"/>
      <c r="B18" s="50"/>
      <c r="C18" s="103" t="n">
        <v>1.3</v>
      </c>
      <c r="D18" s="105"/>
      <c r="E18" s="105"/>
      <c r="F18" s="105"/>
      <c r="G18" s="105"/>
      <c r="H18" s="106"/>
      <c r="I18" s="105"/>
      <c r="J18" s="104"/>
      <c r="K18" s="105"/>
      <c r="L18" s="105"/>
      <c r="M18" s="105"/>
      <c r="N18" s="105" t="n">
        <v>0.05</v>
      </c>
      <c r="O18" s="105"/>
      <c r="P18" s="105"/>
      <c r="Q18" s="105"/>
      <c r="R18" s="105"/>
      <c r="S18" s="106"/>
      <c r="T18" s="105"/>
      <c r="U18" s="105"/>
      <c r="V18" s="105"/>
      <c r="W18" s="107"/>
      <c r="X18" s="92"/>
      <c r="Y18" s="97" t="n">
        <f aca="false">MAX($C$3:$W$44)-(ROW(Y18)-4)*0.5</f>
        <v>-2</v>
      </c>
      <c r="Z18" s="92"/>
      <c r="AA18" s="92"/>
      <c r="AB18" s="92"/>
      <c r="AC18" s="92"/>
      <c r="AD18" s="92"/>
    </row>
    <row r="19" customFormat="false" ht="14.25" hidden="false" customHeight="true" outlineLevel="0" collapsed="false">
      <c r="A19" s="86"/>
      <c r="B19" s="50" t="str">
        <f aca="false">Neu!B12</f>
        <v>B40</v>
      </c>
      <c r="C19" s="98"/>
      <c r="D19" s="100" t="n">
        <v>0.3</v>
      </c>
      <c r="E19" s="100"/>
      <c r="F19" s="100"/>
      <c r="G19" s="100" t="n">
        <v>0.6</v>
      </c>
      <c r="H19" s="101"/>
      <c r="I19" s="100"/>
      <c r="J19" s="100"/>
      <c r="K19" s="99"/>
      <c r="L19" s="100"/>
      <c r="M19" s="100"/>
      <c r="N19" s="100"/>
      <c r="O19" s="100"/>
      <c r="P19" s="100" t="n">
        <v>0.6</v>
      </c>
      <c r="Q19" s="100"/>
      <c r="R19" s="100"/>
      <c r="S19" s="101"/>
      <c r="T19" s="100"/>
      <c r="U19" s="100"/>
      <c r="V19" s="100"/>
      <c r="W19" s="102"/>
      <c r="X19" s="92"/>
      <c r="Y19" s="97" t="n">
        <f aca="false">MAX($C$3:$W$44)-(ROW(Y19)-4)*0.5</f>
        <v>-2.5</v>
      </c>
      <c r="Z19" s="92"/>
      <c r="AA19" s="92"/>
      <c r="AB19" s="92"/>
      <c r="AC19" s="92"/>
      <c r="AD19" s="92"/>
    </row>
    <row r="20" customFormat="false" ht="14.25" hidden="false" customHeight="true" outlineLevel="0" collapsed="false">
      <c r="A20" s="86"/>
      <c r="B20" s="50"/>
      <c r="C20" s="103"/>
      <c r="D20" s="105" t="n">
        <v>-0.03</v>
      </c>
      <c r="E20" s="105"/>
      <c r="F20" s="105"/>
      <c r="G20" s="105"/>
      <c r="H20" s="106"/>
      <c r="I20" s="105"/>
      <c r="J20" s="105"/>
      <c r="K20" s="104"/>
      <c r="L20" s="105"/>
      <c r="M20" s="105"/>
      <c r="N20" s="105"/>
      <c r="O20" s="105"/>
      <c r="P20" s="105"/>
      <c r="Q20" s="105"/>
      <c r="R20" s="105"/>
      <c r="S20" s="106"/>
      <c r="T20" s="105"/>
      <c r="U20" s="105"/>
      <c r="V20" s="105"/>
      <c r="W20" s="107"/>
      <c r="X20" s="92"/>
      <c r="Y20" s="97" t="n">
        <f aca="false">MAX($C$3:$W$44)-(ROW(Y20)-4)*0.5</f>
        <v>-3</v>
      </c>
      <c r="Z20" s="92"/>
      <c r="AA20" s="92"/>
      <c r="AB20" s="92"/>
      <c r="AC20" s="92"/>
      <c r="AD20" s="92"/>
    </row>
    <row r="21" customFormat="false" ht="14.25" hidden="false" customHeight="true" outlineLevel="0" collapsed="false">
      <c r="A21" s="86"/>
      <c r="B21" s="50" t="str">
        <f aca="false">Neu!B13</f>
        <v>B51s</v>
      </c>
      <c r="C21" s="98"/>
      <c r="D21" s="100"/>
      <c r="E21" s="100"/>
      <c r="F21" s="100"/>
      <c r="G21" s="100"/>
      <c r="H21" s="101"/>
      <c r="I21" s="100"/>
      <c r="J21" s="100"/>
      <c r="K21" s="100"/>
      <c r="L21" s="99"/>
      <c r="M21" s="100"/>
      <c r="N21" s="100"/>
      <c r="O21" s="100"/>
      <c r="P21" s="100"/>
      <c r="Q21" s="100"/>
      <c r="R21" s="100"/>
      <c r="S21" s="101"/>
      <c r="T21" s="100"/>
      <c r="U21" s="100"/>
      <c r="V21" s="100"/>
      <c r="W21" s="102"/>
      <c r="X21" s="92"/>
      <c r="Y21" s="97" t="n">
        <f aca="false">MAX($C$3:$W$44)-(ROW(Y21)-4)*0.5</f>
        <v>-3.5</v>
      </c>
      <c r="Z21" s="92"/>
      <c r="AA21" s="92"/>
      <c r="AB21" s="92"/>
      <c r="AC21" s="92"/>
      <c r="AD21" s="92"/>
    </row>
    <row r="22" customFormat="false" ht="14.25" hidden="false" customHeight="true" outlineLevel="0" collapsed="false">
      <c r="A22" s="86"/>
      <c r="B22" s="50"/>
      <c r="C22" s="103"/>
      <c r="D22" s="105"/>
      <c r="E22" s="105"/>
      <c r="F22" s="105"/>
      <c r="G22" s="105"/>
      <c r="H22" s="106"/>
      <c r="I22" s="105"/>
      <c r="J22" s="105"/>
      <c r="K22" s="105"/>
      <c r="L22" s="104"/>
      <c r="M22" s="105"/>
      <c r="N22" s="105"/>
      <c r="O22" s="105"/>
      <c r="P22" s="105"/>
      <c r="Q22" s="105"/>
      <c r="R22" s="105"/>
      <c r="S22" s="106"/>
      <c r="T22" s="105"/>
      <c r="U22" s="105"/>
      <c r="V22" s="105"/>
      <c r="W22" s="107"/>
      <c r="X22" s="92"/>
      <c r="Y22" s="97" t="n">
        <f aca="false">MAX($C$3:$W$44)-(ROW(Y22)-4)*0.5</f>
        <v>-4</v>
      </c>
      <c r="Z22" s="92"/>
      <c r="AA22" s="92"/>
      <c r="AB22" s="92"/>
      <c r="AC22" s="92"/>
      <c r="AD22" s="92"/>
    </row>
    <row r="23" customFormat="false" ht="14.25" hidden="false" customHeight="true" outlineLevel="0" collapsed="false">
      <c r="A23" s="86"/>
      <c r="B23" s="50" t="str">
        <f aca="false">Neu!B14</f>
        <v>B51a</v>
      </c>
      <c r="C23" s="98"/>
      <c r="D23" s="100" t="n">
        <v>0.8</v>
      </c>
      <c r="E23" s="100"/>
      <c r="F23" s="100"/>
      <c r="G23" s="100"/>
      <c r="H23" s="101"/>
      <c r="I23" s="100"/>
      <c r="J23" s="100"/>
      <c r="K23" s="100"/>
      <c r="L23" s="100"/>
      <c r="M23" s="99"/>
      <c r="N23" s="100" t="n">
        <v>4</v>
      </c>
      <c r="O23" s="100"/>
      <c r="P23" s="100" t="n">
        <v>0.8</v>
      </c>
      <c r="Q23" s="100"/>
      <c r="R23" s="100"/>
      <c r="S23" s="101"/>
      <c r="T23" s="100"/>
      <c r="U23" s="100"/>
      <c r="V23" s="100"/>
      <c r="W23" s="102"/>
      <c r="X23" s="92"/>
      <c r="Y23" s="97" t="n">
        <f aca="false">MAX($C$3:$W$44)-(ROW(Y23)-4)*0.5</f>
        <v>-4.5</v>
      </c>
      <c r="Z23" s="92"/>
      <c r="AA23" s="92"/>
      <c r="AB23" s="92"/>
      <c r="AC23" s="92"/>
      <c r="AD23" s="92"/>
    </row>
    <row r="24" customFormat="false" ht="14.25" hidden="false" customHeight="true" outlineLevel="0" collapsed="false">
      <c r="A24" s="86"/>
      <c r="B24" s="50"/>
      <c r="C24" s="109"/>
      <c r="D24" s="94"/>
      <c r="E24" s="94"/>
      <c r="F24" s="94"/>
      <c r="G24" s="94"/>
      <c r="H24" s="95"/>
      <c r="I24" s="94"/>
      <c r="J24" s="94"/>
      <c r="K24" s="94"/>
      <c r="L24" s="94"/>
      <c r="M24" s="111"/>
      <c r="N24" s="94"/>
      <c r="O24" s="94"/>
      <c r="P24" s="94"/>
      <c r="Q24" s="94"/>
      <c r="R24" s="94"/>
      <c r="S24" s="95"/>
      <c r="T24" s="94"/>
      <c r="U24" s="94"/>
      <c r="V24" s="94"/>
      <c r="W24" s="96"/>
      <c r="X24" s="92"/>
      <c r="Y24" s="97" t="n">
        <f aca="false">MAX($C$3:$W$44)-(ROW(Y24)-4)*0.5</f>
        <v>-5</v>
      </c>
      <c r="Z24" s="92"/>
      <c r="AA24" s="92"/>
      <c r="AB24" s="92"/>
      <c r="AC24" s="92"/>
      <c r="AD24" s="92"/>
    </row>
    <row r="25" customFormat="false" ht="14.25" hidden="false" customHeight="true" outlineLevel="0" collapsed="false">
      <c r="A25" s="86"/>
      <c r="B25" s="50" t="str">
        <f aca="false">Neu!B15</f>
        <v>B52</v>
      </c>
      <c r="C25" s="98"/>
      <c r="D25" s="100" t="n">
        <v>1.2</v>
      </c>
      <c r="E25" s="100"/>
      <c r="F25" s="100"/>
      <c r="G25" s="100"/>
      <c r="H25" s="101"/>
      <c r="I25" s="100"/>
      <c r="J25" s="100"/>
      <c r="K25" s="100"/>
      <c r="L25" s="100" t="n">
        <v>2</v>
      </c>
      <c r="M25" s="100"/>
      <c r="N25" s="99"/>
      <c r="O25" s="100"/>
      <c r="P25" s="100" t="n">
        <v>3</v>
      </c>
      <c r="Q25" s="100"/>
      <c r="R25" s="100"/>
      <c r="S25" s="101"/>
      <c r="T25" s="100"/>
      <c r="U25" s="100"/>
      <c r="V25" s="100"/>
      <c r="W25" s="102"/>
      <c r="X25" s="92"/>
      <c r="Y25" s="97" t="n">
        <f aca="false">MAX($C$3:$W$44)-(ROW(Y25)-4)*0.5</f>
        <v>-5.5</v>
      </c>
      <c r="Z25" s="92"/>
      <c r="AA25" s="92"/>
      <c r="AB25" s="92"/>
      <c r="AC25" s="92"/>
      <c r="AD25" s="92"/>
    </row>
    <row r="26" customFormat="false" ht="14.25" hidden="false" customHeight="true" outlineLevel="0" collapsed="false">
      <c r="A26" s="86"/>
      <c r="B26" s="50"/>
      <c r="C26" s="103"/>
      <c r="D26" s="105"/>
      <c r="E26" s="105"/>
      <c r="F26" s="105"/>
      <c r="G26" s="105"/>
      <c r="H26" s="106"/>
      <c r="I26" s="105"/>
      <c r="J26" s="105"/>
      <c r="K26" s="105"/>
      <c r="L26" s="105" t="n">
        <v>1</v>
      </c>
      <c r="M26" s="105"/>
      <c r="N26" s="104"/>
      <c r="O26" s="105"/>
      <c r="P26" s="105"/>
      <c r="Q26" s="105"/>
      <c r="R26" s="105"/>
      <c r="S26" s="106"/>
      <c r="T26" s="105"/>
      <c r="U26" s="105"/>
      <c r="V26" s="105"/>
      <c r="W26" s="107"/>
      <c r="X26" s="92"/>
      <c r="Y26" s="97" t="n">
        <f aca="false">MAX($C$3:$W$44)-(ROW(Y26)-4)*0.5</f>
        <v>-6</v>
      </c>
      <c r="Z26" s="92"/>
      <c r="AA26" s="92"/>
      <c r="AB26" s="92"/>
      <c r="AC26" s="92"/>
      <c r="AD26" s="92"/>
    </row>
    <row r="27" customFormat="false" ht="14.25" hidden="false" customHeight="true" outlineLevel="0" collapsed="false">
      <c r="A27" s="86"/>
      <c r="B27" s="50" t="str">
        <f aca="false">Neu!B16</f>
        <v>B63</v>
      </c>
      <c r="C27" s="98"/>
      <c r="D27" s="100" t="n">
        <v>0.4</v>
      </c>
      <c r="E27" s="100" t="n">
        <v>0.4</v>
      </c>
      <c r="F27" s="100"/>
      <c r="G27" s="100" t="n">
        <v>0.6</v>
      </c>
      <c r="H27" s="101" t="n">
        <v>0</v>
      </c>
      <c r="I27" s="100" t="n">
        <v>0.9</v>
      </c>
      <c r="J27" s="100"/>
      <c r="K27" s="100"/>
      <c r="L27" s="100"/>
      <c r="M27" s="100"/>
      <c r="N27" s="100"/>
      <c r="O27" s="99"/>
      <c r="P27" s="100" t="n">
        <v>0.05</v>
      </c>
      <c r="Q27" s="100"/>
      <c r="R27" s="100"/>
      <c r="S27" s="101"/>
      <c r="T27" s="100"/>
      <c r="U27" s="100"/>
      <c r="V27" s="100"/>
      <c r="W27" s="102"/>
      <c r="X27" s="92"/>
      <c r="Y27" s="92"/>
      <c r="Z27" s="92"/>
      <c r="AA27" s="92"/>
      <c r="AB27" s="92"/>
      <c r="AC27" s="92"/>
      <c r="AD27" s="92"/>
    </row>
    <row r="28" customFormat="false" ht="14.25" hidden="false" customHeight="true" outlineLevel="0" collapsed="false">
      <c r="A28" s="86"/>
      <c r="B28" s="50"/>
      <c r="C28" s="103"/>
      <c r="D28" s="105"/>
      <c r="E28" s="105" t="n">
        <v>0.04</v>
      </c>
      <c r="F28" s="105"/>
      <c r="G28" s="105" t="n">
        <v>3.8</v>
      </c>
      <c r="H28" s="106"/>
      <c r="I28" s="105"/>
      <c r="J28" s="105"/>
      <c r="K28" s="105"/>
      <c r="L28" s="105"/>
      <c r="M28" s="105"/>
      <c r="N28" s="105"/>
      <c r="O28" s="104"/>
      <c r="P28" s="105" t="n">
        <v>0.3</v>
      </c>
      <c r="Q28" s="105"/>
      <c r="R28" s="105" t="n">
        <v>0.5</v>
      </c>
      <c r="S28" s="106"/>
      <c r="T28" s="105"/>
      <c r="U28" s="105"/>
      <c r="V28" s="105"/>
      <c r="W28" s="107"/>
      <c r="X28" s="92"/>
      <c r="Y28" s="92"/>
      <c r="Z28" s="92"/>
      <c r="AA28" s="92"/>
      <c r="AB28" s="92"/>
      <c r="AC28" s="92"/>
      <c r="AD28" s="92"/>
    </row>
    <row r="29" customFormat="false" ht="14.25" hidden="false" customHeight="true" outlineLevel="0" collapsed="false">
      <c r="A29" s="86"/>
      <c r="B29" s="50" t="str">
        <f aca="false">Neu!B17</f>
        <v>B64s</v>
      </c>
      <c r="C29" s="98"/>
      <c r="D29" s="100"/>
      <c r="E29" s="100"/>
      <c r="F29" s="100"/>
      <c r="G29" s="100"/>
      <c r="H29" s="101"/>
      <c r="I29" s="100"/>
      <c r="J29" s="100"/>
      <c r="K29" s="100"/>
      <c r="L29" s="100"/>
      <c r="M29" s="100"/>
      <c r="N29" s="100"/>
      <c r="O29" s="100"/>
      <c r="P29" s="99"/>
      <c r="Q29" s="100"/>
      <c r="R29" s="100"/>
      <c r="S29" s="101"/>
      <c r="T29" s="100"/>
      <c r="U29" s="100"/>
      <c r="V29" s="100"/>
      <c r="W29" s="102"/>
      <c r="X29" s="92"/>
      <c r="Y29" s="92"/>
      <c r="Z29" s="92"/>
      <c r="AA29" s="92"/>
      <c r="AB29" s="92"/>
      <c r="AC29" s="92"/>
      <c r="AD29" s="92"/>
    </row>
    <row r="30" customFormat="false" ht="14.25" hidden="false" customHeight="true" outlineLevel="0" collapsed="false">
      <c r="A30" s="86"/>
      <c r="B30" s="50"/>
      <c r="C30" s="109"/>
      <c r="D30" s="94"/>
      <c r="E30" s="94"/>
      <c r="F30" s="94"/>
      <c r="G30" s="94"/>
      <c r="H30" s="95"/>
      <c r="I30" s="94"/>
      <c r="J30" s="94"/>
      <c r="K30" s="94"/>
      <c r="L30" s="94"/>
      <c r="M30" s="94"/>
      <c r="N30" s="94"/>
      <c r="O30" s="94"/>
      <c r="P30" s="111"/>
      <c r="Q30" s="94"/>
      <c r="R30" s="94"/>
      <c r="S30" s="95"/>
      <c r="T30" s="94"/>
      <c r="U30" s="94"/>
      <c r="V30" s="94"/>
      <c r="W30" s="96"/>
      <c r="X30" s="92"/>
      <c r="Y30" s="92"/>
      <c r="Z30" s="92"/>
      <c r="AA30" s="92"/>
      <c r="AB30" s="92"/>
      <c r="AC30" s="92"/>
      <c r="AD30" s="92"/>
    </row>
    <row r="31" customFormat="false" ht="14.25" hidden="false" customHeight="true" outlineLevel="0" collapsed="false">
      <c r="A31" s="86"/>
      <c r="B31" s="50" t="str">
        <f aca="false">Neu!B18</f>
        <v>B64a</v>
      </c>
      <c r="C31" s="98" t="n">
        <v>0.9</v>
      </c>
      <c r="D31" s="100" t="n">
        <v>0</v>
      </c>
      <c r="E31" s="100" t="n">
        <v>2</v>
      </c>
      <c r="F31" s="100" t="n">
        <v>2</v>
      </c>
      <c r="G31" s="100" t="n">
        <v>5</v>
      </c>
      <c r="H31" s="101" t="n">
        <v>2</v>
      </c>
      <c r="I31" s="100" t="n">
        <v>2</v>
      </c>
      <c r="J31" s="100" t="n">
        <v>5</v>
      </c>
      <c r="K31" s="100" t="n">
        <v>2</v>
      </c>
      <c r="L31" s="100"/>
      <c r="M31" s="100"/>
      <c r="N31" s="100" t="n">
        <v>3</v>
      </c>
      <c r="O31" s="100" t="n">
        <v>2</v>
      </c>
      <c r="P31" s="100"/>
      <c r="Q31" s="99"/>
      <c r="R31" s="100" t="n">
        <v>2</v>
      </c>
      <c r="S31" s="101" t="n">
        <v>4.5</v>
      </c>
      <c r="T31" s="100"/>
      <c r="U31" s="100"/>
      <c r="V31" s="100"/>
      <c r="W31" s="102"/>
      <c r="X31" s="92"/>
      <c r="Y31" s="92"/>
      <c r="Z31" s="92"/>
      <c r="AA31" s="92"/>
      <c r="AB31" s="92"/>
      <c r="AC31" s="92"/>
      <c r="AD31" s="92"/>
    </row>
    <row r="32" customFormat="false" ht="14.25" hidden="false" customHeight="true" outlineLevel="0" collapsed="false">
      <c r="A32" s="86"/>
      <c r="B32" s="50"/>
      <c r="C32" s="103"/>
      <c r="D32" s="105"/>
      <c r="E32" s="105"/>
      <c r="F32" s="105"/>
      <c r="G32" s="105"/>
      <c r="H32" s="106"/>
      <c r="I32" s="105"/>
      <c r="J32" s="105"/>
      <c r="K32" s="105"/>
      <c r="L32" s="105"/>
      <c r="M32" s="105"/>
      <c r="N32" s="105"/>
      <c r="O32" s="105"/>
      <c r="P32" s="105"/>
      <c r="Q32" s="104"/>
      <c r="R32" s="105"/>
      <c r="S32" s="106"/>
      <c r="T32" s="105"/>
      <c r="U32" s="105"/>
      <c r="V32" s="105"/>
      <c r="W32" s="107"/>
      <c r="X32" s="92"/>
      <c r="Y32" s="92"/>
      <c r="Z32" s="92"/>
      <c r="AA32" s="92"/>
      <c r="AB32" s="92"/>
      <c r="AC32" s="92"/>
      <c r="AD32" s="92"/>
    </row>
    <row r="33" customFormat="false" ht="14.25" hidden="false" customHeight="true" outlineLevel="0" collapsed="false">
      <c r="A33" s="86"/>
      <c r="B33" s="50" t="str">
        <f aca="false">Neu!B19</f>
        <v>B65</v>
      </c>
      <c r="C33" s="98" t="n">
        <v>2.8</v>
      </c>
      <c r="D33" s="100" t="n">
        <v>0</v>
      </c>
      <c r="E33" s="100" t="n">
        <v>0.5</v>
      </c>
      <c r="F33" s="100" t="n">
        <v>0.8</v>
      </c>
      <c r="G33" s="100" t="n">
        <v>0.1</v>
      </c>
      <c r="H33" s="101"/>
      <c r="I33" s="100"/>
      <c r="J33" s="100"/>
      <c r="K33" s="100"/>
      <c r="L33" s="100"/>
      <c r="M33" s="100"/>
      <c r="N33" s="100"/>
      <c r="O33" s="100" t="n">
        <v>0.07</v>
      </c>
      <c r="P33" s="100" t="n">
        <v>0.6</v>
      </c>
      <c r="Q33" s="100"/>
      <c r="R33" s="99"/>
      <c r="S33" s="101"/>
      <c r="T33" s="100"/>
      <c r="U33" s="100"/>
      <c r="V33" s="100"/>
      <c r="W33" s="102"/>
      <c r="X33" s="92"/>
      <c r="Y33" s="92"/>
      <c r="Z33" s="92"/>
      <c r="AA33" s="92"/>
      <c r="AB33" s="92"/>
      <c r="AC33" s="92"/>
      <c r="AD33" s="92"/>
    </row>
    <row r="34" customFormat="false" ht="14.25" hidden="false" customHeight="true" outlineLevel="0" collapsed="false">
      <c r="A34" s="86"/>
      <c r="B34" s="50"/>
      <c r="C34" s="103"/>
      <c r="D34" s="105" t="n">
        <v>0.25</v>
      </c>
      <c r="E34" s="105" t="n">
        <v>-0.01</v>
      </c>
      <c r="F34" s="105"/>
      <c r="G34" s="105"/>
      <c r="H34" s="106"/>
      <c r="I34" s="105"/>
      <c r="J34" s="105"/>
      <c r="K34" s="105" t="n">
        <v>4</v>
      </c>
      <c r="L34" s="105"/>
      <c r="M34" s="105"/>
      <c r="N34" s="105"/>
      <c r="O34" s="105"/>
      <c r="P34" s="105" t="n">
        <v>0.8</v>
      </c>
      <c r="Q34" s="105"/>
      <c r="R34" s="104"/>
      <c r="S34" s="106"/>
      <c r="T34" s="105"/>
      <c r="U34" s="105"/>
      <c r="V34" s="105"/>
      <c r="W34" s="107"/>
      <c r="X34" s="92"/>
      <c r="Y34" s="92"/>
      <c r="Z34" s="92"/>
      <c r="AA34" s="92"/>
      <c r="AB34" s="92"/>
      <c r="AC34" s="92"/>
      <c r="AD34" s="92"/>
    </row>
    <row r="35" customFormat="false" ht="14.25" hidden="false" customHeight="true" outlineLevel="0" collapsed="false">
      <c r="A35" s="86"/>
      <c r="B35" s="50" t="str">
        <f aca="false">Neu!B20</f>
        <v>CBI2</v>
      </c>
      <c r="C35" s="98"/>
      <c r="D35" s="100"/>
      <c r="E35" s="100"/>
      <c r="F35" s="100"/>
      <c r="G35" s="100" t="n">
        <v>0.05</v>
      </c>
      <c r="H35" s="101"/>
      <c r="I35" s="100" t="n">
        <v>0.07</v>
      </c>
      <c r="J35" s="100"/>
      <c r="K35" s="100" t="n">
        <v>0.07</v>
      </c>
      <c r="L35" s="100"/>
      <c r="M35" s="100"/>
      <c r="N35" s="100"/>
      <c r="O35" s="100" t="n">
        <v>0.06</v>
      </c>
      <c r="P35" s="100"/>
      <c r="Q35" s="100"/>
      <c r="R35" s="100"/>
      <c r="S35" s="108"/>
      <c r="T35" s="100"/>
      <c r="U35" s="100"/>
      <c r="V35" s="100"/>
      <c r="W35" s="102"/>
      <c r="X35" s="92"/>
      <c r="Y35" s="92"/>
      <c r="Z35" s="92"/>
      <c r="AA35" s="92"/>
      <c r="AB35" s="92"/>
      <c r="AC35" s="92"/>
      <c r="AD35" s="92"/>
    </row>
    <row r="36" customFormat="false" ht="14.25" hidden="false" customHeight="true" outlineLevel="0" collapsed="false">
      <c r="A36" s="86"/>
      <c r="B36" s="50"/>
      <c r="C36" s="103"/>
      <c r="D36" s="105" t="n">
        <v>0.1</v>
      </c>
      <c r="E36" s="105" t="n">
        <v>0.2</v>
      </c>
      <c r="F36" s="105"/>
      <c r="G36" s="105" t="n">
        <v>0.02</v>
      </c>
      <c r="H36" s="106"/>
      <c r="I36" s="105" t="n">
        <v>0.1</v>
      </c>
      <c r="J36" s="105"/>
      <c r="K36" s="105" t="n">
        <v>0.2</v>
      </c>
      <c r="L36" s="105"/>
      <c r="M36" s="105"/>
      <c r="N36" s="105"/>
      <c r="O36" s="105" t="n">
        <v>0.06</v>
      </c>
      <c r="P36" s="105"/>
      <c r="Q36" s="105"/>
      <c r="R36" s="105"/>
      <c r="S36" s="112"/>
      <c r="T36" s="105"/>
      <c r="U36" s="105"/>
      <c r="V36" s="105"/>
      <c r="W36" s="107"/>
      <c r="X36" s="92"/>
      <c r="Y36" s="92"/>
      <c r="Z36" s="92"/>
      <c r="AA36" s="92"/>
      <c r="AB36" s="92"/>
      <c r="AC36" s="92"/>
      <c r="AD36" s="92"/>
    </row>
    <row r="37" customFormat="false" ht="14.25" hidden="false" customHeight="true" outlineLevel="0" collapsed="false">
      <c r="A37" s="86"/>
      <c r="B37" s="50" t="n">
        <f aca="false">Neu!B21</f>
        <v>0</v>
      </c>
      <c r="C37" s="98"/>
      <c r="D37" s="100"/>
      <c r="E37" s="100"/>
      <c r="F37" s="100"/>
      <c r="G37" s="100"/>
      <c r="H37" s="101"/>
      <c r="I37" s="100"/>
      <c r="J37" s="100"/>
      <c r="K37" s="100"/>
      <c r="L37" s="100"/>
      <c r="M37" s="100"/>
      <c r="N37" s="100"/>
      <c r="O37" s="100"/>
      <c r="P37" s="100"/>
      <c r="Q37" s="100"/>
      <c r="R37" s="100"/>
      <c r="S37" s="101"/>
      <c r="T37" s="99"/>
      <c r="U37" s="100"/>
      <c r="V37" s="100"/>
      <c r="W37" s="102"/>
      <c r="X37" s="92"/>
      <c r="Y37" s="92"/>
      <c r="Z37" s="92"/>
      <c r="AA37" s="92"/>
      <c r="AB37" s="92"/>
      <c r="AC37" s="92"/>
      <c r="AD37" s="92"/>
    </row>
    <row r="38" customFormat="false" ht="14.25" hidden="false" customHeight="true" outlineLevel="0" collapsed="false">
      <c r="A38" s="86"/>
      <c r="B38" s="50"/>
      <c r="C38" s="109"/>
      <c r="D38" s="94"/>
      <c r="E38" s="94"/>
      <c r="F38" s="94"/>
      <c r="G38" s="94"/>
      <c r="H38" s="95"/>
      <c r="I38" s="94"/>
      <c r="J38" s="94"/>
      <c r="K38" s="94"/>
      <c r="L38" s="94"/>
      <c r="M38" s="94"/>
      <c r="N38" s="94"/>
      <c r="O38" s="94"/>
      <c r="P38" s="94"/>
      <c r="Q38" s="94"/>
      <c r="R38" s="94"/>
      <c r="S38" s="95"/>
      <c r="T38" s="111"/>
      <c r="U38" s="94"/>
      <c r="V38" s="94"/>
      <c r="W38" s="96"/>
      <c r="X38" s="92"/>
      <c r="Y38" s="92"/>
      <c r="Z38" s="92"/>
      <c r="AA38" s="92"/>
      <c r="AB38" s="92"/>
      <c r="AC38" s="92"/>
      <c r="AD38" s="92"/>
    </row>
    <row r="39" customFormat="false" ht="14.25" hidden="false" customHeight="true" outlineLevel="0" collapsed="false">
      <c r="A39" s="86"/>
      <c r="B39" s="50" t="n">
        <f aca="false">Neu!B22</f>
        <v>0</v>
      </c>
      <c r="C39" s="98"/>
      <c r="D39" s="100"/>
      <c r="E39" s="100"/>
      <c r="F39" s="100"/>
      <c r="G39" s="100"/>
      <c r="H39" s="101"/>
      <c r="I39" s="100"/>
      <c r="J39" s="100"/>
      <c r="K39" s="100"/>
      <c r="L39" s="100"/>
      <c r="M39" s="100"/>
      <c r="N39" s="100"/>
      <c r="O39" s="100"/>
      <c r="P39" s="100"/>
      <c r="Q39" s="100"/>
      <c r="R39" s="100"/>
      <c r="S39" s="101"/>
      <c r="T39" s="100"/>
      <c r="U39" s="99"/>
      <c r="V39" s="100"/>
      <c r="W39" s="102"/>
      <c r="X39" s="92"/>
      <c r="Y39" s="92"/>
      <c r="Z39" s="92"/>
      <c r="AA39" s="92"/>
      <c r="AB39" s="92"/>
      <c r="AC39" s="92"/>
      <c r="AD39" s="92"/>
    </row>
    <row r="40" customFormat="false" ht="14.25" hidden="false" customHeight="true" outlineLevel="0" collapsed="false">
      <c r="A40" s="86"/>
      <c r="B40" s="50"/>
      <c r="C40" s="103"/>
      <c r="D40" s="105"/>
      <c r="E40" s="105"/>
      <c r="F40" s="105"/>
      <c r="G40" s="105"/>
      <c r="H40" s="106"/>
      <c r="I40" s="105"/>
      <c r="J40" s="105"/>
      <c r="K40" s="105"/>
      <c r="L40" s="105"/>
      <c r="M40" s="105"/>
      <c r="N40" s="105"/>
      <c r="O40" s="105"/>
      <c r="P40" s="105"/>
      <c r="Q40" s="105"/>
      <c r="R40" s="105"/>
      <c r="S40" s="106"/>
      <c r="T40" s="105"/>
      <c r="U40" s="104"/>
      <c r="V40" s="105"/>
      <c r="W40" s="107"/>
      <c r="X40" s="92"/>
      <c r="Y40" s="92"/>
      <c r="Z40" s="92"/>
      <c r="AA40" s="92"/>
      <c r="AB40" s="92"/>
      <c r="AC40" s="92"/>
      <c r="AD40" s="92"/>
    </row>
    <row r="41" customFormat="false" ht="14.25" hidden="false" customHeight="true" outlineLevel="0" collapsed="false">
      <c r="A41" s="86"/>
      <c r="B41" s="50" t="n">
        <f aca="false">Neu!B23</f>
        <v>0</v>
      </c>
      <c r="C41" s="98"/>
      <c r="D41" s="100"/>
      <c r="E41" s="100"/>
      <c r="F41" s="100"/>
      <c r="G41" s="100"/>
      <c r="H41" s="101"/>
      <c r="I41" s="100"/>
      <c r="J41" s="100"/>
      <c r="K41" s="100"/>
      <c r="L41" s="100"/>
      <c r="M41" s="100"/>
      <c r="N41" s="100"/>
      <c r="O41" s="100"/>
      <c r="P41" s="100"/>
      <c r="Q41" s="100"/>
      <c r="R41" s="100"/>
      <c r="S41" s="101"/>
      <c r="T41" s="100"/>
      <c r="U41" s="100"/>
      <c r="V41" s="99"/>
      <c r="W41" s="102"/>
      <c r="X41" s="92"/>
      <c r="Y41" s="92"/>
      <c r="Z41" s="92"/>
      <c r="AA41" s="92"/>
      <c r="AB41" s="92"/>
      <c r="AC41" s="92"/>
      <c r="AD41" s="92"/>
    </row>
    <row r="42" customFormat="false" ht="14.25" hidden="false" customHeight="true" outlineLevel="0" collapsed="false">
      <c r="A42" s="86"/>
      <c r="B42" s="50"/>
      <c r="C42" s="103"/>
      <c r="D42" s="105"/>
      <c r="E42" s="105"/>
      <c r="F42" s="105"/>
      <c r="G42" s="105"/>
      <c r="H42" s="106"/>
      <c r="I42" s="105"/>
      <c r="J42" s="105"/>
      <c r="K42" s="105"/>
      <c r="L42" s="105"/>
      <c r="M42" s="105"/>
      <c r="N42" s="105"/>
      <c r="O42" s="105"/>
      <c r="P42" s="105"/>
      <c r="Q42" s="105"/>
      <c r="R42" s="105"/>
      <c r="S42" s="106"/>
      <c r="T42" s="105"/>
      <c r="U42" s="105"/>
      <c r="V42" s="104"/>
      <c r="W42" s="107"/>
      <c r="X42" s="92"/>
      <c r="Y42" s="92"/>
      <c r="Z42" s="92"/>
      <c r="AA42" s="92"/>
      <c r="AB42" s="92"/>
      <c r="AC42" s="92"/>
      <c r="AD42" s="92"/>
    </row>
    <row r="43" customFormat="false" ht="14.25" hidden="false" customHeight="true" outlineLevel="0" collapsed="false">
      <c r="A43" s="86"/>
      <c r="B43" s="51" t="n">
        <f aca="false">Neu!B24</f>
        <v>0</v>
      </c>
      <c r="C43" s="98"/>
      <c r="D43" s="100"/>
      <c r="E43" s="100"/>
      <c r="F43" s="100"/>
      <c r="G43" s="100"/>
      <c r="H43" s="101"/>
      <c r="I43" s="100"/>
      <c r="J43" s="100"/>
      <c r="K43" s="100"/>
      <c r="L43" s="100"/>
      <c r="M43" s="100"/>
      <c r="N43" s="100"/>
      <c r="O43" s="100"/>
      <c r="P43" s="100"/>
      <c r="Q43" s="100"/>
      <c r="R43" s="100"/>
      <c r="S43" s="101"/>
      <c r="T43" s="100"/>
      <c r="U43" s="100"/>
      <c r="V43" s="100"/>
      <c r="W43" s="113"/>
      <c r="X43" s="92"/>
      <c r="Y43" s="92"/>
      <c r="Z43" s="92"/>
      <c r="AA43" s="92"/>
      <c r="AB43" s="92"/>
      <c r="AC43" s="92"/>
      <c r="AD43" s="92"/>
    </row>
    <row r="44" customFormat="false" ht="14.25" hidden="false" customHeight="true" outlineLevel="0" collapsed="false">
      <c r="A44" s="114"/>
      <c r="B44" s="51"/>
      <c r="C44" s="115"/>
      <c r="D44" s="116"/>
      <c r="E44" s="116"/>
      <c r="F44" s="116"/>
      <c r="G44" s="116"/>
      <c r="H44" s="117"/>
      <c r="I44" s="116"/>
      <c r="J44" s="116"/>
      <c r="K44" s="116"/>
      <c r="L44" s="116"/>
      <c r="M44" s="116"/>
      <c r="N44" s="116"/>
      <c r="O44" s="116"/>
      <c r="P44" s="116"/>
      <c r="Q44" s="116"/>
      <c r="R44" s="116"/>
      <c r="S44" s="117"/>
      <c r="T44" s="116"/>
      <c r="U44" s="116"/>
      <c r="V44" s="116"/>
      <c r="W44" s="118"/>
      <c r="X44" s="92"/>
      <c r="Y44" s="92"/>
      <c r="Z44" s="92"/>
      <c r="AA44" s="92"/>
      <c r="AB44" s="92"/>
      <c r="AC44" s="92"/>
      <c r="AD44" s="92"/>
    </row>
    <row r="45" customFormat="false" ht="14.25" hidden="false" customHeight="false" outlineLevel="0" collapsed="false">
      <c r="C45" s="92"/>
      <c r="D45" s="92"/>
      <c r="E45" s="92"/>
      <c r="F45" s="92"/>
      <c r="G45" s="92"/>
      <c r="H45" s="92"/>
      <c r="I45" s="92"/>
      <c r="J45" s="92"/>
      <c r="K45" s="92"/>
      <c r="L45" s="92"/>
      <c r="M45" s="92"/>
      <c r="N45" s="92"/>
      <c r="O45" s="92"/>
      <c r="P45" s="92"/>
      <c r="Q45" s="92"/>
      <c r="R45" s="92"/>
      <c r="S45" s="92"/>
      <c r="T45" s="92"/>
      <c r="U45" s="92"/>
      <c r="V45" s="92"/>
      <c r="W45" s="92"/>
      <c r="X45" s="92"/>
      <c r="Y45" s="92"/>
      <c r="Z45" s="92"/>
      <c r="AA45" s="92"/>
      <c r="AB45" s="92"/>
      <c r="AC45" s="92"/>
      <c r="AD45" s="92"/>
    </row>
    <row r="46" customFormat="false" ht="14.25" hidden="false" customHeight="false" outlineLevel="0" collapsed="false">
      <c r="C46" s="92"/>
      <c r="D46" s="92"/>
      <c r="E46" s="92"/>
      <c r="F46" s="92"/>
      <c r="G46" s="92"/>
      <c r="H46" s="92"/>
      <c r="I46" s="92"/>
      <c r="J46" s="92"/>
      <c r="K46" s="92"/>
      <c r="L46" s="92"/>
      <c r="M46" s="92"/>
      <c r="N46" s="92"/>
      <c r="O46" s="92"/>
      <c r="P46" s="92"/>
      <c r="Q46" s="92"/>
      <c r="R46" s="92"/>
      <c r="S46" s="92"/>
      <c r="T46" s="92"/>
      <c r="U46" s="92"/>
      <c r="V46" s="92"/>
      <c r="W46" s="92"/>
      <c r="X46" s="92"/>
      <c r="Y46" s="92"/>
      <c r="Z46" s="92"/>
      <c r="AA46" s="92"/>
      <c r="AB46" s="92"/>
      <c r="AC46" s="92"/>
      <c r="AD46" s="92"/>
    </row>
    <row r="47" customFormat="false" ht="14.25" hidden="false" customHeight="false" outlineLevel="0" collapsed="false">
      <c r="C47" s="92"/>
      <c r="D47" s="92"/>
      <c r="E47" s="92"/>
      <c r="F47" s="92"/>
      <c r="G47" s="92"/>
      <c r="H47" s="92"/>
      <c r="I47" s="92"/>
      <c r="J47" s="92"/>
      <c r="K47" s="92"/>
      <c r="L47" s="92"/>
      <c r="M47" s="92"/>
      <c r="N47" s="92"/>
      <c r="O47" s="92"/>
      <c r="P47" s="92"/>
      <c r="Q47" s="92"/>
      <c r="R47" s="92"/>
      <c r="S47" s="92"/>
      <c r="T47" s="92"/>
      <c r="U47" s="92"/>
      <c r="V47" s="92"/>
      <c r="W47" s="92"/>
      <c r="X47" s="92"/>
      <c r="Y47" s="92"/>
      <c r="Z47" s="92"/>
      <c r="AA47" s="92"/>
      <c r="AB47" s="92"/>
      <c r="AC47" s="92"/>
      <c r="AD47" s="92"/>
    </row>
    <row r="48" customFormat="false" ht="14.25" hidden="false" customHeight="false" outlineLevel="0" collapsed="false">
      <c r="C48" s="92"/>
      <c r="D48" s="92"/>
      <c r="E48" s="92"/>
      <c r="F48" s="92"/>
      <c r="G48" s="92"/>
      <c r="H48" s="92"/>
      <c r="I48" s="92"/>
      <c r="J48" s="92"/>
      <c r="K48" s="92"/>
      <c r="L48" s="92"/>
      <c r="M48" s="92"/>
      <c r="N48" s="92"/>
      <c r="O48" s="92"/>
      <c r="P48" s="92"/>
      <c r="Q48" s="92"/>
      <c r="R48" s="92"/>
      <c r="S48" s="92"/>
      <c r="T48" s="92"/>
      <c r="U48" s="92"/>
      <c r="V48" s="92"/>
      <c r="W48" s="92"/>
      <c r="X48" s="92"/>
      <c r="Y48" s="92"/>
      <c r="Z48" s="92"/>
      <c r="AA48" s="92"/>
      <c r="AB48" s="92"/>
      <c r="AC48" s="92"/>
      <c r="AD48" s="92"/>
    </row>
    <row r="49" customFormat="false" ht="14.25" hidden="false" customHeight="false" outlineLevel="0" collapsed="false">
      <c r="C49" s="92"/>
      <c r="D49" s="92"/>
      <c r="E49" s="92"/>
      <c r="F49" s="92"/>
      <c r="G49" s="92"/>
      <c r="H49" s="92"/>
      <c r="I49" s="92"/>
      <c r="J49" s="92"/>
      <c r="K49" s="92"/>
      <c r="L49" s="92"/>
      <c r="M49" s="92"/>
      <c r="N49" s="92"/>
      <c r="O49" s="92"/>
      <c r="P49" s="92"/>
      <c r="Q49" s="92"/>
      <c r="R49" s="92"/>
      <c r="S49" s="92"/>
      <c r="T49" s="92"/>
      <c r="U49" s="92"/>
      <c r="V49" s="92"/>
      <c r="W49" s="92"/>
      <c r="X49" s="92"/>
      <c r="Y49" s="92"/>
      <c r="Z49" s="92"/>
      <c r="AA49" s="92"/>
      <c r="AB49" s="92"/>
      <c r="AC49" s="92"/>
      <c r="AD49" s="92"/>
    </row>
    <row r="50" customFormat="false" ht="14.25" hidden="false" customHeight="false" outlineLevel="0" collapsed="false">
      <c r="C50" s="92"/>
      <c r="D50" s="92"/>
      <c r="E50" s="92"/>
      <c r="F50" s="92"/>
      <c r="G50" s="92"/>
      <c r="H50" s="92"/>
      <c r="I50" s="92"/>
      <c r="J50" s="92"/>
      <c r="K50" s="92"/>
      <c r="L50" s="92"/>
      <c r="M50" s="92"/>
      <c r="N50" s="92"/>
      <c r="O50" s="92"/>
      <c r="P50" s="92"/>
      <c r="Q50" s="92"/>
      <c r="R50" s="92"/>
      <c r="S50" s="92"/>
      <c r="T50" s="92"/>
      <c r="U50" s="92"/>
      <c r="V50" s="92"/>
      <c r="W50" s="92"/>
      <c r="X50" s="92"/>
      <c r="Y50" s="92"/>
      <c r="Z50" s="92"/>
      <c r="AA50" s="92"/>
      <c r="AB50" s="92"/>
      <c r="AC50" s="92"/>
      <c r="AD50" s="92"/>
    </row>
    <row r="51" customFormat="false" ht="14.25" hidden="false" customHeight="false" outlineLevel="0" collapsed="false">
      <c r="C51" s="92"/>
      <c r="D51" s="92"/>
      <c r="E51" s="92"/>
      <c r="F51" s="92"/>
      <c r="G51" s="92"/>
      <c r="H51" s="92"/>
      <c r="I51" s="92"/>
      <c r="J51" s="92"/>
      <c r="K51" s="92"/>
      <c r="L51" s="92"/>
      <c r="M51" s="92"/>
      <c r="N51" s="92"/>
      <c r="O51" s="92"/>
      <c r="P51" s="92"/>
      <c r="Q51" s="92"/>
      <c r="R51" s="92"/>
      <c r="S51" s="92"/>
      <c r="T51" s="92"/>
      <c r="U51" s="92"/>
      <c r="V51" s="92"/>
      <c r="W51" s="92"/>
      <c r="X51" s="92"/>
      <c r="Y51" s="92"/>
      <c r="Z51" s="92"/>
      <c r="AA51" s="92"/>
      <c r="AB51" s="92"/>
      <c r="AC51" s="92"/>
      <c r="AD51" s="92"/>
    </row>
    <row r="52" customFormat="false" ht="14.25" hidden="false" customHeight="false" outlineLevel="0" collapsed="false">
      <c r="C52" s="92"/>
      <c r="D52" s="92"/>
      <c r="E52" s="92"/>
      <c r="F52" s="92"/>
      <c r="G52" s="92"/>
      <c r="H52" s="92"/>
      <c r="I52" s="92"/>
      <c r="J52" s="92"/>
      <c r="K52" s="92"/>
      <c r="L52" s="92"/>
      <c r="M52" s="92"/>
      <c r="N52" s="92"/>
      <c r="O52" s="92"/>
      <c r="P52" s="92"/>
      <c r="Q52" s="92"/>
      <c r="R52" s="92"/>
      <c r="S52" s="92"/>
      <c r="T52" s="92"/>
      <c r="U52" s="92"/>
      <c r="V52" s="92"/>
      <c r="W52" s="92"/>
      <c r="X52" s="92"/>
      <c r="Y52" s="92"/>
      <c r="Z52" s="92"/>
      <c r="AA52" s="92"/>
      <c r="AB52" s="92"/>
      <c r="AC52" s="92"/>
      <c r="AD52" s="92"/>
    </row>
    <row r="53" customFormat="false" ht="14.25" hidden="false" customHeight="false" outlineLevel="0" collapsed="false">
      <c r="C53" s="92"/>
      <c r="D53" s="92"/>
      <c r="E53" s="92"/>
      <c r="F53" s="92"/>
      <c r="G53" s="92"/>
      <c r="H53" s="92"/>
      <c r="I53" s="92"/>
      <c r="J53" s="92"/>
      <c r="K53" s="92"/>
      <c r="L53" s="92"/>
      <c r="M53" s="92"/>
      <c r="N53" s="92"/>
      <c r="O53" s="92"/>
      <c r="P53" s="92"/>
      <c r="Q53" s="92"/>
      <c r="R53" s="92"/>
      <c r="S53" s="92"/>
      <c r="T53" s="92"/>
      <c r="U53" s="92"/>
      <c r="V53" s="92"/>
      <c r="W53" s="92"/>
      <c r="X53" s="92"/>
      <c r="Y53" s="92"/>
      <c r="Z53" s="92"/>
      <c r="AA53" s="92"/>
      <c r="AB53" s="92"/>
      <c r="AC53" s="92"/>
      <c r="AD53" s="92"/>
    </row>
    <row r="54" customFormat="false" ht="14.25" hidden="false" customHeight="false" outlineLevel="0" collapsed="false">
      <c r="C54" s="92"/>
      <c r="D54" s="92"/>
      <c r="E54" s="92"/>
      <c r="F54" s="92"/>
      <c r="G54" s="92"/>
      <c r="H54" s="92"/>
      <c r="I54" s="92"/>
      <c r="J54" s="92"/>
      <c r="K54" s="92"/>
      <c r="L54" s="92"/>
      <c r="M54" s="92"/>
      <c r="N54" s="92"/>
      <c r="O54" s="92"/>
      <c r="P54" s="92"/>
      <c r="Q54" s="92"/>
      <c r="R54" s="92"/>
      <c r="S54" s="92"/>
      <c r="T54" s="92"/>
      <c r="U54" s="92"/>
      <c r="V54" s="92"/>
      <c r="W54" s="92"/>
      <c r="X54" s="92"/>
      <c r="Y54" s="92"/>
      <c r="Z54" s="92"/>
      <c r="AA54" s="92"/>
      <c r="AB54" s="92"/>
      <c r="AC54" s="92"/>
      <c r="AD54" s="92"/>
    </row>
    <row r="55" customFormat="false" ht="14.25" hidden="false" customHeight="false" outlineLevel="0" collapsed="false">
      <c r="C55" s="92"/>
      <c r="D55" s="92"/>
      <c r="E55" s="92"/>
      <c r="F55" s="92"/>
      <c r="G55" s="92"/>
      <c r="H55" s="92"/>
      <c r="I55" s="92"/>
      <c r="J55" s="92"/>
      <c r="K55" s="92"/>
      <c r="L55" s="92"/>
      <c r="M55" s="92"/>
      <c r="N55" s="92"/>
      <c r="O55" s="92"/>
      <c r="P55" s="92"/>
      <c r="Q55" s="92"/>
      <c r="R55" s="92"/>
      <c r="S55" s="92"/>
      <c r="T55" s="92"/>
      <c r="U55" s="92"/>
      <c r="V55" s="92"/>
      <c r="W55" s="92"/>
      <c r="X55" s="92"/>
      <c r="Y55" s="92"/>
      <c r="Z55" s="92"/>
      <c r="AA55" s="92"/>
      <c r="AB55" s="92"/>
      <c r="AC55" s="92"/>
      <c r="AD55" s="92"/>
    </row>
    <row r="56" customFormat="false" ht="14.25" hidden="false" customHeight="false" outlineLevel="0" collapsed="false">
      <c r="C56" s="92"/>
      <c r="D56" s="92"/>
      <c r="E56" s="92"/>
      <c r="F56" s="92"/>
      <c r="G56" s="92"/>
      <c r="H56" s="92"/>
      <c r="I56" s="92"/>
      <c r="J56" s="92"/>
      <c r="K56" s="92"/>
      <c r="L56" s="92"/>
      <c r="M56" s="92"/>
      <c r="N56" s="92"/>
      <c r="O56" s="92"/>
      <c r="P56" s="92"/>
      <c r="Q56" s="92"/>
      <c r="R56" s="92"/>
      <c r="S56" s="92"/>
      <c r="T56" s="92"/>
      <c r="U56" s="92"/>
      <c r="V56" s="92"/>
      <c r="W56" s="92"/>
      <c r="X56" s="92"/>
      <c r="Y56" s="92"/>
      <c r="Z56" s="92"/>
      <c r="AA56" s="92"/>
      <c r="AB56" s="92"/>
      <c r="AC56" s="92"/>
      <c r="AD56" s="92"/>
    </row>
    <row r="57" customFormat="false" ht="14.25" hidden="false" customHeight="false" outlineLevel="0" collapsed="false">
      <c r="C57" s="92"/>
      <c r="D57" s="92"/>
      <c r="E57" s="92"/>
      <c r="F57" s="92"/>
      <c r="G57" s="92"/>
      <c r="H57" s="92"/>
      <c r="I57" s="92"/>
      <c r="J57" s="92"/>
      <c r="K57" s="92"/>
      <c r="L57" s="92"/>
      <c r="M57" s="92"/>
      <c r="N57" s="92"/>
      <c r="O57" s="92"/>
      <c r="P57" s="92"/>
      <c r="Q57" s="92"/>
      <c r="R57" s="92"/>
      <c r="S57" s="92"/>
      <c r="T57" s="92"/>
      <c r="U57" s="92"/>
      <c r="V57" s="92"/>
      <c r="W57" s="92"/>
      <c r="X57" s="92"/>
      <c r="Y57" s="92"/>
      <c r="Z57" s="92"/>
      <c r="AA57" s="92"/>
      <c r="AB57" s="92"/>
      <c r="AC57" s="92"/>
      <c r="AD57" s="92"/>
    </row>
    <row r="58" customFormat="false" ht="14.25" hidden="false" customHeight="false" outlineLevel="0" collapsed="false">
      <c r="C58" s="92"/>
      <c r="D58" s="92"/>
      <c r="E58" s="92"/>
      <c r="F58" s="92"/>
      <c r="G58" s="92"/>
      <c r="H58" s="92"/>
      <c r="I58" s="92"/>
      <c r="J58" s="92"/>
      <c r="K58" s="92"/>
      <c r="L58" s="92"/>
      <c r="M58" s="92"/>
      <c r="N58" s="92"/>
      <c r="O58" s="92"/>
      <c r="P58" s="92"/>
      <c r="Q58" s="92"/>
      <c r="R58" s="92"/>
      <c r="S58" s="92"/>
      <c r="T58" s="92"/>
      <c r="U58" s="92"/>
      <c r="V58" s="92"/>
      <c r="W58" s="92"/>
      <c r="X58" s="92"/>
      <c r="Y58" s="92"/>
      <c r="Z58" s="92"/>
      <c r="AA58" s="92"/>
      <c r="AB58" s="92"/>
      <c r="AC58" s="92"/>
      <c r="AD58" s="92"/>
    </row>
    <row r="59" customFormat="false" ht="14.25" hidden="false" customHeight="false" outlineLevel="0" collapsed="false">
      <c r="C59" s="92"/>
      <c r="D59" s="92"/>
      <c r="E59" s="92"/>
      <c r="F59" s="92"/>
      <c r="G59" s="92"/>
      <c r="H59" s="92"/>
      <c r="I59" s="92"/>
      <c r="J59" s="92"/>
      <c r="K59" s="92"/>
      <c r="L59" s="92"/>
      <c r="M59" s="92"/>
      <c r="N59" s="92"/>
      <c r="O59" s="92"/>
      <c r="P59" s="92"/>
      <c r="Q59" s="92"/>
      <c r="R59" s="92"/>
      <c r="S59" s="92"/>
      <c r="T59" s="92"/>
      <c r="U59" s="92"/>
      <c r="V59" s="92"/>
      <c r="W59" s="92"/>
      <c r="X59" s="92"/>
      <c r="Y59" s="92"/>
      <c r="Z59" s="92"/>
      <c r="AA59" s="92"/>
      <c r="AB59" s="92"/>
      <c r="AC59" s="92"/>
      <c r="AD59" s="92"/>
    </row>
    <row r="60" customFormat="false" ht="14.25" hidden="false" customHeight="false" outlineLevel="0" collapsed="false">
      <c r="C60" s="92"/>
      <c r="D60" s="92"/>
      <c r="E60" s="92"/>
      <c r="F60" s="92"/>
      <c r="G60" s="92"/>
      <c r="H60" s="92"/>
      <c r="I60" s="92"/>
      <c r="J60" s="92"/>
      <c r="K60" s="92"/>
      <c r="L60" s="92"/>
      <c r="M60" s="92"/>
      <c r="N60" s="92"/>
      <c r="O60" s="92"/>
      <c r="P60" s="92"/>
      <c r="Q60" s="92"/>
      <c r="R60" s="92"/>
      <c r="S60" s="92"/>
      <c r="T60" s="92"/>
      <c r="U60" s="92"/>
      <c r="V60" s="92"/>
      <c r="W60" s="92"/>
      <c r="X60" s="92"/>
      <c r="Y60" s="92"/>
      <c r="Z60" s="92"/>
      <c r="AA60" s="92"/>
      <c r="AB60" s="92"/>
      <c r="AC60" s="92"/>
      <c r="AD60" s="92"/>
    </row>
    <row r="61" customFormat="false" ht="14.25" hidden="false" customHeight="false" outlineLevel="0" collapsed="false">
      <c r="C61" s="92"/>
      <c r="D61" s="92"/>
      <c r="E61" s="92"/>
      <c r="F61" s="92"/>
      <c r="G61" s="92"/>
      <c r="H61" s="92"/>
      <c r="I61" s="92"/>
      <c r="J61" s="92"/>
      <c r="K61" s="92"/>
      <c r="L61" s="92"/>
      <c r="M61" s="92"/>
      <c r="N61" s="92"/>
      <c r="O61" s="92"/>
      <c r="P61" s="92"/>
      <c r="Q61" s="92"/>
      <c r="R61" s="92"/>
      <c r="S61" s="92"/>
      <c r="T61" s="92"/>
      <c r="U61" s="92"/>
      <c r="V61" s="92"/>
      <c r="W61" s="92"/>
      <c r="X61" s="92"/>
      <c r="Y61" s="92"/>
      <c r="Z61" s="92"/>
      <c r="AA61" s="92"/>
      <c r="AB61" s="92"/>
      <c r="AC61" s="92"/>
      <c r="AD61" s="92"/>
    </row>
    <row r="62" customFormat="false" ht="14.25" hidden="false" customHeight="false" outlineLevel="0" collapsed="false">
      <c r="C62" s="92"/>
      <c r="D62" s="92"/>
      <c r="E62" s="92"/>
      <c r="F62" s="92"/>
      <c r="G62" s="92"/>
      <c r="H62" s="92"/>
      <c r="I62" s="92"/>
      <c r="J62" s="92"/>
      <c r="K62" s="92"/>
      <c r="L62" s="92"/>
      <c r="M62" s="92"/>
      <c r="N62" s="92"/>
      <c r="O62" s="92"/>
      <c r="P62" s="92"/>
      <c r="Q62" s="92"/>
      <c r="R62" s="92"/>
      <c r="S62" s="92"/>
      <c r="T62" s="92"/>
      <c r="U62" s="92"/>
      <c r="V62" s="92"/>
      <c r="W62" s="92"/>
      <c r="X62" s="92"/>
      <c r="Y62" s="92"/>
      <c r="Z62" s="92"/>
      <c r="AA62" s="92"/>
      <c r="AB62" s="92"/>
      <c r="AC62" s="92"/>
      <c r="AD62" s="92"/>
    </row>
    <row r="63" customFormat="false" ht="14.25" hidden="false" customHeight="false" outlineLevel="0" collapsed="false">
      <c r="C63" s="92"/>
      <c r="D63" s="92"/>
      <c r="E63" s="92"/>
      <c r="F63" s="92"/>
      <c r="G63" s="92"/>
      <c r="H63" s="92"/>
      <c r="I63" s="92"/>
      <c r="J63" s="92"/>
      <c r="K63" s="92"/>
      <c r="L63" s="92"/>
      <c r="M63" s="92"/>
      <c r="N63" s="92"/>
      <c r="O63" s="92"/>
      <c r="P63" s="92"/>
      <c r="Q63" s="92"/>
      <c r="R63" s="92"/>
      <c r="S63" s="92"/>
      <c r="T63" s="92"/>
      <c r="U63" s="92"/>
      <c r="V63" s="92"/>
      <c r="W63" s="92"/>
      <c r="X63" s="92"/>
      <c r="Y63" s="92"/>
      <c r="Z63" s="92"/>
      <c r="AA63" s="92"/>
      <c r="AB63" s="92"/>
      <c r="AC63" s="92"/>
      <c r="AD63" s="92"/>
    </row>
    <row r="64" customFormat="false" ht="14.25" hidden="false" customHeight="false" outlineLevel="0" collapsed="false">
      <c r="C64" s="92"/>
      <c r="D64" s="92"/>
      <c r="E64" s="92"/>
      <c r="F64" s="92"/>
      <c r="G64" s="92"/>
      <c r="H64" s="92"/>
      <c r="I64" s="92"/>
      <c r="J64" s="92"/>
      <c r="K64" s="92"/>
      <c r="L64" s="92"/>
      <c r="M64" s="92"/>
      <c r="N64" s="92"/>
      <c r="O64" s="92"/>
      <c r="P64" s="92"/>
      <c r="Q64" s="92"/>
      <c r="R64" s="92"/>
      <c r="S64" s="92"/>
      <c r="T64" s="92"/>
      <c r="U64" s="92"/>
      <c r="V64" s="92"/>
      <c r="W64" s="92"/>
      <c r="X64" s="92"/>
      <c r="Y64" s="92"/>
      <c r="Z64" s="92"/>
      <c r="AA64" s="92"/>
      <c r="AB64" s="92"/>
      <c r="AC64" s="92"/>
      <c r="AD64" s="92"/>
    </row>
    <row r="65" customFormat="false" ht="14.25" hidden="false" customHeight="false" outlineLevel="0" collapsed="false">
      <c r="C65" s="92"/>
      <c r="D65" s="92"/>
      <c r="E65" s="92"/>
      <c r="F65" s="92"/>
      <c r="G65" s="92"/>
      <c r="H65" s="92"/>
      <c r="I65" s="92"/>
      <c r="J65" s="92"/>
      <c r="K65" s="92"/>
      <c r="L65" s="92"/>
      <c r="M65" s="92"/>
      <c r="N65" s="92"/>
      <c r="O65" s="92"/>
      <c r="P65" s="92"/>
      <c r="Q65" s="92"/>
      <c r="R65" s="92"/>
      <c r="S65" s="92"/>
      <c r="T65" s="92"/>
      <c r="U65" s="92"/>
      <c r="V65" s="92"/>
      <c r="W65" s="92"/>
      <c r="X65" s="92"/>
      <c r="Y65" s="92"/>
      <c r="Z65" s="92"/>
      <c r="AA65" s="92"/>
      <c r="AB65" s="92"/>
      <c r="AC65" s="92"/>
      <c r="AD65" s="92"/>
    </row>
    <row r="66" customFormat="false" ht="14.25" hidden="false" customHeight="false" outlineLevel="0" collapsed="false">
      <c r="C66" s="92"/>
      <c r="D66" s="92"/>
      <c r="E66" s="92"/>
      <c r="F66" s="92"/>
      <c r="G66" s="92"/>
      <c r="H66" s="92"/>
      <c r="I66" s="92"/>
      <c r="J66" s="92"/>
      <c r="K66" s="92"/>
      <c r="L66" s="92"/>
      <c r="M66" s="92"/>
      <c r="N66" s="92"/>
      <c r="O66" s="92"/>
      <c r="P66" s="92"/>
      <c r="Q66" s="92"/>
      <c r="R66" s="92"/>
      <c r="S66" s="92"/>
      <c r="T66" s="92"/>
      <c r="U66" s="92"/>
      <c r="V66" s="92"/>
      <c r="W66" s="92"/>
      <c r="X66" s="92"/>
      <c r="Y66" s="92"/>
      <c r="Z66" s="92"/>
      <c r="AA66" s="92"/>
      <c r="AB66" s="92"/>
      <c r="AC66" s="92"/>
      <c r="AD66" s="92"/>
    </row>
    <row r="67" customFormat="false" ht="14.25" hidden="false" customHeight="false" outlineLevel="0" collapsed="false">
      <c r="C67" s="92"/>
      <c r="D67" s="92"/>
      <c r="E67" s="92"/>
      <c r="F67" s="92"/>
      <c r="G67" s="92"/>
      <c r="H67" s="92"/>
      <c r="I67" s="92"/>
      <c r="J67" s="92"/>
      <c r="K67" s="92"/>
      <c r="L67" s="92"/>
      <c r="M67" s="92"/>
      <c r="N67" s="92"/>
      <c r="O67" s="92"/>
      <c r="P67" s="92"/>
      <c r="Q67" s="92"/>
      <c r="R67" s="92"/>
      <c r="S67" s="92"/>
      <c r="T67" s="92"/>
      <c r="U67" s="92"/>
      <c r="V67" s="92"/>
      <c r="W67" s="92"/>
      <c r="X67" s="92"/>
      <c r="Y67" s="92"/>
      <c r="Z67" s="92"/>
      <c r="AA67" s="92"/>
      <c r="AB67" s="92"/>
      <c r="AC67" s="92"/>
      <c r="AD67" s="92"/>
    </row>
    <row r="68" customFormat="false" ht="14.25" hidden="false" customHeight="false" outlineLevel="0" collapsed="false">
      <c r="C68" s="92"/>
      <c r="D68" s="92"/>
      <c r="E68" s="92"/>
      <c r="F68" s="92"/>
      <c r="G68" s="92"/>
      <c r="H68" s="92"/>
      <c r="I68" s="92"/>
      <c r="J68" s="92"/>
      <c r="K68" s="92"/>
      <c r="L68" s="92"/>
      <c r="M68" s="92"/>
      <c r="N68" s="92"/>
      <c r="O68" s="92"/>
      <c r="P68" s="92"/>
      <c r="Q68" s="92"/>
      <c r="R68" s="92"/>
      <c r="S68" s="92"/>
      <c r="T68" s="92"/>
      <c r="U68" s="92"/>
      <c r="V68" s="92"/>
      <c r="W68" s="92"/>
      <c r="X68" s="92"/>
      <c r="Y68" s="92"/>
      <c r="Z68" s="92"/>
      <c r="AA68" s="92"/>
      <c r="AB68" s="92"/>
      <c r="AC68" s="92"/>
      <c r="AD68" s="92"/>
    </row>
    <row r="69" customFormat="false" ht="14.25" hidden="false" customHeight="false" outlineLevel="0" collapsed="false">
      <c r="C69" s="92"/>
      <c r="D69" s="92"/>
      <c r="E69" s="92"/>
      <c r="F69" s="92"/>
      <c r="G69" s="92"/>
      <c r="H69" s="92"/>
      <c r="I69" s="92"/>
      <c r="J69" s="92"/>
      <c r="K69" s="92"/>
      <c r="L69" s="92"/>
      <c r="M69" s="92"/>
      <c r="N69" s="92"/>
      <c r="O69" s="92"/>
      <c r="P69" s="92"/>
      <c r="Q69" s="92"/>
      <c r="R69" s="92"/>
      <c r="S69" s="92"/>
      <c r="T69" s="92"/>
      <c r="U69" s="92"/>
      <c r="V69" s="92"/>
      <c r="W69" s="92"/>
      <c r="X69" s="92"/>
      <c r="Y69" s="92"/>
      <c r="Z69" s="92"/>
      <c r="AA69" s="92"/>
      <c r="AB69" s="92"/>
      <c r="AC69" s="92"/>
      <c r="AD69" s="92"/>
    </row>
    <row r="70" customFormat="false" ht="14.25" hidden="false" customHeight="false" outlineLevel="0" collapsed="false">
      <c r="C70" s="92"/>
      <c r="D70" s="92"/>
      <c r="E70" s="92"/>
      <c r="F70" s="92"/>
      <c r="G70" s="92"/>
      <c r="H70" s="92"/>
      <c r="I70" s="92"/>
      <c r="J70" s="92"/>
      <c r="K70" s="92"/>
      <c r="L70" s="92"/>
      <c r="M70" s="92"/>
      <c r="N70" s="92"/>
      <c r="O70" s="92"/>
      <c r="P70" s="92"/>
      <c r="Q70" s="92"/>
      <c r="R70" s="92"/>
      <c r="S70" s="92"/>
      <c r="T70" s="92"/>
      <c r="U70" s="92"/>
      <c r="V70" s="92"/>
      <c r="W70" s="92"/>
      <c r="X70" s="92"/>
      <c r="Y70" s="92"/>
      <c r="Z70" s="92"/>
      <c r="AA70" s="92"/>
      <c r="AB70" s="92"/>
      <c r="AC70" s="92"/>
      <c r="AD70" s="92"/>
    </row>
    <row r="71" customFormat="false" ht="14.25" hidden="false" customHeight="false" outlineLevel="0" collapsed="false">
      <c r="C71" s="92"/>
      <c r="D71" s="92"/>
      <c r="E71" s="92"/>
      <c r="F71" s="92"/>
      <c r="G71" s="92"/>
      <c r="H71" s="92"/>
      <c r="I71" s="92"/>
      <c r="J71" s="92"/>
      <c r="K71" s="92"/>
      <c r="L71" s="92"/>
      <c r="M71" s="92"/>
      <c r="N71" s="92"/>
      <c r="O71" s="92"/>
      <c r="P71" s="92"/>
      <c r="Q71" s="92"/>
      <c r="R71" s="92"/>
      <c r="S71" s="92"/>
      <c r="T71" s="92"/>
      <c r="U71" s="92"/>
      <c r="V71" s="92"/>
      <c r="W71" s="92"/>
      <c r="X71" s="92"/>
      <c r="Y71" s="92"/>
      <c r="Z71" s="92"/>
      <c r="AA71" s="92"/>
      <c r="AB71" s="92"/>
      <c r="AC71" s="92"/>
      <c r="AD71" s="92"/>
    </row>
    <row r="72" customFormat="false" ht="14.25" hidden="false" customHeight="false" outlineLevel="0" collapsed="false">
      <c r="C72" s="92"/>
      <c r="D72" s="92"/>
      <c r="E72" s="92"/>
      <c r="F72" s="92"/>
      <c r="G72" s="92"/>
      <c r="H72" s="92"/>
      <c r="I72" s="92"/>
      <c r="J72" s="92"/>
      <c r="K72" s="92"/>
      <c r="L72" s="92"/>
      <c r="M72" s="92"/>
      <c r="N72" s="92"/>
      <c r="O72" s="92"/>
      <c r="P72" s="92"/>
      <c r="Q72" s="92"/>
      <c r="R72" s="92"/>
      <c r="S72" s="92"/>
      <c r="T72" s="92"/>
      <c r="U72" s="92"/>
      <c r="V72" s="92"/>
      <c r="W72" s="92"/>
      <c r="X72" s="92"/>
      <c r="Y72" s="92"/>
      <c r="Z72" s="92"/>
      <c r="AA72" s="92"/>
      <c r="AB72" s="92"/>
      <c r="AC72" s="92"/>
      <c r="AD72" s="92"/>
    </row>
    <row r="73" customFormat="false" ht="14.25" hidden="false" customHeight="false" outlineLevel="0" collapsed="false">
      <c r="C73" s="92"/>
      <c r="D73" s="92"/>
      <c r="E73" s="92"/>
      <c r="F73" s="92"/>
      <c r="G73" s="92"/>
      <c r="H73" s="92"/>
      <c r="I73" s="92"/>
      <c r="J73" s="92"/>
      <c r="K73" s="92"/>
      <c r="L73" s="92"/>
      <c r="M73" s="92"/>
      <c r="N73" s="92"/>
      <c r="O73" s="92"/>
      <c r="P73" s="92"/>
      <c r="Q73" s="92"/>
      <c r="R73" s="92"/>
      <c r="S73" s="92"/>
      <c r="T73" s="92"/>
      <c r="U73" s="92"/>
      <c r="V73" s="92"/>
      <c r="W73" s="92"/>
      <c r="X73" s="92"/>
      <c r="Y73" s="92"/>
      <c r="Z73" s="92"/>
      <c r="AA73" s="92"/>
      <c r="AB73" s="92"/>
      <c r="AC73" s="92"/>
      <c r="AD73" s="92"/>
    </row>
    <row r="74" customFormat="false" ht="14.25" hidden="false" customHeight="false" outlineLevel="0" collapsed="false">
      <c r="C74" s="92"/>
      <c r="D74" s="92"/>
      <c r="E74" s="92"/>
      <c r="F74" s="92"/>
      <c r="G74" s="92"/>
      <c r="H74" s="92"/>
      <c r="I74" s="92"/>
      <c r="J74" s="92"/>
      <c r="K74" s="92"/>
      <c r="L74" s="92"/>
      <c r="M74" s="92"/>
      <c r="N74" s="92"/>
      <c r="O74" s="92"/>
      <c r="P74" s="92"/>
      <c r="Q74" s="92"/>
      <c r="R74" s="92"/>
      <c r="S74" s="92"/>
      <c r="T74" s="92"/>
      <c r="U74" s="92"/>
      <c r="V74" s="92"/>
      <c r="W74" s="92"/>
      <c r="X74" s="92"/>
      <c r="Y74" s="92"/>
      <c r="Z74" s="92"/>
      <c r="AA74" s="92"/>
      <c r="AB74" s="92"/>
      <c r="AC74" s="92"/>
      <c r="AD74" s="92"/>
    </row>
    <row r="75" customFormat="false" ht="14.25" hidden="false" customHeight="false" outlineLevel="0" collapsed="false">
      <c r="C75" s="92"/>
      <c r="D75" s="92"/>
      <c r="E75" s="92"/>
      <c r="F75" s="92"/>
      <c r="G75" s="92"/>
      <c r="H75" s="92"/>
      <c r="I75" s="92"/>
      <c r="J75" s="92"/>
      <c r="K75" s="92"/>
      <c r="L75" s="92"/>
      <c r="M75" s="92"/>
      <c r="N75" s="92"/>
      <c r="O75" s="92"/>
      <c r="P75" s="92"/>
      <c r="Q75" s="92"/>
      <c r="R75" s="92"/>
      <c r="S75" s="92"/>
      <c r="T75" s="92"/>
      <c r="U75" s="92"/>
      <c r="V75" s="92"/>
      <c r="W75" s="92"/>
      <c r="X75" s="92"/>
      <c r="Y75" s="92"/>
      <c r="Z75" s="92"/>
      <c r="AA75" s="92"/>
      <c r="AB75" s="92"/>
      <c r="AC75" s="92"/>
      <c r="AD75" s="92"/>
    </row>
    <row r="76" customFormat="false" ht="14.25" hidden="false" customHeight="false" outlineLevel="0" collapsed="false">
      <c r="C76" s="92"/>
      <c r="D76" s="92"/>
      <c r="E76" s="92"/>
      <c r="F76" s="92"/>
      <c r="G76" s="92"/>
      <c r="H76" s="92"/>
      <c r="I76" s="92"/>
      <c r="J76" s="92"/>
      <c r="K76" s="92"/>
      <c r="L76" s="92"/>
      <c r="M76" s="92"/>
      <c r="N76" s="92"/>
      <c r="O76" s="92"/>
      <c r="P76" s="92"/>
      <c r="Q76" s="92"/>
      <c r="R76" s="92"/>
      <c r="S76" s="92"/>
      <c r="T76" s="92"/>
      <c r="U76" s="92"/>
      <c r="V76" s="92"/>
      <c r="W76" s="92"/>
      <c r="X76" s="92"/>
      <c r="Y76" s="92"/>
      <c r="Z76" s="92"/>
      <c r="AA76" s="92"/>
      <c r="AB76" s="92"/>
      <c r="AC76" s="92"/>
      <c r="AD76" s="92"/>
    </row>
  </sheetData>
  <mergeCells count="24">
    <mergeCell ref="A1:B2"/>
    <mergeCell ref="C1:W1"/>
    <mergeCell ref="A3:A43"/>
    <mergeCell ref="B3:B4"/>
    <mergeCell ref="B5:B6"/>
    <mergeCell ref="B7:B8"/>
    <mergeCell ref="B9:B10"/>
    <mergeCell ref="B11:B12"/>
    <mergeCell ref="B13:B14"/>
    <mergeCell ref="B15:B16"/>
    <mergeCell ref="B17:B18"/>
    <mergeCell ref="B19:B20"/>
    <mergeCell ref="B21:B22"/>
    <mergeCell ref="B23:B24"/>
    <mergeCell ref="B25:B26"/>
    <mergeCell ref="B27:B28"/>
    <mergeCell ref="B29:B30"/>
    <mergeCell ref="B31:B32"/>
    <mergeCell ref="B33:B34"/>
    <mergeCell ref="B35:B36"/>
    <mergeCell ref="B37:B38"/>
    <mergeCell ref="B39:B40"/>
    <mergeCell ref="B41:B42"/>
    <mergeCell ref="B43:B44"/>
  </mergeCells>
  <conditionalFormatting sqref="B3 B5 B7 B9 B11 B13 B15 B17 B19 B21 B23 B25 B27 B29 B31 B33 B35 B37 B39 B41 B43">
    <cfRule type="cellIs" priority="2" operator="equal" aboveAverage="0" equalAverage="0" bottom="0" percent="0" rank="0" text="" dxfId="33">
      <formula>0</formula>
    </cfRule>
  </conditionalFormatting>
  <conditionalFormatting sqref="C2:W2">
    <cfRule type="cellIs" priority="3" operator="equal" aboveAverage="0" equalAverage="0" bottom="0" percent="0" rank="0" text="" dxfId="34">
      <formula>0</formula>
    </cfRule>
  </conditionalFormatting>
  <conditionalFormatting sqref="C3:W44">
    <cfRule type="colorScale" priority="4">
      <colorScale>
        <cfvo type="min" val="0"/>
        <cfvo type="max" val="0"/>
        <color rgb="FFFCFCFF"/>
        <color rgb="FFF8696B"/>
      </colorScale>
    </cfRule>
  </conditionalFormatting>
  <conditionalFormatting sqref="Y1:Y2 Y4:Y36">
    <cfRule type="cellIs" priority="5" operator="lessThan" aboveAverage="0" equalAverage="0" bottom="0" percent="0" rank="0" text="" dxfId="35">
      <formula>0</formula>
    </cfRule>
  </conditionalFormatting>
  <conditionalFormatting sqref="Y1:Y1048576">
    <cfRule type="colorScale" priority="6">
      <colorScale>
        <cfvo type="formula" val="MIN($C$3:$W$44)"/>
        <cfvo type="formula" val="MAX($C$3:$W$44)"/>
        <color rgb="FFFCFCFF"/>
        <color rgb="FFF8696B"/>
      </colorScale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D76"/>
  <sheetViews>
    <sheetView showFormulas="false" showGridLines="true" showRowColHeaders="true" showZeros="true" rightToLeft="false" tabSelected="false" showOutlineSymbols="true" defaultGridColor="true" view="normal" topLeftCell="A4" colorId="64" zoomScale="90" zoomScaleNormal="90" zoomScalePageLayoutView="100" workbookViewId="0">
      <selection pane="topLeft" activeCell="O33" activeCellId="0" sqref="O33"/>
    </sheetView>
  </sheetViews>
  <sheetFormatPr defaultColWidth="9.1796875" defaultRowHeight="14.25" zeroHeight="false" outlineLevelRow="0" outlineLevelCol="0"/>
  <cols>
    <col collapsed="false" customWidth="true" hidden="false" outlineLevel="0" max="1" min="1" style="80" width="4.18"/>
    <col collapsed="false" customWidth="false" hidden="false" outlineLevel="0" max="2" min="2" style="80" width="9.18"/>
    <col collapsed="false" customWidth="true" hidden="false" outlineLevel="0" max="23" min="3" style="80" width="6.73"/>
    <col collapsed="false" customWidth="false" hidden="false" outlineLevel="0" max="1024" min="24" style="80" width="9.18"/>
  </cols>
  <sheetData>
    <row r="1" customFormat="false" ht="15" hidden="false" customHeight="false" outlineLevel="0" collapsed="false">
      <c r="A1" s="81"/>
      <c r="B1" s="81"/>
      <c r="C1" s="82" t="s">
        <v>186</v>
      </c>
      <c r="D1" s="82"/>
      <c r="E1" s="82"/>
      <c r="F1" s="82"/>
      <c r="G1" s="82"/>
      <c r="H1" s="82"/>
      <c r="I1" s="82"/>
      <c r="J1" s="82"/>
      <c r="K1" s="82"/>
      <c r="L1" s="82"/>
      <c r="M1" s="82"/>
      <c r="N1" s="82"/>
      <c r="O1" s="82"/>
      <c r="P1" s="82"/>
      <c r="Q1" s="82"/>
      <c r="R1" s="82"/>
      <c r="S1" s="82"/>
      <c r="T1" s="82"/>
      <c r="U1" s="82"/>
      <c r="V1" s="82"/>
      <c r="W1" s="82"/>
    </row>
    <row r="2" customFormat="false" ht="15" hidden="false" customHeight="false" outlineLevel="0" collapsed="false">
      <c r="A2" s="81"/>
      <c r="B2" s="81"/>
      <c r="C2" s="83" t="str">
        <f aca="false">Neu!$B4</f>
        <v>B4</v>
      </c>
      <c r="D2" s="84" t="str">
        <f aca="false">Neu!$B5</f>
        <v>B8</v>
      </c>
      <c r="E2" s="84" t="str">
        <f aca="false">Neu!$B6</f>
        <v>B20</v>
      </c>
      <c r="F2" s="84" t="str">
        <f aca="false">Neu!$B7</f>
        <v>B30</v>
      </c>
      <c r="G2" s="84" t="str">
        <f aca="false">Neu!$B8</f>
        <v>B31s</v>
      </c>
      <c r="H2" s="84" t="str">
        <f aca="false">Neu!$B9</f>
        <v>B31a</v>
      </c>
      <c r="I2" s="84" t="str">
        <f aca="false">Neu!$B10</f>
        <v>B34</v>
      </c>
      <c r="J2" s="84" t="str">
        <f aca="false">Neu!$B11</f>
        <v>B35</v>
      </c>
      <c r="K2" s="84" t="str">
        <f aca="false">Neu!$B12</f>
        <v>B40</v>
      </c>
      <c r="L2" s="84" t="str">
        <f aca="false">Neu!$B13</f>
        <v>B51s</v>
      </c>
      <c r="M2" s="84" t="str">
        <f aca="false">Neu!$B14</f>
        <v>B51a</v>
      </c>
      <c r="N2" s="84" t="str">
        <f aca="false">Neu!$B15</f>
        <v>B52</v>
      </c>
      <c r="O2" s="84" t="str">
        <f aca="false">Neu!$B16</f>
        <v>B63</v>
      </c>
      <c r="P2" s="84" t="str">
        <f aca="false">Neu!$B17</f>
        <v>B64s</v>
      </c>
      <c r="Q2" s="84" t="str">
        <f aca="false">Neu!$B18</f>
        <v>B64a</v>
      </c>
      <c r="R2" s="84" t="str">
        <f aca="false">Neu!$B19</f>
        <v>B65</v>
      </c>
      <c r="S2" s="84" t="str">
        <f aca="false">Neu!$B20</f>
        <v>CBI2</v>
      </c>
      <c r="T2" s="84" t="n">
        <f aca="false">Neu!$B21</f>
        <v>0</v>
      </c>
      <c r="U2" s="84" t="n">
        <f aca="false">Neu!$B22</f>
        <v>0</v>
      </c>
      <c r="V2" s="84" t="n">
        <f aca="false">Neu!$B23</f>
        <v>0</v>
      </c>
      <c r="W2" s="85" t="n">
        <f aca="false">Neu!$B24</f>
        <v>0</v>
      </c>
    </row>
    <row r="3" customFormat="false" ht="14.25" hidden="false" customHeight="true" outlineLevel="0" collapsed="false">
      <c r="A3" s="86" t="s">
        <v>187</v>
      </c>
      <c r="B3" s="47" t="str">
        <f aca="false">Neu!B4</f>
        <v>B4</v>
      </c>
      <c r="C3" s="119"/>
      <c r="D3" s="88" t="n">
        <v>-80</v>
      </c>
      <c r="E3" s="88"/>
      <c r="F3" s="88"/>
      <c r="G3" s="89" t="n">
        <v>0</v>
      </c>
      <c r="H3" s="88"/>
      <c r="I3" s="88"/>
      <c r="J3" s="88"/>
      <c r="K3" s="88"/>
      <c r="L3" s="88" t="n">
        <v>-100</v>
      </c>
      <c r="M3" s="88"/>
      <c r="N3" s="88" t="n">
        <v>-80</v>
      </c>
      <c r="O3" s="88"/>
      <c r="P3" s="88" t="n">
        <v>-80</v>
      </c>
      <c r="Q3" s="88"/>
      <c r="R3" s="88"/>
      <c r="S3" s="88"/>
      <c r="T3" s="88"/>
      <c r="U3" s="88"/>
      <c r="V3" s="88"/>
      <c r="W3" s="90"/>
      <c r="X3" s="91" t="s">
        <v>188</v>
      </c>
      <c r="Y3" s="120" t="s">
        <v>189</v>
      </c>
      <c r="Z3" s="92"/>
      <c r="AA3" s="92"/>
      <c r="AB3" s="92"/>
      <c r="AC3" s="92"/>
      <c r="AD3" s="92"/>
    </row>
    <row r="4" customFormat="false" ht="14.25" hidden="false" customHeight="true" outlineLevel="0" collapsed="false">
      <c r="A4" s="86"/>
      <c r="B4" s="47"/>
      <c r="C4" s="121"/>
      <c r="D4" s="105"/>
      <c r="E4" s="105"/>
      <c r="F4" s="105"/>
      <c r="G4" s="106"/>
      <c r="H4" s="105"/>
      <c r="I4" s="105"/>
      <c r="J4" s="105"/>
      <c r="K4" s="105"/>
      <c r="L4" s="105"/>
      <c r="M4" s="105"/>
      <c r="N4" s="105"/>
      <c r="O4" s="105"/>
      <c r="P4" s="105"/>
      <c r="Q4" s="105"/>
      <c r="R4" s="105"/>
      <c r="S4" s="105"/>
      <c r="T4" s="105"/>
      <c r="U4" s="105"/>
      <c r="V4" s="105"/>
      <c r="W4" s="107"/>
      <c r="X4" s="91" t="s">
        <v>190</v>
      </c>
      <c r="Y4" s="97" t="n">
        <f aca="false">MAX($C$3:$W$44)-(ROW(Y4)-4)*10</f>
        <v>20</v>
      </c>
      <c r="Z4" s="92"/>
      <c r="AA4" s="92"/>
      <c r="AB4" s="92"/>
      <c r="AC4" s="92"/>
      <c r="AD4" s="92"/>
    </row>
    <row r="5" customFormat="false" ht="14.25" hidden="false" customHeight="true" outlineLevel="0" collapsed="false">
      <c r="A5" s="86"/>
      <c r="B5" s="50" t="str">
        <f aca="false">Neu!B5</f>
        <v>B8</v>
      </c>
      <c r="C5" s="122"/>
      <c r="D5" s="99"/>
      <c r="E5" s="100"/>
      <c r="F5" s="100"/>
      <c r="G5" s="101"/>
      <c r="H5" s="100"/>
      <c r="I5" s="100"/>
      <c r="J5" s="100"/>
      <c r="K5" s="100"/>
      <c r="L5" s="100"/>
      <c r="M5" s="100"/>
      <c r="N5" s="100"/>
      <c r="O5" s="100"/>
      <c r="P5" s="100"/>
      <c r="Q5" s="100"/>
      <c r="R5" s="100"/>
      <c r="S5" s="100"/>
      <c r="T5" s="100"/>
      <c r="U5" s="100"/>
      <c r="V5" s="100"/>
      <c r="W5" s="102"/>
      <c r="X5" s="92"/>
      <c r="Y5" s="97" t="n">
        <f aca="false">MAX($C$3:$W$44)-(ROW(Y5)-4)*10</f>
        <v>10</v>
      </c>
      <c r="Z5" s="92"/>
      <c r="AA5" s="92"/>
      <c r="AB5" s="92"/>
      <c r="AC5" s="92"/>
      <c r="AD5" s="92"/>
    </row>
    <row r="6" customFormat="false" ht="14.25" hidden="false" customHeight="true" outlineLevel="0" collapsed="false">
      <c r="A6" s="86"/>
      <c r="B6" s="50"/>
      <c r="C6" s="123"/>
      <c r="D6" s="104"/>
      <c r="E6" s="105"/>
      <c r="F6" s="105"/>
      <c r="G6" s="106"/>
      <c r="H6" s="105"/>
      <c r="I6" s="105"/>
      <c r="J6" s="105"/>
      <c r="K6" s="105"/>
      <c r="L6" s="105"/>
      <c r="M6" s="105"/>
      <c r="N6" s="105"/>
      <c r="O6" s="105"/>
      <c r="P6" s="105"/>
      <c r="Q6" s="105"/>
      <c r="R6" s="105"/>
      <c r="S6" s="105"/>
      <c r="T6" s="105"/>
      <c r="U6" s="105"/>
      <c r="V6" s="105"/>
      <c r="W6" s="107"/>
      <c r="X6" s="92"/>
      <c r="Y6" s="97" t="n">
        <f aca="false">MAX($C$3:$W$44)-(ROW(Y6)-4)*10</f>
        <v>0</v>
      </c>
      <c r="Z6" s="92"/>
      <c r="AA6" s="92"/>
      <c r="AB6" s="92"/>
      <c r="AC6" s="92"/>
      <c r="AD6" s="92"/>
    </row>
    <row r="7" customFormat="false" ht="14.25" hidden="false" customHeight="true" outlineLevel="0" collapsed="false">
      <c r="A7" s="86"/>
      <c r="B7" s="50" t="str">
        <f aca="false">Neu!B6</f>
        <v>B20</v>
      </c>
      <c r="C7" s="122" t="n">
        <v>0</v>
      </c>
      <c r="D7" s="100" t="n">
        <v>0</v>
      </c>
      <c r="E7" s="99"/>
      <c r="F7" s="100"/>
      <c r="G7" s="101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100"/>
      <c r="S7" s="100"/>
      <c r="T7" s="100"/>
      <c r="U7" s="100"/>
      <c r="V7" s="100"/>
      <c r="W7" s="102"/>
      <c r="X7" s="92"/>
      <c r="Y7" s="97" t="n">
        <f aca="false">MAX($C$3:$W$44)-(ROW(Y7)-4)*10</f>
        <v>-10</v>
      </c>
      <c r="Z7" s="92"/>
      <c r="AA7" s="92"/>
      <c r="AB7" s="92"/>
      <c r="AC7" s="92"/>
      <c r="AD7" s="92"/>
    </row>
    <row r="8" customFormat="false" ht="14.25" hidden="false" customHeight="true" outlineLevel="0" collapsed="false">
      <c r="A8" s="86"/>
      <c r="B8" s="50"/>
      <c r="C8" s="123" t="n">
        <v>0</v>
      </c>
      <c r="D8" s="105" t="n">
        <v>0</v>
      </c>
      <c r="E8" s="104"/>
      <c r="F8" s="105"/>
      <c r="G8" s="106"/>
      <c r="H8" s="105"/>
      <c r="I8" s="105"/>
      <c r="J8" s="105"/>
      <c r="K8" s="105"/>
      <c r="L8" s="105"/>
      <c r="M8" s="105"/>
      <c r="N8" s="105"/>
      <c r="O8" s="105"/>
      <c r="P8" s="105"/>
      <c r="Q8" s="105"/>
      <c r="R8" s="105"/>
      <c r="S8" s="105"/>
      <c r="T8" s="105"/>
      <c r="U8" s="105"/>
      <c r="V8" s="105"/>
      <c r="W8" s="107"/>
      <c r="X8" s="92"/>
      <c r="Y8" s="97" t="n">
        <f aca="false">MAX($C$3:$W$44)-(ROW(Y8)-4)*10</f>
        <v>-20</v>
      </c>
      <c r="Z8" s="92"/>
      <c r="AA8" s="92"/>
      <c r="AB8" s="92"/>
      <c r="AC8" s="92"/>
      <c r="AD8" s="92"/>
    </row>
    <row r="9" customFormat="false" ht="14.25" hidden="false" customHeight="true" outlineLevel="0" collapsed="false">
      <c r="A9" s="86"/>
      <c r="B9" s="50" t="str">
        <f aca="false">Neu!B7</f>
        <v>B30</v>
      </c>
      <c r="C9" s="122"/>
      <c r="D9" s="100" t="n">
        <v>-70</v>
      </c>
      <c r="E9" s="100"/>
      <c r="F9" s="99"/>
      <c r="G9" s="101" t="n">
        <v>0</v>
      </c>
      <c r="H9" s="100"/>
      <c r="I9" s="100"/>
      <c r="J9" s="100"/>
      <c r="K9" s="100"/>
      <c r="L9" s="100"/>
      <c r="M9" s="100"/>
      <c r="N9" s="100"/>
      <c r="O9" s="100" t="n">
        <v>0</v>
      </c>
      <c r="P9" s="100" t="n">
        <v>-80</v>
      </c>
      <c r="Q9" s="100"/>
      <c r="R9" s="100"/>
      <c r="S9" s="100"/>
      <c r="T9" s="100"/>
      <c r="U9" s="100"/>
      <c r="V9" s="100"/>
      <c r="W9" s="102"/>
      <c r="X9" s="92"/>
      <c r="Y9" s="97" t="n">
        <f aca="false">MAX($C$3:$W$44)-(ROW(Y9)-4)*10</f>
        <v>-30</v>
      </c>
      <c r="Z9" s="92"/>
      <c r="AA9" s="92"/>
      <c r="AB9" s="92"/>
      <c r="AC9" s="92"/>
      <c r="AD9" s="92"/>
    </row>
    <row r="10" customFormat="false" ht="14.25" hidden="false" customHeight="true" outlineLevel="0" collapsed="false">
      <c r="A10" s="86"/>
      <c r="B10" s="50"/>
      <c r="C10" s="123"/>
      <c r="D10" s="105" t="n">
        <v>0</v>
      </c>
      <c r="E10" s="105"/>
      <c r="F10" s="104"/>
      <c r="G10" s="106"/>
      <c r="H10" s="105"/>
      <c r="I10" s="105"/>
      <c r="J10" s="105"/>
      <c r="K10" s="105"/>
      <c r="L10" s="105"/>
      <c r="M10" s="105"/>
      <c r="N10" s="105"/>
      <c r="O10" s="105"/>
      <c r="P10" s="105" t="n">
        <v>0</v>
      </c>
      <c r="Q10" s="105"/>
      <c r="R10" s="105"/>
      <c r="S10" s="105"/>
      <c r="T10" s="105"/>
      <c r="U10" s="105"/>
      <c r="V10" s="105"/>
      <c r="W10" s="107"/>
      <c r="X10" s="92"/>
      <c r="Y10" s="97" t="n">
        <f aca="false">MAX($C$3:$W$44)-(ROW(Y10)-4)*10</f>
        <v>-40</v>
      </c>
      <c r="Z10" s="92"/>
      <c r="AA10" s="92"/>
      <c r="AB10" s="92"/>
      <c r="AC10" s="92"/>
      <c r="AD10" s="92"/>
    </row>
    <row r="11" customFormat="false" ht="14.25" hidden="false" customHeight="true" outlineLevel="0" collapsed="false">
      <c r="A11" s="86"/>
      <c r="B11" s="50" t="str">
        <f aca="false">Neu!B8</f>
        <v>B31s</v>
      </c>
      <c r="C11" s="122"/>
      <c r="D11" s="100"/>
      <c r="E11" s="100"/>
      <c r="F11" s="100"/>
      <c r="G11" s="108"/>
      <c r="H11" s="100"/>
      <c r="I11" s="100"/>
      <c r="J11" s="100"/>
      <c r="K11" s="100"/>
      <c r="L11" s="100"/>
      <c r="M11" s="100"/>
      <c r="N11" s="100"/>
      <c r="O11" s="100"/>
      <c r="P11" s="100"/>
      <c r="Q11" s="100"/>
      <c r="R11" s="100"/>
      <c r="S11" s="100"/>
      <c r="T11" s="100"/>
      <c r="U11" s="100"/>
      <c r="V11" s="100"/>
      <c r="W11" s="102"/>
      <c r="X11" s="92"/>
      <c r="Y11" s="97" t="n">
        <f aca="false">MAX($C$3:$W$44)-(ROW(Y11)-4)*10</f>
        <v>-50</v>
      </c>
      <c r="Z11" s="92"/>
      <c r="AA11" s="92"/>
      <c r="AB11" s="92"/>
      <c r="AC11" s="92"/>
      <c r="AD11" s="92"/>
    </row>
    <row r="12" customFormat="false" ht="14.25" hidden="false" customHeight="true" outlineLevel="0" collapsed="false">
      <c r="A12" s="86"/>
      <c r="B12" s="50"/>
      <c r="C12" s="124"/>
      <c r="D12" s="94"/>
      <c r="E12" s="94"/>
      <c r="F12" s="94"/>
      <c r="G12" s="110"/>
      <c r="H12" s="94"/>
      <c r="I12" s="94"/>
      <c r="J12" s="94"/>
      <c r="K12" s="94"/>
      <c r="L12" s="94"/>
      <c r="M12" s="94"/>
      <c r="N12" s="94"/>
      <c r="O12" s="94"/>
      <c r="P12" s="94"/>
      <c r="Q12" s="94"/>
      <c r="R12" s="94"/>
      <c r="S12" s="94"/>
      <c r="T12" s="94"/>
      <c r="U12" s="94"/>
      <c r="V12" s="94"/>
      <c r="W12" s="96"/>
      <c r="X12" s="92"/>
      <c r="Y12" s="97" t="n">
        <f aca="false">MAX($C$3:$W$44)-(ROW(Y12)-4)*10</f>
        <v>-60</v>
      </c>
      <c r="Z12" s="92"/>
      <c r="AA12" s="92"/>
      <c r="AB12" s="92"/>
      <c r="AC12" s="92"/>
      <c r="AD12" s="92"/>
    </row>
    <row r="13" customFormat="false" ht="14.25" hidden="false" customHeight="true" outlineLevel="0" collapsed="false">
      <c r="A13" s="86"/>
      <c r="B13" s="50" t="str">
        <f aca="false">Neu!B9</f>
        <v>B31a</v>
      </c>
      <c r="C13" s="122"/>
      <c r="D13" s="100"/>
      <c r="E13" s="100"/>
      <c r="F13" s="100"/>
      <c r="G13" s="101"/>
      <c r="H13" s="99"/>
      <c r="I13" s="100"/>
      <c r="J13" s="100"/>
      <c r="K13" s="100"/>
      <c r="L13" s="100"/>
      <c r="M13" s="100"/>
      <c r="N13" s="100"/>
      <c r="O13" s="100"/>
      <c r="P13" s="100" t="n">
        <v>-80</v>
      </c>
      <c r="Q13" s="100"/>
      <c r="R13" s="100"/>
      <c r="S13" s="100"/>
      <c r="T13" s="100"/>
      <c r="U13" s="100"/>
      <c r="V13" s="100"/>
      <c r="W13" s="102"/>
      <c r="X13" s="92"/>
      <c r="Y13" s="97" t="n">
        <f aca="false">MAX($C$3:$W$44)-(ROW(Y13)-4)*10</f>
        <v>-70</v>
      </c>
      <c r="Z13" s="92"/>
      <c r="AA13" s="92"/>
      <c r="AB13" s="92"/>
      <c r="AC13" s="92"/>
      <c r="AD13" s="92"/>
    </row>
    <row r="14" customFormat="false" ht="14.25" hidden="false" customHeight="true" outlineLevel="0" collapsed="false">
      <c r="A14" s="86"/>
      <c r="B14" s="50"/>
      <c r="C14" s="123"/>
      <c r="D14" s="105"/>
      <c r="E14" s="105"/>
      <c r="F14" s="105"/>
      <c r="G14" s="106" t="n">
        <v>0</v>
      </c>
      <c r="H14" s="104"/>
      <c r="I14" s="105"/>
      <c r="J14" s="105"/>
      <c r="K14" s="105"/>
      <c r="L14" s="105"/>
      <c r="M14" s="105"/>
      <c r="N14" s="105"/>
      <c r="O14" s="105"/>
      <c r="P14" s="105"/>
      <c r="Q14" s="105"/>
      <c r="R14" s="105"/>
      <c r="S14" s="105"/>
      <c r="T14" s="105"/>
      <c r="U14" s="105"/>
      <c r="V14" s="105"/>
      <c r="W14" s="107"/>
      <c r="X14" s="92"/>
      <c r="Y14" s="97" t="n">
        <f aca="false">MAX($C$3:$W$44)-(ROW(Y14)-4)*10</f>
        <v>-80</v>
      </c>
      <c r="Z14" s="92"/>
      <c r="AA14" s="92"/>
      <c r="AB14" s="92"/>
      <c r="AC14" s="92"/>
      <c r="AD14" s="92"/>
    </row>
    <row r="15" customFormat="false" ht="14.25" hidden="false" customHeight="true" outlineLevel="0" collapsed="false">
      <c r="A15" s="86"/>
      <c r="B15" s="50" t="str">
        <f aca="false">Neu!B10</f>
        <v>B34</v>
      </c>
      <c r="C15" s="122"/>
      <c r="D15" s="100" t="n">
        <v>-80</v>
      </c>
      <c r="E15" s="100" t="n">
        <v>0</v>
      </c>
      <c r="F15" s="100"/>
      <c r="G15" s="101" t="n">
        <v>0</v>
      </c>
      <c r="H15" s="100"/>
      <c r="I15" s="99"/>
      <c r="J15" s="100"/>
      <c r="K15" s="100"/>
      <c r="L15" s="100"/>
      <c r="M15" s="100"/>
      <c r="N15" s="100"/>
      <c r="O15" s="100" t="n">
        <v>0</v>
      </c>
      <c r="P15" s="100" t="n">
        <v>-80</v>
      </c>
      <c r="Q15" s="100"/>
      <c r="R15" s="100"/>
      <c r="S15" s="100"/>
      <c r="T15" s="100"/>
      <c r="U15" s="100"/>
      <c r="V15" s="100"/>
      <c r="W15" s="102"/>
      <c r="X15" s="92"/>
      <c r="Y15" s="97" t="n">
        <f aca="false">MAX($C$3:$W$44)-(ROW(Y15)-4)*10</f>
        <v>-90</v>
      </c>
      <c r="Z15" s="92"/>
      <c r="AA15" s="92"/>
      <c r="AB15" s="92"/>
      <c r="AC15" s="92"/>
      <c r="AD15" s="92"/>
    </row>
    <row r="16" customFormat="false" ht="14.25" hidden="false" customHeight="true" outlineLevel="0" collapsed="false">
      <c r="A16" s="86"/>
      <c r="B16" s="50"/>
      <c r="C16" s="123"/>
      <c r="D16" s="105" t="n">
        <v>-65</v>
      </c>
      <c r="E16" s="105"/>
      <c r="F16" s="105"/>
      <c r="G16" s="106" t="n">
        <v>0</v>
      </c>
      <c r="H16" s="105"/>
      <c r="I16" s="104"/>
      <c r="J16" s="105"/>
      <c r="K16" s="105"/>
      <c r="L16" s="105"/>
      <c r="M16" s="105"/>
      <c r="N16" s="105"/>
      <c r="O16" s="105"/>
      <c r="P16" s="105"/>
      <c r="Q16" s="105"/>
      <c r="R16" s="105"/>
      <c r="S16" s="105"/>
      <c r="T16" s="105"/>
      <c r="U16" s="105"/>
      <c r="V16" s="105"/>
      <c r="W16" s="107"/>
      <c r="X16" s="92"/>
      <c r="Y16" s="97" t="n">
        <f aca="false">MAX($C$3:$W$44)-(ROW(Y16)-4)*10</f>
        <v>-100</v>
      </c>
      <c r="Z16" s="92"/>
      <c r="AA16" s="92"/>
      <c r="AB16" s="92"/>
      <c r="AC16" s="92"/>
      <c r="AD16" s="92"/>
    </row>
    <row r="17" customFormat="false" ht="14.25" hidden="false" customHeight="true" outlineLevel="0" collapsed="false">
      <c r="A17" s="86"/>
      <c r="B17" s="50" t="str">
        <f aca="false">Neu!B11</f>
        <v>B35</v>
      </c>
      <c r="C17" s="122" t="n">
        <v>-10</v>
      </c>
      <c r="D17" s="100"/>
      <c r="E17" s="100"/>
      <c r="F17" s="100"/>
      <c r="G17" s="101"/>
      <c r="H17" s="100"/>
      <c r="I17" s="100"/>
      <c r="J17" s="99"/>
      <c r="K17" s="100"/>
      <c r="L17" s="100"/>
      <c r="M17" s="100" t="n">
        <v>-70</v>
      </c>
      <c r="N17" s="100" t="n">
        <v>0</v>
      </c>
      <c r="O17" s="100"/>
      <c r="P17" s="100"/>
      <c r="Q17" s="100"/>
      <c r="R17" s="100"/>
      <c r="S17" s="100"/>
      <c r="T17" s="100"/>
      <c r="U17" s="100"/>
      <c r="V17" s="100"/>
      <c r="W17" s="102"/>
      <c r="X17" s="92"/>
      <c r="Y17" s="97" t="n">
        <f aca="false">MAX($C$3:$W$44)-(ROW(Y17)-4)*10</f>
        <v>-110</v>
      </c>
      <c r="Z17" s="92"/>
      <c r="AA17" s="92"/>
      <c r="AB17" s="92"/>
      <c r="AC17" s="92"/>
      <c r="AD17" s="92"/>
    </row>
    <row r="18" customFormat="false" ht="14.25" hidden="false" customHeight="true" outlineLevel="0" collapsed="false">
      <c r="A18" s="86"/>
      <c r="B18" s="50"/>
      <c r="C18" s="123" t="n">
        <v>20</v>
      </c>
      <c r="D18" s="105"/>
      <c r="E18" s="105"/>
      <c r="F18" s="105"/>
      <c r="G18" s="106"/>
      <c r="H18" s="105"/>
      <c r="I18" s="105"/>
      <c r="J18" s="104"/>
      <c r="K18" s="105"/>
      <c r="L18" s="105"/>
      <c r="M18" s="105"/>
      <c r="N18" s="105" t="n">
        <v>0</v>
      </c>
      <c r="O18" s="105"/>
      <c r="P18" s="105"/>
      <c r="Q18" s="105"/>
      <c r="R18" s="105"/>
      <c r="S18" s="105"/>
      <c r="T18" s="105"/>
      <c r="U18" s="105"/>
      <c r="V18" s="105"/>
      <c r="W18" s="107"/>
      <c r="X18" s="92"/>
      <c r="Y18" s="97" t="n">
        <f aca="false">MAX($C$3:$W$44)-(ROW(Y18)-4)*10</f>
        <v>-120</v>
      </c>
      <c r="Z18" s="92"/>
      <c r="AA18" s="92"/>
      <c r="AB18" s="92"/>
      <c r="AC18" s="92"/>
      <c r="AD18" s="92"/>
    </row>
    <row r="19" customFormat="false" ht="14.25" hidden="false" customHeight="true" outlineLevel="0" collapsed="false">
      <c r="A19" s="86"/>
      <c r="B19" s="50" t="str">
        <f aca="false">Neu!B12</f>
        <v>B40</v>
      </c>
      <c r="C19" s="122"/>
      <c r="D19" s="100" t="n">
        <v>-75</v>
      </c>
      <c r="E19" s="100"/>
      <c r="F19" s="100"/>
      <c r="G19" s="101" t="n">
        <v>-55</v>
      </c>
      <c r="H19" s="100"/>
      <c r="I19" s="100"/>
      <c r="J19" s="100"/>
      <c r="K19" s="99"/>
      <c r="L19" s="100"/>
      <c r="M19" s="100"/>
      <c r="N19" s="100"/>
      <c r="O19" s="100"/>
      <c r="P19" s="100" t="n">
        <v>-65</v>
      </c>
      <c r="Q19" s="100"/>
      <c r="R19" s="100"/>
      <c r="S19" s="100"/>
      <c r="T19" s="100"/>
      <c r="U19" s="100"/>
      <c r="V19" s="100"/>
      <c r="W19" s="102"/>
      <c r="X19" s="92"/>
      <c r="Y19" s="97" t="n">
        <f aca="false">MAX($C$3:$W$44)-(ROW(Y19)-4)*10</f>
        <v>-130</v>
      </c>
      <c r="Z19" s="92"/>
      <c r="AA19" s="92"/>
      <c r="AB19" s="92"/>
      <c r="AC19" s="92"/>
      <c r="AD19" s="92"/>
    </row>
    <row r="20" customFormat="false" ht="14.25" hidden="false" customHeight="true" outlineLevel="0" collapsed="false">
      <c r="A20" s="86"/>
      <c r="B20" s="50"/>
      <c r="C20" s="123"/>
      <c r="D20" s="105" t="n">
        <v>-64</v>
      </c>
      <c r="E20" s="105"/>
      <c r="F20" s="105"/>
      <c r="G20" s="106"/>
      <c r="H20" s="105"/>
      <c r="I20" s="105"/>
      <c r="J20" s="105"/>
      <c r="K20" s="104"/>
      <c r="L20" s="105"/>
      <c r="M20" s="105"/>
      <c r="N20" s="105"/>
      <c r="O20" s="105"/>
      <c r="P20" s="105"/>
      <c r="Q20" s="105"/>
      <c r="R20" s="105"/>
      <c r="S20" s="105"/>
      <c r="T20" s="105"/>
      <c r="U20" s="105"/>
      <c r="V20" s="105"/>
      <c r="W20" s="107"/>
      <c r="X20" s="92"/>
      <c r="Y20" s="97" t="n">
        <f aca="false">MAX($C$3:$W$44)-(ROW(Y20)-4)*10</f>
        <v>-140</v>
      </c>
      <c r="Z20" s="92"/>
      <c r="AA20" s="92"/>
      <c r="AB20" s="92"/>
      <c r="AC20" s="92"/>
      <c r="AD20" s="92"/>
    </row>
    <row r="21" customFormat="false" ht="14.25" hidden="false" customHeight="true" outlineLevel="0" collapsed="false">
      <c r="A21" s="86"/>
      <c r="B21" s="50" t="str">
        <f aca="false">Neu!B13</f>
        <v>B51s</v>
      </c>
      <c r="C21" s="122"/>
      <c r="D21" s="100"/>
      <c r="E21" s="100"/>
      <c r="F21" s="100"/>
      <c r="G21" s="101"/>
      <c r="H21" s="100"/>
      <c r="I21" s="100"/>
      <c r="J21" s="100"/>
      <c r="K21" s="100"/>
      <c r="L21" s="99"/>
      <c r="M21" s="100"/>
      <c r="N21" s="100"/>
      <c r="O21" s="100"/>
      <c r="P21" s="100"/>
      <c r="Q21" s="100"/>
      <c r="R21" s="100"/>
      <c r="S21" s="100"/>
      <c r="T21" s="100"/>
      <c r="U21" s="100"/>
      <c r="V21" s="100"/>
      <c r="W21" s="102"/>
      <c r="X21" s="92"/>
      <c r="Y21" s="97" t="n">
        <f aca="false">MAX($C$3:$W$44)-(ROW(Y21)-4)*10</f>
        <v>-150</v>
      </c>
      <c r="Z21" s="92"/>
      <c r="AA21" s="92"/>
      <c r="AB21" s="92"/>
      <c r="AC21" s="92"/>
      <c r="AD21" s="92"/>
    </row>
    <row r="22" customFormat="false" ht="14.25" hidden="false" customHeight="true" outlineLevel="0" collapsed="false">
      <c r="A22" s="86"/>
      <c r="B22" s="50"/>
      <c r="C22" s="123"/>
      <c r="D22" s="105"/>
      <c r="E22" s="105"/>
      <c r="F22" s="105"/>
      <c r="G22" s="106"/>
      <c r="H22" s="105"/>
      <c r="I22" s="105"/>
      <c r="J22" s="105"/>
      <c r="K22" s="105"/>
      <c r="L22" s="104"/>
      <c r="M22" s="105"/>
      <c r="N22" s="105"/>
      <c r="O22" s="105"/>
      <c r="P22" s="105"/>
      <c r="Q22" s="105"/>
      <c r="R22" s="105"/>
      <c r="S22" s="105"/>
      <c r="T22" s="105"/>
      <c r="U22" s="105"/>
      <c r="V22" s="105"/>
      <c r="W22" s="107"/>
      <c r="X22" s="92"/>
      <c r="Y22" s="97" t="n">
        <f aca="false">MAX($C$3:$W$44)-(ROW(Y22)-4)*10</f>
        <v>-160</v>
      </c>
      <c r="Z22" s="92"/>
      <c r="AA22" s="92"/>
      <c r="AB22" s="92"/>
      <c r="AC22" s="92"/>
      <c r="AD22" s="92"/>
    </row>
    <row r="23" customFormat="false" ht="14.25" hidden="false" customHeight="true" outlineLevel="0" collapsed="false">
      <c r="A23" s="86"/>
      <c r="B23" s="50" t="str">
        <f aca="false">Neu!B14</f>
        <v>B51a</v>
      </c>
      <c r="C23" s="122"/>
      <c r="D23" s="100" t="n">
        <v>0</v>
      </c>
      <c r="E23" s="100"/>
      <c r="F23" s="100"/>
      <c r="G23" s="101"/>
      <c r="H23" s="100"/>
      <c r="I23" s="100"/>
      <c r="J23" s="100"/>
      <c r="K23" s="100"/>
      <c r="L23" s="100"/>
      <c r="M23" s="99"/>
      <c r="N23" s="100" t="n">
        <v>-85</v>
      </c>
      <c r="O23" s="100"/>
      <c r="P23" s="100" t="n">
        <v>0</v>
      </c>
      <c r="Q23" s="100"/>
      <c r="R23" s="100"/>
      <c r="S23" s="100"/>
      <c r="T23" s="100"/>
      <c r="U23" s="100"/>
      <c r="V23" s="100"/>
      <c r="W23" s="102"/>
      <c r="X23" s="92"/>
      <c r="Y23" s="97" t="n">
        <f aca="false">MAX($C$3:$W$44)-(ROW(Y23)-4)*10</f>
        <v>-170</v>
      </c>
      <c r="Z23" s="92"/>
      <c r="AA23" s="92"/>
      <c r="AB23" s="92"/>
      <c r="AC23" s="92"/>
      <c r="AD23" s="92"/>
    </row>
    <row r="24" customFormat="false" ht="14.25" hidden="false" customHeight="true" outlineLevel="0" collapsed="false">
      <c r="A24" s="86"/>
      <c r="B24" s="50"/>
      <c r="C24" s="124"/>
      <c r="D24" s="94"/>
      <c r="E24" s="94"/>
      <c r="F24" s="94"/>
      <c r="G24" s="95"/>
      <c r="H24" s="94"/>
      <c r="I24" s="94"/>
      <c r="J24" s="94"/>
      <c r="K24" s="94"/>
      <c r="L24" s="94"/>
      <c r="M24" s="111"/>
      <c r="N24" s="94"/>
      <c r="O24" s="94"/>
      <c r="P24" s="94"/>
      <c r="Q24" s="94"/>
      <c r="R24" s="94"/>
      <c r="S24" s="94"/>
      <c r="T24" s="94"/>
      <c r="U24" s="94"/>
      <c r="V24" s="94"/>
      <c r="W24" s="96"/>
      <c r="X24" s="92"/>
      <c r="Y24" s="97" t="n">
        <f aca="false">MAX($C$3:$W$44)-(ROW(Y24)-4)*10</f>
        <v>-180</v>
      </c>
      <c r="Z24" s="92"/>
      <c r="AA24" s="92"/>
      <c r="AB24" s="92"/>
      <c r="AC24" s="92"/>
      <c r="AD24" s="92"/>
    </row>
    <row r="25" customFormat="false" ht="14.25" hidden="false" customHeight="true" outlineLevel="0" collapsed="false">
      <c r="A25" s="86"/>
      <c r="B25" s="50" t="str">
        <f aca="false">Neu!B15</f>
        <v>B52</v>
      </c>
      <c r="C25" s="122"/>
      <c r="D25" s="100" t="n">
        <v>-80</v>
      </c>
      <c r="E25" s="100"/>
      <c r="F25" s="100"/>
      <c r="G25" s="101"/>
      <c r="H25" s="100"/>
      <c r="I25" s="100"/>
      <c r="J25" s="100"/>
      <c r="K25" s="100"/>
      <c r="L25" s="100" t="n">
        <v>-80</v>
      </c>
      <c r="M25" s="100"/>
      <c r="N25" s="99"/>
      <c r="O25" s="100"/>
      <c r="P25" s="100" t="n">
        <v>-80</v>
      </c>
      <c r="Q25" s="100"/>
      <c r="R25" s="100"/>
      <c r="S25" s="100"/>
      <c r="T25" s="100"/>
      <c r="U25" s="100"/>
      <c r="V25" s="100"/>
      <c r="W25" s="102"/>
      <c r="X25" s="92"/>
      <c r="Y25" s="97" t="n">
        <f aca="false">MAX($C$3:$W$44)-(ROW(Y25)-4)*10</f>
        <v>-190</v>
      </c>
      <c r="Z25" s="92"/>
      <c r="AA25" s="92"/>
      <c r="AB25" s="92"/>
      <c r="AC25" s="92"/>
      <c r="AD25" s="92"/>
    </row>
    <row r="26" customFormat="false" ht="14.25" hidden="false" customHeight="true" outlineLevel="0" collapsed="false">
      <c r="A26" s="86"/>
      <c r="B26" s="50"/>
      <c r="C26" s="123"/>
      <c r="D26" s="105"/>
      <c r="E26" s="105"/>
      <c r="F26" s="105"/>
      <c r="G26" s="106"/>
      <c r="H26" s="105"/>
      <c r="I26" s="105"/>
      <c r="J26" s="105"/>
      <c r="K26" s="105"/>
      <c r="L26" s="105" t="n">
        <v>-80</v>
      </c>
      <c r="M26" s="105"/>
      <c r="N26" s="104"/>
      <c r="O26" s="105"/>
      <c r="P26" s="105"/>
      <c r="Q26" s="105"/>
      <c r="R26" s="105"/>
      <c r="S26" s="105"/>
      <c r="T26" s="105"/>
      <c r="U26" s="105"/>
      <c r="V26" s="105"/>
      <c r="W26" s="107"/>
      <c r="X26" s="92"/>
      <c r="Y26" s="97" t="n">
        <f aca="false">MAX($C$3:$W$44)-(ROW(Y26)-4)*10</f>
        <v>-200</v>
      </c>
      <c r="Z26" s="92"/>
      <c r="AA26" s="92"/>
      <c r="AB26" s="92"/>
      <c r="AC26" s="92"/>
      <c r="AD26" s="92"/>
    </row>
    <row r="27" customFormat="false" ht="14.25" hidden="false" customHeight="true" outlineLevel="0" collapsed="false">
      <c r="A27" s="86"/>
      <c r="B27" s="50" t="str">
        <f aca="false">Neu!B16</f>
        <v>B63</v>
      </c>
      <c r="C27" s="122"/>
      <c r="D27" s="100" t="n">
        <v>-80</v>
      </c>
      <c r="E27" s="100" t="n">
        <v>0</v>
      </c>
      <c r="F27" s="100"/>
      <c r="G27" s="101" t="n">
        <v>0</v>
      </c>
      <c r="H27" s="100" t="n">
        <v>0</v>
      </c>
      <c r="I27" s="100" t="n">
        <v>0</v>
      </c>
      <c r="J27" s="100"/>
      <c r="K27" s="100"/>
      <c r="L27" s="100"/>
      <c r="M27" s="100"/>
      <c r="N27" s="100"/>
      <c r="O27" s="99"/>
      <c r="P27" s="100" t="n">
        <v>-80</v>
      </c>
      <c r="Q27" s="100"/>
      <c r="R27" s="100"/>
      <c r="S27" s="100"/>
      <c r="T27" s="100"/>
      <c r="U27" s="100"/>
      <c r="V27" s="100"/>
      <c r="W27" s="102"/>
      <c r="X27" s="92"/>
      <c r="Y27" s="97" t="n">
        <f aca="false">MAX($C$3:$W$44)-(ROW(Y27)-4)*10</f>
        <v>-210</v>
      </c>
      <c r="Z27" s="92"/>
      <c r="AA27" s="92"/>
      <c r="AB27" s="92"/>
      <c r="AC27" s="92"/>
      <c r="AD27" s="92"/>
    </row>
    <row r="28" customFormat="false" ht="14.25" hidden="false" customHeight="true" outlineLevel="0" collapsed="false">
      <c r="A28" s="86"/>
      <c r="B28" s="50"/>
      <c r="C28" s="123"/>
      <c r="D28" s="105"/>
      <c r="E28" s="105" t="n">
        <v>0</v>
      </c>
      <c r="F28" s="105"/>
      <c r="G28" s="106" t="n">
        <v>0</v>
      </c>
      <c r="H28" s="105"/>
      <c r="I28" s="105"/>
      <c r="J28" s="105"/>
      <c r="K28" s="105"/>
      <c r="L28" s="105"/>
      <c r="M28" s="105"/>
      <c r="N28" s="105"/>
      <c r="O28" s="104"/>
      <c r="P28" s="105" t="n">
        <v>0</v>
      </c>
      <c r="Q28" s="105"/>
      <c r="R28" s="105" t="n">
        <v>0</v>
      </c>
      <c r="S28" s="105"/>
      <c r="T28" s="105"/>
      <c r="U28" s="105"/>
      <c r="V28" s="105"/>
      <c r="W28" s="107"/>
      <c r="X28" s="92"/>
      <c r="Y28" s="97" t="n">
        <f aca="false">MAX($C$3:$W$44)-(ROW(Y28)-4)*10</f>
        <v>-220</v>
      </c>
      <c r="Z28" s="92"/>
      <c r="AA28" s="92"/>
      <c r="AB28" s="92"/>
      <c r="AC28" s="92"/>
      <c r="AD28" s="92"/>
    </row>
    <row r="29" customFormat="false" ht="14.25" hidden="false" customHeight="true" outlineLevel="0" collapsed="false">
      <c r="A29" s="86"/>
      <c r="B29" s="50" t="str">
        <f aca="false">Neu!B17</f>
        <v>B64s</v>
      </c>
      <c r="C29" s="122"/>
      <c r="D29" s="100"/>
      <c r="E29" s="100"/>
      <c r="F29" s="100"/>
      <c r="G29" s="101"/>
      <c r="H29" s="100"/>
      <c r="I29" s="100"/>
      <c r="J29" s="100"/>
      <c r="K29" s="100"/>
      <c r="L29" s="100"/>
      <c r="M29" s="100"/>
      <c r="N29" s="100"/>
      <c r="O29" s="100"/>
      <c r="P29" s="99"/>
      <c r="Q29" s="100"/>
      <c r="R29" s="100"/>
      <c r="S29" s="100"/>
      <c r="T29" s="100"/>
      <c r="U29" s="100"/>
      <c r="V29" s="100"/>
      <c r="W29" s="102"/>
      <c r="X29" s="92"/>
      <c r="Y29" s="97" t="n">
        <f aca="false">MAX($C$3:$W$44)-(ROW(Y29)-4)*10</f>
        <v>-230</v>
      </c>
      <c r="Z29" s="92"/>
      <c r="AA29" s="92"/>
      <c r="AB29" s="92"/>
      <c r="AC29" s="92"/>
      <c r="AD29" s="92"/>
    </row>
    <row r="30" customFormat="false" ht="14.25" hidden="false" customHeight="true" outlineLevel="0" collapsed="false">
      <c r="A30" s="86"/>
      <c r="B30" s="50"/>
      <c r="C30" s="123"/>
      <c r="D30" s="105"/>
      <c r="E30" s="105"/>
      <c r="F30" s="105"/>
      <c r="G30" s="106"/>
      <c r="H30" s="105"/>
      <c r="I30" s="105"/>
      <c r="J30" s="105"/>
      <c r="K30" s="105"/>
      <c r="L30" s="105"/>
      <c r="M30" s="105"/>
      <c r="N30" s="105"/>
      <c r="O30" s="105"/>
      <c r="P30" s="104"/>
      <c r="Q30" s="105"/>
      <c r="R30" s="105"/>
      <c r="S30" s="105"/>
      <c r="T30" s="105"/>
      <c r="U30" s="105"/>
      <c r="V30" s="105"/>
      <c r="W30" s="107"/>
      <c r="X30" s="92"/>
      <c r="Y30" s="97" t="n">
        <f aca="false">MAX($C$3:$W$44)-(ROW(Y30)-4)*10</f>
        <v>-240</v>
      </c>
      <c r="Z30" s="92"/>
      <c r="AA30" s="92"/>
      <c r="AB30" s="92"/>
      <c r="AC30" s="92"/>
      <c r="AD30" s="92"/>
    </row>
    <row r="31" customFormat="false" ht="14.25" hidden="false" customHeight="true" outlineLevel="0" collapsed="false">
      <c r="A31" s="86"/>
      <c r="B31" s="50" t="str">
        <f aca="false">Neu!B18</f>
        <v>B64a</v>
      </c>
      <c r="C31" s="122" t="n">
        <v>0</v>
      </c>
      <c r="D31" s="100" t="n">
        <v>0</v>
      </c>
      <c r="E31" s="100" t="n">
        <v>-80</v>
      </c>
      <c r="F31" s="100" t="n">
        <v>-80</v>
      </c>
      <c r="G31" s="101" t="n">
        <v>-80</v>
      </c>
      <c r="H31" s="100" t="n">
        <v>-80</v>
      </c>
      <c r="I31" s="100" t="n">
        <v>-80</v>
      </c>
      <c r="J31" s="100" t="n">
        <v>-70</v>
      </c>
      <c r="K31" s="100" t="n">
        <v>-80</v>
      </c>
      <c r="L31" s="100"/>
      <c r="M31" s="100"/>
      <c r="N31" s="100" t="n">
        <v>-80</v>
      </c>
      <c r="O31" s="100" t="n">
        <v>-80</v>
      </c>
      <c r="P31" s="100"/>
      <c r="Q31" s="99"/>
      <c r="R31" s="100" t="n">
        <v>-80</v>
      </c>
      <c r="S31" s="100" t="n">
        <v>-80</v>
      </c>
      <c r="T31" s="100"/>
      <c r="U31" s="100"/>
      <c r="V31" s="100"/>
      <c r="W31" s="102"/>
      <c r="X31" s="92"/>
      <c r="Y31" s="97" t="n">
        <f aca="false">MAX($C$3:$W$44)-(ROW(Y31)-4)*10</f>
        <v>-250</v>
      </c>
      <c r="Z31" s="92"/>
      <c r="AA31" s="92"/>
      <c r="AB31" s="92"/>
      <c r="AC31" s="92"/>
      <c r="AD31" s="92"/>
    </row>
    <row r="32" customFormat="false" ht="14.25" hidden="false" customHeight="true" outlineLevel="0" collapsed="false">
      <c r="A32" s="86"/>
      <c r="B32" s="50"/>
      <c r="C32" s="123"/>
      <c r="D32" s="105"/>
      <c r="E32" s="105"/>
      <c r="F32" s="105"/>
      <c r="G32" s="106"/>
      <c r="H32" s="105"/>
      <c r="I32" s="105"/>
      <c r="J32" s="105"/>
      <c r="K32" s="105"/>
      <c r="L32" s="105"/>
      <c r="M32" s="105"/>
      <c r="N32" s="105"/>
      <c r="O32" s="105"/>
      <c r="P32" s="105"/>
      <c r="Q32" s="104"/>
      <c r="R32" s="105"/>
      <c r="S32" s="105"/>
      <c r="T32" s="105"/>
      <c r="U32" s="105"/>
      <c r="V32" s="105"/>
      <c r="W32" s="107"/>
      <c r="X32" s="92"/>
      <c r="Y32" s="97" t="n">
        <f aca="false">MAX($C$3:$W$44)-(ROW(Y32)-4)*10</f>
        <v>-260</v>
      </c>
      <c r="Z32" s="92"/>
      <c r="AA32" s="92"/>
      <c r="AB32" s="92"/>
      <c r="AC32" s="92"/>
      <c r="AD32" s="92"/>
    </row>
    <row r="33" customFormat="false" ht="14.25" hidden="false" customHeight="true" outlineLevel="0" collapsed="false">
      <c r="A33" s="86"/>
      <c r="B33" s="50" t="str">
        <f aca="false">Neu!B19</f>
        <v>B65</v>
      </c>
      <c r="C33" s="122" t="n">
        <v>0</v>
      </c>
      <c r="D33" s="100" t="n">
        <v>0</v>
      </c>
      <c r="E33" s="100" t="n">
        <v>0</v>
      </c>
      <c r="F33" s="100" t="n">
        <v>0</v>
      </c>
      <c r="G33" s="101" t="n">
        <v>0</v>
      </c>
      <c r="H33" s="100"/>
      <c r="I33" s="100"/>
      <c r="J33" s="100"/>
      <c r="K33" s="100"/>
      <c r="L33" s="100"/>
      <c r="M33" s="100"/>
      <c r="N33" s="100"/>
      <c r="O33" s="100" t="n">
        <v>0</v>
      </c>
      <c r="P33" s="100" t="n">
        <v>0</v>
      </c>
      <c r="Q33" s="100"/>
      <c r="R33" s="99"/>
      <c r="S33" s="100"/>
      <c r="T33" s="100"/>
      <c r="U33" s="100"/>
      <c r="V33" s="100"/>
      <c r="W33" s="102"/>
      <c r="X33" s="92"/>
      <c r="Y33" s="92"/>
      <c r="Z33" s="92"/>
      <c r="AA33" s="92"/>
      <c r="AB33" s="92"/>
      <c r="AC33" s="92"/>
      <c r="AD33" s="92"/>
    </row>
    <row r="34" customFormat="false" ht="14.25" hidden="false" customHeight="true" outlineLevel="0" collapsed="false">
      <c r="A34" s="86"/>
      <c r="B34" s="50"/>
      <c r="C34" s="123"/>
      <c r="D34" s="105" t="n">
        <v>0</v>
      </c>
      <c r="E34" s="105" t="n">
        <v>-60</v>
      </c>
      <c r="F34" s="105"/>
      <c r="G34" s="106"/>
      <c r="H34" s="105"/>
      <c r="I34" s="105"/>
      <c r="J34" s="105"/>
      <c r="K34" s="105" t="n">
        <v>-60</v>
      </c>
      <c r="L34" s="105"/>
      <c r="M34" s="105"/>
      <c r="N34" s="105"/>
      <c r="O34" s="105"/>
      <c r="P34" s="105" t="n">
        <v>-80</v>
      </c>
      <c r="Q34" s="105"/>
      <c r="R34" s="104"/>
      <c r="S34" s="105"/>
      <c r="T34" s="105"/>
      <c r="U34" s="105"/>
      <c r="V34" s="105"/>
      <c r="W34" s="107"/>
      <c r="X34" s="92"/>
      <c r="Y34" s="92"/>
      <c r="Z34" s="92"/>
      <c r="AA34" s="92"/>
      <c r="AB34" s="92"/>
      <c r="AC34" s="92"/>
      <c r="AD34" s="92"/>
    </row>
    <row r="35" customFormat="false" ht="14.25" hidden="false" customHeight="true" outlineLevel="0" collapsed="false">
      <c r="A35" s="86"/>
      <c r="B35" s="50" t="str">
        <f aca="false">Neu!B20</f>
        <v>CBI2</v>
      </c>
      <c r="C35" s="122"/>
      <c r="D35" s="100"/>
      <c r="E35" s="100"/>
      <c r="F35" s="100"/>
      <c r="G35" s="101" t="n">
        <v>0</v>
      </c>
      <c r="H35" s="100"/>
      <c r="I35" s="100" t="n">
        <v>0</v>
      </c>
      <c r="J35" s="100"/>
      <c r="K35" s="100" t="n">
        <v>0</v>
      </c>
      <c r="L35" s="100"/>
      <c r="M35" s="100"/>
      <c r="N35" s="100"/>
      <c r="O35" s="100" t="n">
        <v>0</v>
      </c>
      <c r="P35" s="100"/>
      <c r="Q35" s="100"/>
      <c r="R35" s="100"/>
      <c r="S35" s="99"/>
      <c r="T35" s="100"/>
      <c r="U35" s="100"/>
      <c r="V35" s="100"/>
      <c r="W35" s="102"/>
      <c r="X35" s="92"/>
      <c r="Y35" s="92"/>
      <c r="Z35" s="92"/>
      <c r="AA35" s="92"/>
      <c r="AB35" s="92"/>
      <c r="AC35" s="92"/>
      <c r="AD35" s="92"/>
    </row>
    <row r="36" customFormat="false" ht="14.25" hidden="false" customHeight="true" outlineLevel="0" collapsed="false">
      <c r="A36" s="86"/>
      <c r="B36" s="50"/>
      <c r="C36" s="124"/>
      <c r="D36" s="94" t="n">
        <v>0</v>
      </c>
      <c r="E36" s="94" t="n">
        <v>0</v>
      </c>
      <c r="F36" s="94"/>
      <c r="G36" s="95" t="n">
        <v>0</v>
      </c>
      <c r="H36" s="94"/>
      <c r="I36" s="94" t="n">
        <v>-50</v>
      </c>
      <c r="J36" s="94"/>
      <c r="K36" s="94" t="n">
        <v>0</v>
      </c>
      <c r="L36" s="94"/>
      <c r="M36" s="94"/>
      <c r="N36" s="94"/>
      <c r="O36" s="94" t="n">
        <v>0</v>
      </c>
      <c r="P36" s="94"/>
      <c r="Q36" s="94"/>
      <c r="R36" s="94"/>
      <c r="S36" s="111"/>
      <c r="T36" s="94"/>
      <c r="U36" s="94"/>
      <c r="V36" s="94"/>
      <c r="W36" s="96"/>
      <c r="X36" s="92"/>
      <c r="Y36" s="92"/>
      <c r="Z36" s="92"/>
      <c r="AA36" s="92"/>
      <c r="AB36" s="92"/>
      <c r="AC36" s="92"/>
      <c r="AD36" s="92"/>
    </row>
    <row r="37" customFormat="false" ht="14.25" hidden="false" customHeight="true" outlineLevel="0" collapsed="false">
      <c r="A37" s="86"/>
      <c r="B37" s="50" t="n">
        <f aca="false">Neu!B21</f>
        <v>0</v>
      </c>
      <c r="C37" s="122"/>
      <c r="D37" s="100"/>
      <c r="E37" s="100"/>
      <c r="F37" s="100"/>
      <c r="G37" s="101"/>
      <c r="H37" s="100"/>
      <c r="I37" s="100"/>
      <c r="J37" s="100"/>
      <c r="K37" s="100"/>
      <c r="L37" s="100"/>
      <c r="M37" s="100"/>
      <c r="N37" s="100"/>
      <c r="O37" s="100"/>
      <c r="P37" s="100"/>
      <c r="Q37" s="100"/>
      <c r="R37" s="100"/>
      <c r="S37" s="100"/>
      <c r="T37" s="99"/>
      <c r="U37" s="100"/>
      <c r="V37" s="100"/>
      <c r="W37" s="102"/>
      <c r="X37" s="92"/>
      <c r="Y37" s="92"/>
      <c r="Z37" s="92"/>
      <c r="AA37" s="92"/>
      <c r="AB37" s="92"/>
      <c r="AC37" s="92"/>
      <c r="AD37" s="92"/>
    </row>
    <row r="38" customFormat="false" ht="14.25" hidden="false" customHeight="true" outlineLevel="0" collapsed="false">
      <c r="A38" s="86"/>
      <c r="B38" s="50"/>
      <c r="C38" s="123"/>
      <c r="D38" s="105"/>
      <c r="E38" s="105"/>
      <c r="F38" s="105"/>
      <c r="G38" s="106"/>
      <c r="H38" s="105"/>
      <c r="I38" s="105"/>
      <c r="J38" s="105"/>
      <c r="K38" s="105"/>
      <c r="L38" s="105"/>
      <c r="M38" s="105"/>
      <c r="N38" s="105"/>
      <c r="O38" s="105"/>
      <c r="P38" s="105"/>
      <c r="Q38" s="105"/>
      <c r="R38" s="105"/>
      <c r="S38" s="105"/>
      <c r="T38" s="104"/>
      <c r="U38" s="105"/>
      <c r="V38" s="105"/>
      <c r="W38" s="107"/>
      <c r="X38" s="92"/>
      <c r="Y38" s="92"/>
      <c r="Z38" s="92"/>
      <c r="AA38" s="92"/>
      <c r="AB38" s="92"/>
      <c r="AC38" s="92"/>
      <c r="AD38" s="92"/>
    </row>
    <row r="39" customFormat="false" ht="14.25" hidden="false" customHeight="true" outlineLevel="0" collapsed="false">
      <c r="A39" s="86"/>
      <c r="B39" s="50" t="n">
        <f aca="false">Neu!B22</f>
        <v>0</v>
      </c>
      <c r="C39" s="122"/>
      <c r="D39" s="100"/>
      <c r="E39" s="100"/>
      <c r="F39" s="100"/>
      <c r="G39" s="101"/>
      <c r="H39" s="100"/>
      <c r="I39" s="100"/>
      <c r="J39" s="100"/>
      <c r="K39" s="100"/>
      <c r="L39" s="100"/>
      <c r="M39" s="100"/>
      <c r="N39" s="100"/>
      <c r="O39" s="100"/>
      <c r="P39" s="100"/>
      <c r="Q39" s="100"/>
      <c r="R39" s="100"/>
      <c r="S39" s="100"/>
      <c r="T39" s="100"/>
      <c r="U39" s="99"/>
      <c r="V39" s="100"/>
      <c r="W39" s="102"/>
      <c r="X39" s="92"/>
      <c r="Y39" s="92"/>
      <c r="Z39" s="92"/>
      <c r="AA39" s="92"/>
      <c r="AB39" s="92"/>
      <c r="AC39" s="92"/>
      <c r="AD39" s="92"/>
    </row>
    <row r="40" customFormat="false" ht="14.25" hidden="false" customHeight="true" outlineLevel="0" collapsed="false">
      <c r="A40" s="86"/>
      <c r="B40" s="50"/>
      <c r="C40" s="123"/>
      <c r="D40" s="105"/>
      <c r="E40" s="105"/>
      <c r="F40" s="105"/>
      <c r="G40" s="106"/>
      <c r="H40" s="105"/>
      <c r="I40" s="105"/>
      <c r="J40" s="105"/>
      <c r="K40" s="105"/>
      <c r="L40" s="105"/>
      <c r="M40" s="105"/>
      <c r="N40" s="105"/>
      <c r="O40" s="105"/>
      <c r="P40" s="105"/>
      <c r="Q40" s="105"/>
      <c r="R40" s="105"/>
      <c r="S40" s="105"/>
      <c r="T40" s="105"/>
      <c r="U40" s="104"/>
      <c r="V40" s="105"/>
      <c r="W40" s="107"/>
      <c r="X40" s="92"/>
      <c r="Y40" s="92"/>
      <c r="Z40" s="92"/>
      <c r="AA40" s="92"/>
      <c r="AB40" s="92"/>
      <c r="AC40" s="92"/>
      <c r="AD40" s="92"/>
    </row>
    <row r="41" customFormat="false" ht="14.25" hidden="false" customHeight="true" outlineLevel="0" collapsed="false">
      <c r="A41" s="86"/>
      <c r="B41" s="50" t="n">
        <f aca="false">Neu!B23</f>
        <v>0</v>
      </c>
      <c r="C41" s="122"/>
      <c r="D41" s="100"/>
      <c r="E41" s="100"/>
      <c r="F41" s="100"/>
      <c r="G41" s="101"/>
      <c r="H41" s="100"/>
      <c r="I41" s="100"/>
      <c r="J41" s="100"/>
      <c r="K41" s="100"/>
      <c r="L41" s="100"/>
      <c r="M41" s="100"/>
      <c r="N41" s="100"/>
      <c r="O41" s="100"/>
      <c r="P41" s="100"/>
      <c r="Q41" s="100"/>
      <c r="R41" s="100"/>
      <c r="S41" s="100"/>
      <c r="T41" s="100"/>
      <c r="U41" s="100"/>
      <c r="V41" s="99"/>
      <c r="W41" s="102"/>
      <c r="X41" s="92"/>
      <c r="Y41" s="92"/>
      <c r="Z41" s="92"/>
      <c r="AA41" s="92"/>
      <c r="AB41" s="92"/>
      <c r="AC41" s="92"/>
      <c r="AD41" s="92"/>
    </row>
    <row r="42" customFormat="false" ht="14.25" hidden="false" customHeight="true" outlineLevel="0" collapsed="false">
      <c r="A42" s="86"/>
      <c r="B42" s="50"/>
      <c r="C42" s="123"/>
      <c r="D42" s="105"/>
      <c r="E42" s="105"/>
      <c r="F42" s="105"/>
      <c r="G42" s="106"/>
      <c r="H42" s="105"/>
      <c r="I42" s="105"/>
      <c r="J42" s="105"/>
      <c r="K42" s="105"/>
      <c r="L42" s="105"/>
      <c r="M42" s="105"/>
      <c r="N42" s="105"/>
      <c r="O42" s="105"/>
      <c r="P42" s="105"/>
      <c r="Q42" s="105"/>
      <c r="R42" s="105"/>
      <c r="S42" s="105"/>
      <c r="T42" s="105"/>
      <c r="U42" s="105"/>
      <c r="V42" s="104"/>
      <c r="W42" s="107"/>
      <c r="X42" s="92"/>
      <c r="Y42" s="92"/>
      <c r="Z42" s="92"/>
      <c r="AA42" s="92"/>
      <c r="AB42" s="92"/>
      <c r="AC42" s="92"/>
      <c r="AD42" s="92"/>
    </row>
    <row r="43" customFormat="false" ht="14.25" hidden="false" customHeight="true" outlineLevel="0" collapsed="false">
      <c r="A43" s="86"/>
      <c r="B43" s="51" t="n">
        <f aca="false">Neu!B24</f>
        <v>0</v>
      </c>
      <c r="C43" s="122"/>
      <c r="D43" s="100"/>
      <c r="E43" s="100"/>
      <c r="F43" s="100"/>
      <c r="G43" s="101"/>
      <c r="H43" s="100"/>
      <c r="I43" s="100"/>
      <c r="J43" s="100"/>
      <c r="K43" s="100"/>
      <c r="L43" s="100"/>
      <c r="M43" s="100"/>
      <c r="N43" s="100"/>
      <c r="O43" s="100"/>
      <c r="P43" s="100"/>
      <c r="Q43" s="100"/>
      <c r="R43" s="100"/>
      <c r="S43" s="100"/>
      <c r="T43" s="100"/>
      <c r="U43" s="100"/>
      <c r="V43" s="100"/>
      <c r="W43" s="113"/>
      <c r="X43" s="92"/>
      <c r="Y43" s="92"/>
      <c r="Z43" s="92"/>
      <c r="AA43" s="92"/>
      <c r="AB43" s="92"/>
      <c r="AC43" s="92"/>
      <c r="AD43" s="92"/>
    </row>
    <row r="44" customFormat="false" ht="14.25" hidden="false" customHeight="true" outlineLevel="0" collapsed="false">
      <c r="A44" s="114"/>
      <c r="B44" s="51"/>
      <c r="C44" s="125"/>
      <c r="D44" s="116"/>
      <c r="E44" s="116"/>
      <c r="F44" s="116"/>
      <c r="G44" s="117"/>
      <c r="H44" s="116"/>
      <c r="I44" s="116"/>
      <c r="J44" s="116"/>
      <c r="K44" s="116"/>
      <c r="L44" s="116"/>
      <c r="M44" s="116"/>
      <c r="N44" s="116"/>
      <c r="O44" s="116"/>
      <c r="P44" s="116"/>
      <c r="Q44" s="116"/>
      <c r="R44" s="116"/>
      <c r="S44" s="116"/>
      <c r="T44" s="116"/>
      <c r="U44" s="116"/>
      <c r="V44" s="116"/>
      <c r="W44" s="118"/>
      <c r="X44" s="92"/>
      <c r="Y44" s="92"/>
      <c r="Z44" s="92"/>
      <c r="AA44" s="92"/>
      <c r="AB44" s="92"/>
      <c r="AC44" s="92"/>
      <c r="AD44" s="92"/>
    </row>
    <row r="45" customFormat="false" ht="14.25" hidden="false" customHeight="false" outlineLevel="0" collapsed="false">
      <c r="C45" s="92"/>
      <c r="D45" s="92"/>
      <c r="E45" s="92"/>
      <c r="F45" s="92"/>
      <c r="G45" s="92"/>
      <c r="H45" s="92"/>
      <c r="I45" s="92"/>
      <c r="J45" s="92"/>
      <c r="K45" s="92"/>
      <c r="L45" s="92"/>
      <c r="M45" s="92"/>
      <c r="N45" s="92"/>
      <c r="O45" s="92"/>
      <c r="P45" s="92"/>
      <c r="Q45" s="92"/>
      <c r="R45" s="92"/>
      <c r="S45" s="92"/>
      <c r="T45" s="92"/>
      <c r="U45" s="92"/>
      <c r="V45" s="92"/>
      <c r="W45" s="92"/>
      <c r="X45" s="92"/>
      <c r="Y45" s="92"/>
      <c r="Z45" s="92"/>
      <c r="AA45" s="92"/>
      <c r="AB45" s="92"/>
      <c r="AC45" s="92"/>
      <c r="AD45" s="92"/>
    </row>
    <row r="46" customFormat="false" ht="14.25" hidden="false" customHeight="false" outlineLevel="0" collapsed="false">
      <c r="C46" s="92"/>
      <c r="D46" s="92"/>
      <c r="E46" s="92"/>
      <c r="F46" s="92"/>
      <c r="G46" s="92"/>
      <c r="H46" s="92"/>
      <c r="I46" s="92"/>
      <c r="J46" s="92"/>
      <c r="K46" s="92"/>
      <c r="L46" s="92"/>
      <c r="M46" s="92"/>
      <c r="N46" s="92"/>
      <c r="O46" s="92"/>
      <c r="P46" s="92"/>
      <c r="Q46" s="92"/>
      <c r="R46" s="92"/>
      <c r="S46" s="92"/>
      <c r="T46" s="92"/>
      <c r="U46" s="92"/>
      <c r="V46" s="92"/>
      <c r="W46" s="92"/>
      <c r="X46" s="92"/>
      <c r="Y46" s="92"/>
      <c r="Z46" s="92"/>
      <c r="AA46" s="92"/>
      <c r="AB46" s="92"/>
      <c r="AC46" s="92"/>
      <c r="AD46" s="92"/>
    </row>
    <row r="47" customFormat="false" ht="14.25" hidden="false" customHeight="false" outlineLevel="0" collapsed="false">
      <c r="C47" s="92"/>
      <c r="D47" s="92"/>
      <c r="E47" s="92"/>
      <c r="F47" s="92"/>
      <c r="G47" s="92"/>
      <c r="H47" s="92"/>
      <c r="I47" s="92"/>
      <c r="J47" s="92"/>
      <c r="K47" s="92"/>
      <c r="L47" s="92"/>
      <c r="M47" s="92"/>
      <c r="N47" s="92"/>
      <c r="O47" s="92"/>
      <c r="P47" s="92"/>
      <c r="Q47" s="92"/>
      <c r="R47" s="92"/>
      <c r="S47" s="92"/>
      <c r="T47" s="92"/>
      <c r="U47" s="92"/>
      <c r="V47" s="92"/>
      <c r="W47" s="92"/>
      <c r="X47" s="92"/>
      <c r="Y47" s="92"/>
      <c r="Z47" s="92"/>
      <c r="AA47" s="92"/>
      <c r="AB47" s="92"/>
      <c r="AC47" s="92"/>
      <c r="AD47" s="92"/>
    </row>
    <row r="48" customFormat="false" ht="14.25" hidden="false" customHeight="false" outlineLevel="0" collapsed="false">
      <c r="C48" s="92"/>
      <c r="D48" s="92"/>
      <c r="E48" s="92"/>
      <c r="F48" s="92"/>
      <c r="G48" s="92"/>
      <c r="H48" s="92"/>
      <c r="I48" s="92"/>
      <c r="J48" s="92"/>
      <c r="K48" s="92"/>
      <c r="L48" s="92"/>
      <c r="M48" s="92"/>
      <c r="N48" s="92"/>
      <c r="O48" s="92"/>
      <c r="P48" s="92"/>
      <c r="Q48" s="92"/>
      <c r="R48" s="92"/>
      <c r="S48" s="92"/>
      <c r="T48" s="92"/>
      <c r="U48" s="92"/>
      <c r="V48" s="92"/>
      <c r="W48" s="92"/>
      <c r="X48" s="92"/>
      <c r="Y48" s="92"/>
      <c r="Z48" s="92"/>
      <c r="AA48" s="92"/>
      <c r="AB48" s="92"/>
      <c r="AC48" s="92"/>
      <c r="AD48" s="92"/>
    </row>
    <row r="49" customFormat="false" ht="14.25" hidden="false" customHeight="false" outlineLevel="0" collapsed="false">
      <c r="C49" s="92"/>
      <c r="D49" s="92"/>
      <c r="E49" s="92"/>
      <c r="F49" s="92"/>
      <c r="G49" s="92"/>
      <c r="H49" s="92"/>
      <c r="I49" s="92"/>
      <c r="J49" s="92"/>
      <c r="K49" s="92"/>
      <c r="L49" s="92"/>
      <c r="M49" s="92"/>
      <c r="N49" s="92"/>
      <c r="O49" s="92"/>
      <c r="P49" s="92"/>
      <c r="Q49" s="92"/>
      <c r="R49" s="92"/>
      <c r="S49" s="92"/>
      <c r="T49" s="92"/>
      <c r="U49" s="92"/>
      <c r="V49" s="92"/>
      <c r="W49" s="92"/>
      <c r="X49" s="92"/>
      <c r="Y49" s="92"/>
      <c r="Z49" s="92"/>
      <c r="AA49" s="92"/>
      <c r="AB49" s="92"/>
      <c r="AC49" s="92"/>
      <c r="AD49" s="92"/>
    </row>
    <row r="50" customFormat="false" ht="14.25" hidden="false" customHeight="false" outlineLevel="0" collapsed="false">
      <c r="C50" s="92"/>
      <c r="D50" s="92"/>
      <c r="E50" s="92"/>
      <c r="F50" s="92"/>
      <c r="G50" s="92"/>
      <c r="H50" s="92"/>
      <c r="I50" s="92"/>
      <c r="J50" s="92"/>
      <c r="K50" s="92"/>
      <c r="L50" s="92"/>
      <c r="M50" s="92"/>
      <c r="N50" s="92"/>
      <c r="O50" s="92"/>
      <c r="P50" s="92"/>
      <c r="Q50" s="92"/>
      <c r="R50" s="92"/>
      <c r="S50" s="92"/>
      <c r="T50" s="92"/>
      <c r="U50" s="92"/>
      <c r="V50" s="92"/>
      <c r="W50" s="92"/>
      <c r="X50" s="92"/>
      <c r="Y50" s="92"/>
      <c r="Z50" s="92"/>
      <c r="AA50" s="92"/>
      <c r="AB50" s="92"/>
      <c r="AC50" s="92"/>
      <c r="AD50" s="92"/>
    </row>
    <row r="51" customFormat="false" ht="14.25" hidden="false" customHeight="false" outlineLevel="0" collapsed="false">
      <c r="C51" s="92"/>
      <c r="D51" s="92"/>
      <c r="E51" s="92"/>
      <c r="F51" s="92"/>
      <c r="G51" s="92"/>
      <c r="H51" s="92"/>
      <c r="I51" s="92"/>
      <c r="J51" s="92"/>
      <c r="K51" s="92"/>
      <c r="L51" s="92"/>
      <c r="M51" s="92"/>
      <c r="N51" s="92"/>
      <c r="O51" s="92"/>
      <c r="P51" s="92"/>
      <c r="Q51" s="92"/>
      <c r="R51" s="92"/>
      <c r="S51" s="92"/>
      <c r="T51" s="92"/>
      <c r="U51" s="92"/>
      <c r="V51" s="92"/>
      <c r="W51" s="92"/>
      <c r="X51" s="92"/>
      <c r="Y51" s="92"/>
      <c r="Z51" s="92"/>
      <c r="AA51" s="92"/>
      <c r="AB51" s="92"/>
      <c r="AC51" s="92"/>
      <c r="AD51" s="92"/>
    </row>
    <row r="52" customFormat="false" ht="14.25" hidden="false" customHeight="false" outlineLevel="0" collapsed="false">
      <c r="C52" s="92"/>
      <c r="D52" s="92"/>
      <c r="E52" s="92"/>
      <c r="F52" s="92"/>
      <c r="G52" s="92"/>
      <c r="H52" s="92"/>
      <c r="I52" s="92"/>
      <c r="J52" s="92"/>
      <c r="K52" s="92"/>
      <c r="L52" s="92"/>
      <c r="M52" s="92"/>
      <c r="N52" s="92"/>
      <c r="O52" s="92"/>
      <c r="P52" s="92"/>
      <c r="Q52" s="92"/>
      <c r="R52" s="92"/>
      <c r="S52" s="92"/>
      <c r="T52" s="92"/>
      <c r="U52" s="92"/>
      <c r="V52" s="92"/>
      <c r="W52" s="92"/>
      <c r="X52" s="92"/>
      <c r="Y52" s="92"/>
      <c r="Z52" s="92"/>
      <c r="AA52" s="92"/>
      <c r="AB52" s="92"/>
      <c r="AC52" s="92"/>
      <c r="AD52" s="92"/>
    </row>
    <row r="53" customFormat="false" ht="14.25" hidden="false" customHeight="false" outlineLevel="0" collapsed="false">
      <c r="C53" s="92"/>
      <c r="D53" s="92"/>
      <c r="E53" s="92"/>
      <c r="F53" s="92"/>
      <c r="G53" s="92"/>
      <c r="H53" s="92"/>
      <c r="I53" s="92"/>
      <c r="J53" s="92"/>
      <c r="K53" s="92"/>
      <c r="L53" s="92"/>
      <c r="M53" s="92"/>
      <c r="N53" s="92"/>
      <c r="O53" s="92"/>
      <c r="P53" s="92"/>
      <c r="Q53" s="92"/>
      <c r="R53" s="92"/>
      <c r="S53" s="92"/>
      <c r="T53" s="92"/>
      <c r="U53" s="92"/>
      <c r="V53" s="92"/>
      <c r="W53" s="92"/>
      <c r="X53" s="92"/>
      <c r="Y53" s="92"/>
      <c r="Z53" s="92"/>
      <c r="AA53" s="92"/>
      <c r="AB53" s="92"/>
      <c r="AC53" s="92"/>
      <c r="AD53" s="92"/>
    </row>
    <row r="54" customFormat="false" ht="14.25" hidden="false" customHeight="false" outlineLevel="0" collapsed="false">
      <c r="C54" s="92"/>
      <c r="D54" s="92"/>
      <c r="E54" s="92"/>
      <c r="F54" s="92"/>
      <c r="G54" s="92"/>
      <c r="H54" s="92"/>
      <c r="I54" s="92"/>
      <c r="J54" s="92"/>
      <c r="K54" s="92"/>
      <c r="L54" s="92"/>
      <c r="M54" s="92"/>
      <c r="N54" s="92"/>
      <c r="O54" s="92"/>
      <c r="P54" s="92"/>
      <c r="Q54" s="92"/>
      <c r="R54" s="92"/>
      <c r="S54" s="92"/>
      <c r="T54" s="92"/>
      <c r="U54" s="92"/>
      <c r="V54" s="92"/>
      <c r="W54" s="92"/>
      <c r="X54" s="92"/>
      <c r="Y54" s="92"/>
      <c r="Z54" s="92"/>
      <c r="AA54" s="92"/>
      <c r="AB54" s="92"/>
      <c r="AC54" s="92"/>
      <c r="AD54" s="92"/>
    </row>
    <row r="55" customFormat="false" ht="14.25" hidden="false" customHeight="false" outlineLevel="0" collapsed="false">
      <c r="C55" s="92"/>
      <c r="D55" s="92"/>
      <c r="E55" s="92"/>
      <c r="F55" s="92"/>
      <c r="G55" s="92"/>
      <c r="H55" s="92"/>
      <c r="I55" s="92"/>
      <c r="J55" s="92"/>
      <c r="K55" s="92"/>
      <c r="L55" s="92"/>
      <c r="M55" s="92"/>
      <c r="N55" s="92"/>
      <c r="O55" s="92"/>
      <c r="P55" s="92"/>
      <c r="Q55" s="92"/>
      <c r="R55" s="92"/>
      <c r="S55" s="92"/>
      <c r="T55" s="92"/>
      <c r="U55" s="92"/>
      <c r="V55" s="92"/>
      <c r="W55" s="92"/>
      <c r="X55" s="92"/>
      <c r="Y55" s="92"/>
      <c r="Z55" s="92"/>
      <c r="AA55" s="92"/>
      <c r="AB55" s="92"/>
      <c r="AC55" s="92"/>
      <c r="AD55" s="92"/>
    </row>
    <row r="56" customFormat="false" ht="14.25" hidden="false" customHeight="false" outlineLevel="0" collapsed="false">
      <c r="C56" s="92"/>
      <c r="D56" s="92"/>
      <c r="E56" s="92"/>
      <c r="F56" s="92"/>
      <c r="G56" s="92"/>
      <c r="H56" s="92"/>
      <c r="I56" s="92"/>
      <c r="J56" s="92"/>
      <c r="K56" s="92"/>
      <c r="L56" s="92"/>
      <c r="M56" s="92"/>
      <c r="N56" s="92"/>
      <c r="O56" s="92"/>
      <c r="P56" s="92"/>
      <c r="Q56" s="92"/>
      <c r="R56" s="92"/>
      <c r="S56" s="92"/>
      <c r="T56" s="92"/>
      <c r="U56" s="92"/>
      <c r="V56" s="92"/>
      <c r="W56" s="92"/>
      <c r="X56" s="92"/>
      <c r="Y56" s="92"/>
      <c r="Z56" s="92"/>
      <c r="AA56" s="92"/>
      <c r="AB56" s="92"/>
      <c r="AC56" s="92"/>
      <c r="AD56" s="92"/>
    </row>
    <row r="57" customFormat="false" ht="14.25" hidden="false" customHeight="false" outlineLevel="0" collapsed="false">
      <c r="C57" s="92"/>
      <c r="D57" s="92"/>
      <c r="E57" s="92"/>
      <c r="F57" s="92"/>
      <c r="G57" s="92"/>
      <c r="H57" s="92"/>
      <c r="I57" s="92"/>
      <c r="J57" s="92"/>
      <c r="K57" s="92"/>
      <c r="L57" s="92"/>
      <c r="M57" s="92"/>
      <c r="N57" s="92"/>
      <c r="O57" s="92"/>
      <c r="P57" s="92"/>
      <c r="Q57" s="92"/>
      <c r="R57" s="92"/>
      <c r="S57" s="92"/>
      <c r="T57" s="92"/>
      <c r="U57" s="92"/>
      <c r="V57" s="92"/>
      <c r="W57" s="92"/>
      <c r="X57" s="92"/>
      <c r="Y57" s="92"/>
      <c r="Z57" s="92"/>
      <c r="AA57" s="92"/>
      <c r="AB57" s="92"/>
      <c r="AC57" s="92"/>
      <c r="AD57" s="92"/>
    </row>
    <row r="58" customFormat="false" ht="14.25" hidden="false" customHeight="false" outlineLevel="0" collapsed="false">
      <c r="C58" s="92"/>
      <c r="D58" s="92"/>
      <c r="E58" s="92"/>
      <c r="F58" s="92"/>
      <c r="G58" s="92"/>
      <c r="H58" s="92"/>
      <c r="I58" s="92"/>
      <c r="J58" s="92"/>
      <c r="K58" s="92"/>
      <c r="L58" s="92"/>
      <c r="M58" s="92"/>
      <c r="N58" s="92"/>
      <c r="O58" s="92"/>
      <c r="P58" s="92"/>
      <c r="Q58" s="92"/>
      <c r="R58" s="92"/>
      <c r="S58" s="92"/>
      <c r="T58" s="92"/>
      <c r="U58" s="92"/>
      <c r="V58" s="92"/>
      <c r="W58" s="92"/>
      <c r="X58" s="92"/>
      <c r="Y58" s="92"/>
      <c r="Z58" s="92"/>
      <c r="AA58" s="92"/>
      <c r="AB58" s="92"/>
      <c r="AC58" s="92"/>
      <c r="AD58" s="92"/>
    </row>
    <row r="59" customFormat="false" ht="14.25" hidden="false" customHeight="false" outlineLevel="0" collapsed="false">
      <c r="C59" s="92"/>
      <c r="D59" s="92"/>
      <c r="E59" s="92"/>
      <c r="F59" s="92"/>
      <c r="G59" s="92"/>
      <c r="H59" s="92"/>
      <c r="I59" s="92"/>
      <c r="J59" s="92"/>
      <c r="K59" s="92"/>
      <c r="L59" s="92"/>
      <c r="M59" s="92"/>
      <c r="N59" s="92"/>
      <c r="O59" s="92"/>
      <c r="P59" s="92"/>
      <c r="Q59" s="92"/>
      <c r="R59" s="92"/>
      <c r="S59" s="92"/>
      <c r="T59" s="92"/>
      <c r="U59" s="92"/>
      <c r="V59" s="92"/>
      <c r="W59" s="92"/>
      <c r="X59" s="92"/>
      <c r="Y59" s="92"/>
      <c r="Z59" s="92"/>
      <c r="AA59" s="92"/>
      <c r="AB59" s="92"/>
      <c r="AC59" s="92"/>
      <c r="AD59" s="92"/>
    </row>
    <row r="60" customFormat="false" ht="14.25" hidden="false" customHeight="false" outlineLevel="0" collapsed="false">
      <c r="C60" s="92"/>
      <c r="D60" s="92"/>
      <c r="E60" s="92"/>
      <c r="F60" s="92"/>
      <c r="G60" s="92"/>
      <c r="H60" s="92"/>
      <c r="I60" s="92"/>
      <c r="J60" s="92"/>
      <c r="K60" s="92"/>
      <c r="L60" s="92"/>
      <c r="M60" s="92"/>
      <c r="N60" s="92"/>
      <c r="O60" s="92"/>
      <c r="P60" s="92"/>
      <c r="Q60" s="92"/>
      <c r="R60" s="92"/>
      <c r="S60" s="92"/>
      <c r="T60" s="92"/>
      <c r="U60" s="92"/>
      <c r="V60" s="92"/>
      <c r="W60" s="92"/>
      <c r="X60" s="92"/>
      <c r="Y60" s="92"/>
      <c r="Z60" s="92"/>
      <c r="AA60" s="92"/>
      <c r="AB60" s="92"/>
      <c r="AC60" s="92"/>
      <c r="AD60" s="92"/>
    </row>
    <row r="61" customFormat="false" ht="14.25" hidden="false" customHeight="false" outlineLevel="0" collapsed="false">
      <c r="C61" s="92"/>
      <c r="D61" s="92"/>
      <c r="E61" s="92"/>
      <c r="F61" s="92"/>
      <c r="G61" s="92"/>
      <c r="H61" s="92"/>
      <c r="I61" s="92"/>
      <c r="J61" s="92"/>
      <c r="K61" s="92"/>
      <c r="L61" s="92"/>
      <c r="M61" s="92"/>
      <c r="N61" s="92"/>
      <c r="O61" s="92"/>
      <c r="P61" s="92"/>
      <c r="Q61" s="92"/>
      <c r="R61" s="92"/>
      <c r="S61" s="92"/>
      <c r="T61" s="92"/>
      <c r="U61" s="92"/>
      <c r="V61" s="92"/>
      <c r="W61" s="92"/>
      <c r="X61" s="92"/>
      <c r="Y61" s="92"/>
      <c r="Z61" s="92"/>
      <c r="AA61" s="92"/>
      <c r="AB61" s="92"/>
      <c r="AC61" s="92"/>
      <c r="AD61" s="92"/>
    </row>
    <row r="62" customFormat="false" ht="14.25" hidden="false" customHeight="false" outlineLevel="0" collapsed="false">
      <c r="C62" s="92"/>
      <c r="D62" s="92"/>
      <c r="E62" s="92"/>
      <c r="F62" s="92"/>
      <c r="G62" s="92"/>
      <c r="H62" s="92"/>
      <c r="I62" s="92"/>
      <c r="J62" s="92"/>
      <c r="K62" s="92"/>
      <c r="L62" s="92"/>
      <c r="M62" s="92"/>
      <c r="N62" s="92"/>
      <c r="O62" s="92"/>
      <c r="P62" s="92"/>
      <c r="Q62" s="92"/>
      <c r="R62" s="92"/>
      <c r="S62" s="92"/>
      <c r="T62" s="92"/>
      <c r="U62" s="92"/>
      <c r="V62" s="92"/>
      <c r="W62" s="92"/>
      <c r="X62" s="92"/>
      <c r="Y62" s="92"/>
      <c r="Z62" s="92"/>
      <c r="AA62" s="92"/>
      <c r="AB62" s="92"/>
      <c r="AC62" s="92"/>
      <c r="AD62" s="92"/>
    </row>
    <row r="63" customFormat="false" ht="14.25" hidden="false" customHeight="false" outlineLevel="0" collapsed="false">
      <c r="C63" s="92"/>
      <c r="D63" s="92"/>
      <c r="E63" s="92"/>
      <c r="F63" s="92"/>
      <c r="G63" s="92"/>
      <c r="H63" s="92"/>
      <c r="I63" s="92"/>
      <c r="J63" s="92"/>
      <c r="K63" s="92"/>
      <c r="L63" s="92"/>
      <c r="M63" s="92"/>
      <c r="N63" s="92"/>
      <c r="O63" s="92"/>
      <c r="P63" s="92"/>
      <c r="Q63" s="92"/>
      <c r="R63" s="92"/>
      <c r="S63" s="92"/>
      <c r="T63" s="92"/>
      <c r="U63" s="92"/>
      <c r="V63" s="92"/>
      <c r="W63" s="92"/>
      <c r="X63" s="92"/>
      <c r="Y63" s="92"/>
      <c r="Z63" s="92"/>
      <c r="AA63" s="92"/>
      <c r="AB63" s="92"/>
      <c r="AC63" s="92"/>
      <c r="AD63" s="92"/>
    </row>
    <row r="64" customFormat="false" ht="14.25" hidden="false" customHeight="false" outlineLevel="0" collapsed="false">
      <c r="C64" s="92"/>
      <c r="D64" s="92"/>
      <c r="E64" s="92"/>
      <c r="F64" s="92"/>
      <c r="G64" s="92"/>
      <c r="H64" s="92"/>
      <c r="I64" s="92"/>
      <c r="J64" s="92"/>
      <c r="K64" s="92"/>
      <c r="L64" s="92"/>
      <c r="M64" s="92"/>
      <c r="N64" s="92"/>
      <c r="O64" s="92"/>
      <c r="P64" s="92"/>
      <c r="Q64" s="92"/>
      <c r="R64" s="92"/>
      <c r="S64" s="92"/>
      <c r="T64" s="92"/>
      <c r="U64" s="92"/>
      <c r="V64" s="92"/>
      <c r="W64" s="92"/>
      <c r="X64" s="92"/>
      <c r="Y64" s="92"/>
      <c r="Z64" s="92"/>
      <c r="AA64" s="92"/>
      <c r="AB64" s="92"/>
      <c r="AC64" s="92"/>
      <c r="AD64" s="92"/>
    </row>
    <row r="65" customFormat="false" ht="14.25" hidden="false" customHeight="false" outlineLevel="0" collapsed="false">
      <c r="C65" s="92"/>
      <c r="D65" s="92"/>
      <c r="E65" s="92"/>
      <c r="F65" s="92"/>
      <c r="G65" s="92"/>
      <c r="H65" s="92"/>
      <c r="I65" s="92"/>
      <c r="J65" s="92"/>
      <c r="K65" s="92"/>
      <c r="L65" s="92"/>
      <c r="M65" s="92"/>
      <c r="N65" s="92"/>
      <c r="O65" s="92"/>
      <c r="P65" s="92"/>
      <c r="Q65" s="92"/>
      <c r="R65" s="92"/>
      <c r="S65" s="92"/>
      <c r="T65" s="92"/>
      <c r="U65" s="92"/>
      <c r="V65" s="92"/>
      <c r="W65" s="92"/>
      <c r="X65" s="92"/>
      <c r="Y65" s="92"/>
      <c r="Z65" s="92"/>
      <c r="AA65" s="92"/>
      <c r="AB65" s="92"/>
      <c r="AC65" s="92"/>
      <c r="AD65" s="92"/>
    </row>
    <row r="66" customFormat="false" ht="14.25" hidden="false" customHeight="false" outlineLevel="0" collapsed="false">
      <c r="C66" s="92"/>
      <c r="D66" s="92"/>
      <c r="E66" s="92"/>
      <c r="F66" s="92"/>
      <c r="G66" s="92"/>
      <c r="H66" s="92"/>
      <c r="I66" s="92"/>
      <c r="J66" s="92"/>
      <c r="K66" s="92"/>
      <c r="L66" s="92"/>
      <c r="M66" s="92"/>
      <c r="N66" s="92"/>
      <c r="O66" s="92"/>
      <c r="P66" s="92"/>
      <c r="Q66" s="92"/>
      <c r="R66" s="92"/>
      <c r="S66" s="92"/>
      <c r="T66" s="92"/>
      <c r="U66" s="92"/>
      <c r="V66" s="92"/>
      <c r="W66" s="92"/>
      <c r="X66" s="92"/>
      <c r="Y66" s="92"/>
      <c r="Z66" s="92"/>
      <c r="AA66" s="92"/>
      <c r="AB66" s="92"/>
      <c r="AC66" s="92"/>
      <c r="AD66" s="92"/>
    </row>
    <row r="67" customFormat="false" ht="14.25" hidden="false" customHeight="false" outlineLevel="0" collapsed="false">
      <c r="C67" s="92"/>
      <c r="D67" s="92"/>
      <c r="E67" s="92"/>
      <c r="F67" s="92"/>
      <c r="G67" s="92"/>
      <c r="H67" s="92"/>
      <c r="I67" s="92"/>
      <c r="J67" s="92"/>
      <c r="K67" s="92"/>
      <c r="L67" s="92"/>
      <c r="M67" s="92"/>
      <c r="N67" s="92"/>
      <c r="O67" s="92"/>
      <c r="P67" s="92"/>
      <c r="Q67" s="92"/>
      <c r="R67" s="92"/>
      <c r="S67" s="92"/>
      <c r="T67" s="92"/>
      <c r="U67" s="92"/>
      <c r="V67" s="92"/>
      <c r="W67" s="92"/>
      <c r="X67" s="92"/>
      <c r="Y67" s="92"/>
      <c r="Z67" s="92"/>
      <c r="AA67" s="92"/>
      <c r="AB67" s="92"/>
      <c r="AC67" s="92"/>
      <c r="AD67" s="92"/>
    </row>
    <row r="68" customFormat="false" ht="14.25" hidden="false" customHeight="false" outlineLevel="0" collapsed="false">
      <c r="C68" s="92"/>
      <c r="D68" s="92"/>
      <c r="E68" s="92"/>
      <c r="F68" s="92"/>
      <c r="G68" s="92"/>
      <c r="H68" s="92"/>
      <c r="I68" s="92"/>
      <c r="J68" s="92"/>
      <c r="K68" s="92"/>
      <c r="L68" s="92"/>
      <c r="M68" s="92"/>
      <c r="N68" s="92"/>
      <c r="O68" s="92"/>
      <c r="P68" s="92"/>
      <c r="Q68" s="92"/>
      <c r="R68" s="92"/>
      <c r="S68" s="92"/>
      <c r="T68" s="92"/>
      <c r="U68" s="92"/>
      <c r="V68" s="92"/>
      <c r="W68" s="92"/>
      <c r="X68" s="92"/>
      <c r="Y68" s="92"/>
      <c r="Z68" s="92"/>
      <c r="AA68" s="92"/>
      <c r="AB68" s="92"/>
      <c r="AC68" s="92"/>
      <c r="AD68" s="92"/>
    </row>
    <row r="69" customFormat="false" ht="14.25" hidden="false" customHeight="false" outlineLevel="0" collapsed="false">
      <c r="C69" s="92"/>
      <c r="D69" s="92"/>
      <c r="E69" s="92"/>
      <c r="F69" s="92"/>
      <c r="G69" s="92"/>
      <c r="H69" s="92"/>
      <c r="I69" s="92"/>
      <c r="J69" s="92"/>
      <c r="K69" s="92"/>
      <c r="L69" s="92"/>
      <c r="M69" s="92"/>
      <c r="N69" s="92"/>
      <c r="O69" s="92"/>
      <c r="P69" s="92"/>
      <c r="Q69" s="92"/>
      <c r="R69" s="92"/>
      <c r="S69" s="92"/>
      <c r="T69" s="92"/>
      <c r="U69" s="92"/>
      <c r="V69" s="92"/>
      <c r="W69" s="92"/>
      <c r="X69" s="92"/>
      <c r="Y69" s="92"/>
      <c r="Z69" s="92"/>
      <c r="AA69" s="92"/>
      <c r="AB69" s="92"/>
      <c r="AC69" s="92"/>
      <c r="AD69" s="92"/>
    </row>
    <row r="70" customFormat="false" ht="14.25" hidden="false" customHeight="false" outlineLevel="0" collapsed="false">
      <c r="C70" s="92"/>
      <c r="D70" s="92"/>
      <c r="E70" s="92"/>
      <c r="F70" s="92"/>
      <c r="G70" s="92"/>
      <c r="H70" s="92"/>
      <c r="I70" s="92"/>
      <c r="J70" s="92"/>
      <c r="K70" s="92"/>
      <c r="L70" s="92"/>
      <c r="M70" s="92"/>
      <c r="N70" s="92"/>
      <c r="O70" s="92"/>
      <c r="P70" s="92"/>
      <c r="Q70" s="92"/>
      <c r="R70" s="92"/>
      <c r="S70" s="92"/>
      <c r="T70" s="92"/>
      <c r="U70" s="92"/>
      <c r="V70" s="92"/>
      <c r="W70" s="92"/>
      <c r="X70" s="92"/>
      <c r="Y70" s="92"/>
      <c r="Z70" s="92"/>
      <c r="AA70" s="92"/>
      <c r="AB70" s="92"/>
      <c r="AC70" s="92"/>
      <c r="AD70" s="92"/>
    </row>
    <row r="71" customFormat="false" ht="14.25" hidden="false" customHeight="false" outlineLevel="0" collapsed="false">
      <c r="C71" s="92"/>
      <c r="D71" s="92"/>
      <c r="E71" s="92"/>
      <c r="F71" s="92"/>
      <c r="G71" s="92"/>
      <c r="H71" s="92"/>
      <c r="I71" s="92"/>
      <c r="J71" s="92"/>
      <c r="K71" s="92"/>
      <c r="L71" s="92"/>
      <c r="M71" s="92"/>
      <c r="N71" s="92"/>
      <c r="O71" s="92"/>
      <c r="P71" s="92"/>
      <c r="Q71" s="92"/>
      <c r="R71" s="92"/>
      <c r="S71" s="92"/>
      <c r="T71" s="92"/>
      <c r="U71" s="92"/>
      <c r="V71" s="92"/>
      <c r="W71" s="92"/>
      <c r="X71" s="92"/>
      <c r="Y71" s="92"/>
      <c r="Z71" s="92"/>
      <c r="AA71" s="92"/>
      <c r="AB71" s="92"/>
      <c r="AC71" s="92"/>
      <c r="AD71" s="92"/>
    </row>
    <row r="72" customFormat="false" ht="14.25" hidden="false" customHeight="false" outlineLevel="0" collapsed="false">
      <c r="C72" s="92"/>
      <c r="D72" s="92"/>
      <c r="E72" s="92"/>
      <c r="F72" s="92"/>
      <c r="G72" s="92"/>
      <c r="H72" s="92"/>
      <c r="I72" s="92"/>
      <c r="J72" s="92"/>
      <c r="K72" s="92"/>
      <c r="L72" s="92"/>
      <c r="M72" s="92"/>
      <c r="N72" s="92"/>
      <c r="O72" s="92"/>
      <c r="P72" s="92"/>
      <c r="Q72" s="92"/>
      <c r="R72" s="92"/>
      <c r="S72" s="92"/>
      <c r="T72" s="92"/>
      <c r="U72" s="92"/>
      <c r="V72" s="92"/>
      <c r="W72" s="92"/>
      <c r="X72" s="92"/>
      <c r="Y72" s="92"/>
      <c r="Z72" s="92"/>
      <c r="AA72" s="92"/>
      <c r="AB72" s="92"/>
      <c r="AC72" s="92"/>
      <c r="AD72" s="92"/>
    </row>
    <row r="73" customFormat="false" ht="14.25" hidden="false" customHeight="false" outlineLevel="0" collapsed="false">
      <c r="C73" s="92"/>
      <c r="D73" s="92"/>
      <c r="E73" s="92"/>
      <c r="F73" s="92"/>
      <c r="G73" s="92"/>
      <c r="H73" s="92"/>
      <c r="I73" s="92"/>
      <c r="J73" s="92"/>
      <c r="K73" s="92"/>
      <c r="L73" s="92"/>
      <c r="M73" s="92"/>
      <c r="N73" s="92"/>
      <c r="O73" s="92"/>
      <c r="P73" s="92"/>
      <c r="Q73" s="92"/>
      <c r="R73" s="92"/>
      <c r="S73" s="92"/>
      <c r="T73" s="92"/>
      <c r="U73" s="92"/>
      <c r="V73" s="92"/>
      <c r="W73" s="92"/>
      <c r="X73" s="92"/>
      <c r="Y73" s="92"/>
      <c r="Z73" s="92"/>
      <c r="AA73" s="92"/>
      <c r="AB73" s="92"/>
      <c r="AC73" s="92"/>
      <c r="AD73" s="92"/>
    </row>
    <row r="74" customFormat="false" ht="14.25" hidden="false" customHeight="false" outlineLevel="0" collapsed="false">
      <c r="C74" s="92"/>
      <c r="D74" s="92"/>
      <c r="E74" s="92"/>
      <c r="F74" s="92"/>
      <c r="G74" s="92"/>
      <c r="H74" s="92"/>
      <c r="I74" s="92"/>
      <c r="J74" s="92"/>
      <c r="K74" s="92"/>
      <c r="L74" s="92"/>
      <c r="M74" s="92"/>
      <c r="N74" s="92"/>
      <c r="O74" s="92"/>
      <c r="P74" s="92"/>
      <c r="Q74" s="92"/>
      <c r="R74" s="92"/>
      <c r="S74" s="92"/>
      <c r="T74" s="92"/>
      <c r="U74" s="92"/>
      <c r="V74" s="92"/>
      <c r="W74" s="92"/>
      <c r="X74" s="92"/>
      <c r="Y74" s="92"/>
      <c r="Z74" s="92"/>
      <c r="AA74" s="92"/>
      <c r="AB74" s="92"/>
      <c r="AC74" s="92"/>
      <c r="AD74" s="92"/>
    </row>
    <row r="75" customFormat="false" ht="14.25" hidden="false" customHeight="false" outlineLevel="0" collapsed="false">
      <c r="C75" s="92"/>
      <c r="D75" s="92"/>
      <c r="E75" s="92"/>
      <c r="F75" s="92"/>
      <c r="G75" s="92"/>
      <c r="H75" s="92"/>
      <c r="I75" s="92"/>
      <c r="J75" s="92"/>
      <c r="K75" s="92"/>
      <c r="L75" s="92"/>
      <c r="M75" s="92"/>
      <c r="N75" s="92"/>
      <c r="O75" s="92"/>
      <c r="P75" s="92"/>
      <c r="Q75" s="92"/>
      <c r="R75" s="92"/>
      <c r="S75" s="92"/>
      <c r="T75" s="92"/>
      <c r="U75" s="92"/>
      <c r="V75" s="92"/>
      <c r="W75" s="92"/>
      <c r="X75" s="92"/>
      <c r="Y75" s="92"/>
      <c r="Z75" s="92"/>
      <c r="AA75" s="92"/>
      <c r="AB75" s="92"/>
      <c r="AC75" s="92"/>
      <c r="AD75" s="92"/>
    </row>
    <row r="76" customFormat="false" ht="14.25" hidden="false" customHeight="false" outlineLevel="0" collapsed="false">
      <c r="C76" s="92"/>
      <c r="D76" s="92"/>
      <c r="E76" s="92"/>
      <c r="F76" s="92"/>
      <c r="G76" s="92"/>
      <c r="H76" s="92"/>
      <c r="I76" s="92"/>
      <c r="J76" s="92"/>
      <c r="K76" s="92"/>
      <c r="L76" s="92"/>
      <c r="M76" s="92"/>
      <c r="N76" s="92"/>
      <c r="O76" s="92"/>
      <c r="P76" s="92"/>
      <c r="Q76" s="92"/>
      <c r="R76" s="92"/>
      <c r="S76" s="92"/>
      <c r="T76" s="92"/>
      <c r="U76" s="92"/>
      <c r="V76" s="92"/>
      <c r="W76" s="92"/>
      <c r="X76" s="92"/>
      <c r="Y76" s="92"/>
      <c r="Z76" s="92"/>
      <c r="AA76" s="92"/>
      <c r="AB76" s="92"/>
      <c r="AC76" s="92"/>
      <c r="AD76" s="92"/>
    </row>
  </sheetData>
  <mergeCells count="24">
    <mergeCell ref="A1:B2"/>
    <mergeCell ref="C1:W1"/>
    <mergeCell ref="A3:A43"/>
    <mergeCell ref="B3:B4"/>
    <mergeCell ref="B5:B6"/>
    <mergeCell ref="B7:B8"/>
    <mergeCell ref="B9:B10"/>
    <mergeCell ref="B11:B12"/>
    <mergeCell ref="B13:B14"/>
    <mergeCell ref="B15:B16"/>
    <mergeCell ref="B17:B18"/>
    <mergeCell ref="B19:B20"/>
    <mergeCell ref="B21:B22"/>
    <mergeCell ref="B23:B24"/>
    <mergeCell ref="B25:B26"/>
    <mergeCell ref="B27:B28"/>
    <mergeCell ref="B29:B30"/>
    <mergeCell ref="B31:B32"/>
    <mergeCell ref="B33:B34"/>
    <mergeCell ref="B35:B36"/>
    <mergeCell ref="B37:B38"/>
    <mergeCell ref="B39:B40"/>
    <mergeCell ref="B41:B42"/>
    <mergeCell ref="B43:B44"/>
  </mergeCells>
  <conditionalFormatting sqref="B3 B5 B7 B9 B11 B13 B15 B17 B19 B21 B23 B25 B27 B29 B31 B33 B35 B37 B39 B41 B43">
    <cfRule type="cellIs" priority="2" operator="equal" aboveAverage="0" equalAverage="0" bottom="0" percent="0" rank="0" text="" dxfId="36">
      <formula>0</formula>
    </cfRule>
  </conditionalFormatting>
  <conditionalFormatting sqref="C2:W2">
    <cfRule type="cellIs" priority="3" operator="equal" aboveAverage="0" equalAverage="0" bottom="0" percent="0" rank="0" text="" dxfId="37">
      <formula>0</formula>
    </cfRule>
  </conditionalFormatting>
  <conditionalFormatting sqref="C3:W44">
    <cfRule type="colorScale" priority="4">
      <colorScale>
        <cfvo type="num" val="-100"/>
        <cfvo type="num" val="-60"/>
        <cfvo type="num" val="20"/>
        <color rgb="FF8FAADC"/>
        <color rgb="FFFFFFFF"/>
        <color rgb="FFFF6D6D"/>
      </colorScale>
    </cfRule>
  </conditionalFormatting>
  <conditionalFormatting sqref="Y1:Y2 Y4:Y36">
    <cfRule type="cellIs" priority="5" operator="lessThan" aboveAverage="0" equalAverage="0" bottom="0" percent="0" rank="0" text="" dxfId="38">
      <formula>-100</formula>
    </cfRule>
  </conditionalFormatting>
  <conditionalFormatting sqref="Y1:Y44">
    <cfRule type="colorScale" priority="6">
      <colorScale>
        <cfvo type="formula" val="MIN($C$3:$W$44)"/>
        <cfvo type="formula" val="MAX($C$3:$W$44)"/>
        <color rgb="FFFCFCFF"/>
        <color rgb="FFF8696B"/>
      </colorScale>
    </cfRule>
  </conditionalFormatting>
  <conditionalFormatting sqref="Y1:Y1048576">
    <cfRule type="colorScale" priority="7">
      <colorScale>
        <cfvo type="num" val="-100"/>
        <cfvo type="num" val="-60"/>
        <cfvo type="num" val="20"/>
        <color rgb="FF8FAADC"/>
        <color rgb="FFFFFFFF"/>
        <color rgb="FFFF6D6D"/>
      </colorScale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L229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A11" activeCellId="0" sqref="AA11"/>
    </sheetView>
  </sheetViews>
  <sheetFormatPr defaultColWidth="9.1796875" defaultRowHeight="14.25" zeroHeight="false" outlineLevelRow="0" outlineLevelCol="0"/>
  <cols>
    <col collapsed="false" customWidth="true" hidden="false" outlineLevel="0" max="1" min="1" style="80" width="4.18"/>
    <col collapsed="false" customWidth="false" hidden="false" outlineLevel="0" max="2" min="2" style="80" width="9.18"/>
    <col collapsed="false" customWidth="true" hidden="false" outlineLevel="0" max="23" min="3" style="80" width="6.73"/>
    <col collapsed="false" customWidth="true" hidden="false" outlineLevel="0" max="26" min="24" style="80" width="5.73"/>
    <col collapsed="false" customWidth="true" hidden="false" outlineLevel="0" max="27" min="27" style="126" width="7.18"/>
    <col collapsed="false" customWidth="true" hidden="false" outlineLevel="0" max="28" min="28" style="127" width="7.46"/>
    <col collapsed="false" customWidth="true" hidden="false" outlineLevel="0" max="29" min="29" style="126" width="6.54"/>
    <col collapsed="false" customWidth="true" hidden="false" outlineLevel="0" max="30" min="30" style="128" width="5.73"/>
    <col collapsed="false" customWidth="true" hidden="false" outlineLevel="0" max="31" min="31" style="129" width="5.73"/>
    <col collapsed="false" customWidth="true" hidden="false" outlineLevel="0" max="33" min="32" style="130" width="5.73"/>
    <col collapsed="false" customWidth="true" hidden="false" outlineLevel="0" max="34" min="34" style="128" width="5.73"/>
    <col collapsed="false" customWidth="true" hidden="false" outlineLevel="0" max="35" min="35" style="131" width="5.82"/>
    <col collapsed="false" customWidth="true" hidden="false" outlineLevel="0" max="36" min="36" style="131" width="7.46"/>
    <col collapsed="false" customWidth="false" hidden="false" outlineLevel="0" max="1024" min="37" style="80" width="9.18"/>
  </cols>
  <sheetData>
    <row r="1" customFormat="false" ht="15" hidden="false" customHeight="false" outlineLevel="0" collapsed="false">
      <c r="A1" s="81"/>
      <c r="B1" s="81"/>
      <c r="C1" s="132" t="s">
        <v>186</v>
      </c>
      <c r="D1" s="132"/>
      <c r="E1" s="132"/>
      <c r="F1" s="132"/>
      <c r="G1" s="132"/>
      <c r="H1" s="132"/>
      <c r="I1" s="132"/>
      <c r="J1" s="132"/>
      <c r="K1" s="132"/>
      <c r="L1" s="132"/>
      <c r="M1" s="132"/>
      <c r="N1" s="132"/>
      <c r="O1" s="132"/>
      <c r="P1" s="132"/>
      <c r="Q1" s="132"/>
      <c r="R1" s="132"/>
      <c r="S1" s="132"/>
      <c r="T1" s="132"/>
      <c r="U1" s="132"/>
      <c r="V1" s="132"/>
      <c r="W1" s="132"/>
      <c r="AA1" s="133" t="s">
        <v>191</v>
      </c>
      <c r="AB1" s="133"/>
      <c r="AC1" s="134" t="s">
        <v>192</v>
      </c>
      <c r="AD1" s="135"/>
      <c r="AE1" s="133" t="s">
        <v>193</v>
      </c>
      <c r="AF1" s="133"/>
      <c r="AG1" s="133"/>
      <c r="AH1" s="133"/>
      <c r="AI1" s="133" t="s">
        <v>194</v>
      </c>
      <c r="AJ1" s="133"/>
    </row>
    <row r="2" customFormat="false" ht="15" hidden="false" customHeight="false" outlineLevel="0" collapsed="false">
      <c r="A2" s="81"/>
      <c r="B2" s="81"/>
      <c r="C2" s="83" t="str">
        <f aca="false">Neu!$B4</f>
        <v>B4</v>
      </c>
      <c r="D2" s="84" t="str">
        <f aca="false">Neu!$B5</f>
        <v>B8</v>
      </c>
      <c r="E2" s="84" t="str">
        <f aca="false">Neu!$B6</f>
        <v>B20</v>
      </c>
      <c r="F2" s="84" t="str">
        <f aca="false">Neu!$B7</f>
        <v>B30</v>
      </c>
      <c r="G2" s="84" t="str">
        <f aca="false">Neu!$B8</f>
        <v>B31s</v>
      </c>
      <c r="H2" s="84" t="str">
        <f aca="false">Neu!$B9</f>
        <v>B31a</v>
      </c>
      <c r="I2" s="84" t="str">
        <f aca="false">Neu!$B10</f>
        <v>B34</v>
      </c>
      <c r="J2" s="84" t="str">
        <f aca="false">Neu!$B11</f>
        <v>B35</v>
      </c>
      <c r="K2" s="84" t="str">
        <f aca="false">Neu!$B12</f>
        <v>B40</v>
      </c>
      <c r="L2" s="84" t="str">
        <f aca="false">Neu!$B13</f>
        <v>B51s</v>
      </c>
      <c r="M2" s="84" t="str">
        <f aca="false">Neu!$B14</f>
        <v>B51a</v>
      </c>
      <c r="N2" s="84" t="str">
        <f aca="false">Neu!$B15</f>
        <v>B52</v>
      </c>
      <c r="O2" s="84" t="str">
        <f aca="false">Neu!$B16</f>
        <v>B63</v>
      </c>
      <c r="P2" s="84" t="str">
        <f aca="false">Neu!$B17</f>
        <v>B64s</v>
      </c>
      <c r="Q2" s="84" t="str">
        <f aca="false">Neu!$B18</f>
        <v>B64a</v>
      </c>
      <c r="R2" s="84" t="str">
        <f aca="false">Neu!$B19</f>
        <v>B65</v>
      </c>
      <c r="S2" s="84" t="str">
        <f aca="false">Neu!$B20</f>
        <v>CBI2</v>
      </c>
      <c r="T2" s="84" t="n">
        <f aca="false">Neu!$B21</f>
        <v>0</v>
      </c>
      <c r="U2" s="84" t="n">
        <f aca="false">Neu!$B22</f>
        <v>0</v>
      </c>
      <c r="V2" s="84" t="n">
        <f aca="false">Neu!$B23</f>
        <v>0</v>
      </c>
      <c r="W2" s="85" t="n">
        <f aca="false">Neu!$B24</f>
        <v>0</v>
      </c>
      <c r="AA2" s="135" t="s">
        <v>195</v>
      </c>
      <c r="AB2" s="135" t="s">
        <v>196</v>
      </c>
      <c r="AC2" s="135" t="s">
        <v>197</v>
      </c>
      <c r="AD2" s="135" t="s">
        <v>198</v>
      </c>
      <c r="AE2" s="135" t="s">
        <v>21</v>
      </c>
      <c r="AF2" s="135" t="s">
        <v>22</v>
      </c>
      <c r="AG2" s="135" t="s">
        <v>19</v>
      </c>
      <c r="AH2" s="135" t="s">
        <v>199</v>
      </c>
      <c r="AI2" s="135" t="s">
        <v>53</v>
      </c>
      <c r="AJ2" s="15" t="s">
        <v>200</v>
      </c>
    </row>
    <row r="3" customFormat="false" ht="14.25" hidden="false" customHeight="true" outlineLevel="0" collapsed="false">
      <c r="A3" s="86" t="s">
        <v>187</v>
      </c>
      <c r="B3" s="47" t="str">
        <f aca="false">Neu!B4</f>
        <v>B4</v>
      </c>
      <c r="C3" s="87"/>
      <c r="D3" s="88" t="n">
        <v>2</v>
      </c>
      <c r="E3" s="88"/>
      <c r="F3" s="89"/>
      <c r="G3" s="88" t="n">
        <v>2</v>
      </c>
      <c r="H3" s="88"/>
      <c r="I3" s="88"/>
      <c r="J3" s="88"/>
      <c r="K3" s="89"/>
      <c r="L3" s="88" t="n">
        <v>36</v>
      </c>
      <c r="M3" s="88"/>
      <c r="N3" s="88" t="n">
        <v>2</v>
      </c>
      <c r="O3" s="88"/>
      <c r="P3" s="89" t="n">
        <v>2</v>
      </c>
      <c r="Q3" s="88"/>
      <c r="R3" s="88"/>
      <c r="S3" s="88"/>
      <c r="T3" s="88"/>
      <c r="U3" s="88"/>
      <c r="V3" s="88"/>
      <c r="W3" s="90"/>
      <c r="X3" s="136" t="s">
        <v>188</v>
      </c>
      <c r="Y3" s="80" t="n">
        <f aca="false">COUNTIF($C$3:$W$44,ROW(Z3)-2)</f>
        <v>11</v>
      </c>
      <c r="Z3" s="80" t="n">
        <f aca="false">IF(ROW(AA3)-2&lt;=MAX($C$3:$W$44),ROW(AA3)-2,"")</f>
        <v>1</v>
      </c>
      <c r="AA3" s="137" t="n">
        <v>0.01</v>
      </c>
      <c r="AB3" s="138"/>
      <c r="AC3" s="137"/>
      <c r="AD3" s="139"/>
      <c r="AE3" s="140"/>
      <c r="AF3" s="141"/>
      <c r="AG3" s="141"/>
      <c r="AH3" s="139"/>
      <c r="AK3" s="136"/>
    </row>
    <row r="4" customFormat="false" ht="14.25" hidden="false" customHeight="true" outlineLevel="0" collapsed="false">
      <c r="A4" s="86"/>
      <c r="B4" s="47"/>
      <c r="C4" s="93"/>
      <c r="D4" s="94"/>
      <c r="E4" s="94"/>
      <c r="F4" s="95"/>
      <c r="G4" s="94"/>
      <c r="H4" s="94"/>
      <c r="I4" s="94"/>
      <c r="J4" s="94"/>
      <c r="K4" s="95"/>
      <c r="L4" s="94"/>
      <c r="M4" s="94"/>
      <c r="N4" s="94"/>
      <c r="O4" s="94"/>
      <c r="P4" s="95"/>
      <c r="Q4" s="94"/>
      <c r="R4" s="94"/>
      <c r="S4" s="94"/>
      <c r="T4" s="94"/>
      <c r="U4" s="94"/>
      <c r="V4" s="94"/>
      <c r="W4" s="96"/>
      <c r="X4" s="136" t="s">
        <v>190</v>
      </c>
      <c r="Y4" s="80" t="n">
        <f aca="false">COUNTIF($C$3:$W$44,ROW(Z4)-2)</f>
        <v>11</v>
      </c>
      <c r="Z4" s="80" t="n">
        <f aca="false">IF(ROW(AA4)-2&lt;=MAX($C$3:$W$44),ROW(AA4)-2,"")</f>
        <v>2</v>
      </c>
      <c r="AA4" s="126" t="n">
        <v>0.015</v>
      </c>
      <c r="AK4" s="136"/>
    </row>
    <row r="5" customFormat="false" ht="14.25" hidden="false" customHeight="true" outlineLevel="0" collapsed="false">
      <c r="A5" s="86"/>
      <c r="B5" s="50" t="str">
        <f aca="false">Neu!B5</f>
        <v>B8</v>
      </c>
      <c r="C5" s="98"/>
      <c r="D5" s="99"/>
      <c r="E5" s="100"/>
      <c r="F5" s="101"/>
      <c r="G5" s="100"/>
      <c r="H5" s="100"/>
      <c r="I5" s="100"/>
      <c r="J5" s="100"/>
      <c r="K5" s="101"/>
      <c r="L5" s="100"/>
      <c r="M5" s="100"/>
      <c r="N5" s="100"/>
      <c r="O5" s="100"/>
      <c r="P5" s="101"/>
      <c r="Q5" s="100"/>
      <c r="R5" s="100"/>
      <c r="S5" s="100"/>
      <c r="T5" s="100"/>
      <c r="U5" s="100"/>
      <c r="V5" s="100"/>
      <c r="W5" s="102"/>
      <c r="Y5" s="80" t="n">
        <f aca="false">COUNTIF($C$3:$W$44,ROW(Z5)-2)</f>
        <v>3</v>
      </c>
      <c r="Z5" s="80" t="n">
        <f aca="false">IF(ROW(AA5)-2&lt;=MAX($C$3:$W$44),ROW(AA5)-2,"")</f>
        <v>3</v>
      </c>
      <c r="AA5" s="126" t="n">
        <v>0.1</v>
      </c>
    </row>
    <row r="6" customFormat="false" ht="14.25" hidden="false" customHeight="true" outlineLevel="0" collapsed="false">
      <c r="A6" s="86"/>
      <c r="B6" s="50"/>
      <c r="C6" s="103"/>
      <c r="D6" s="104"/>
      <c r="E6" s="105"/>
      <c r="F6" s="106"/>
      <c r="G6" s="105"/>
      <c r="H6" s="105"/>
      <c r="I6" s="105"/>
      <c r="J6" s="105"/>
      <c r="K6" s="106"/>
      <c r="L6" s="105"/>
      <c r="M6" s="105"/>
      <c r="N6" s="105"/>
      <c r="O6" s="105"/>
      <c r="P6" s="106"/>
      <c r="Q6" s="105"/>
      <c r="R6" s="105"/>
      <c r="S6" s="105"/>
      <c r="T6" s="105"/>
      <c r="U6" s="105"/>
      <c r="V6" s="105"/>
      <c r="W6" s="107"/>
      <c r="Y6" s="80" t="n">
        <f aca="false">COUNTIF($C$3:$W$44,ROW(Z6)-2)</f>
        <v>3</v>
      </c>
      <c r="Z6" s="80" t="n">
        <f aca="false">IF(ROW(AA6)-2&lt;=MAX($C$3:$W$44),ROW(AA6)-2,"")</f>
        <v>4</v>
      </c>
      <c r="AA6" s="126" t="n">
        <v>0.2</v>
      </c>
    </row>
    <row r="7" customFormat="false" ht="14.25" hidden="false" customHeight="true" outlineLevel="0" collapsed="false">
      <c r="A7" s="86"/>
      <c r="B7" s="50" t="str">
        <f aca="false">Neu!B6</f>
        <v>B20</v>
      </c>
      <c r="C7" s="98" t="n">
        <v>10</v>
      </c>
      <c r="D7" s="100" t="n">
        <v>5</v>
      </c>
      <c r="E7" s="99"/>
      <c r="F7" s="101"/>
      <c r="G7" s="100"/>
      <c r="H7" s="100"/>
      <c r="I7" s="100"/>
      <c r="J7" s="100"/>
      <c r="K7" s="101"/>
      <c r="L7" s="100"/>
      <c r="M7" s="100"/>
      <c r="N7" s="100"/>
      <c r="O7" s="100"/>
      <c r="P7" s="101"/>
      <c r="Q7" s="100"/>
      <c r="R7" s="100"/>
      <c r="S7" s="100"/>
      <c r="T7" s="100"/>
      <c r="U7" s="100"/>
      <c r="V7" s="100"/>
      <c r="W7" s="102"/>
      <c r="Y7" s="80" t="n">
        <f aca="false">COUNTIF($C$3:$W$44,ROW(Z7)-2)</f>
        <v>3</v>
      </c>
      <c r="Z7" s="80" t="n">
        <f aca="false">IF(ROW(AA7)-2&lt;=MAX($C$3:$W$44),ROW(AA7)-2,"")</f>
        <v>5</v>
      </c>
      <c r="AA7" s="126" t="n">
        <v>0.004</v>
      </c>
      <c r="AB7" s="127" t="n">
        <v>0.0015</v>
      </c>
      <c r="AI7" s="131" t="s">
        <v>1</v>
      </c>
      <c r="AJ7" s="131" t="n">
        <v>0.5</v>
      </c>
    </row>
    <row r="8" customFormat="false" ht="14.25" hidden="false" customHeight="true" outlineLevel="0" collapsed="false">
      <c r="A8" s="86"/>
      <c r="B8" s="50"/>
      <c r="C8" s="103" t="n">
        <v>25</v>
      </c>
      <c r="D8" s="105" t="n">
        <v>6</v>
      </c>
      <c r="E8" s="104"/>
      <c r="F8" s="106"/>
      <c r="G8" s="105"/>
      <c r="H8" s="105"/>
      <c r="I8" s="105"/>
      <c r="J8" s="105"/>
      <c r="K8" s="106"/>
      <c r="L8" s="105"/>
      <c r="M8" s="105"/>
      <c r="N8" s="105"/>
      <c r="O8" s="105"/>
      <c r="P8" s="106"/>
      <c r="Q8" s="105"/>
      <c r="R8" s="105"/>
      <c r="S8" s="105"/>
      <c r="T8" s="105"/>
      <c r="U8" s="105"/>
      <c r="V8" s="105"/>
      <c r="W8" s="107"/>
      <c r="Y8" s="80" t="n">
        <f aca="false">COUNTIF($C$3:$W$44,ROW(Z8)-2)</f>
        <v>2</v>
      </c>
      <c r="Z8" s="80" t="n">
        <f aca="false">IF(ROW(AA8)-2&lt;=MAX($C$3:$W$44),ROW(AA8)-2,"")</f>
        <v>6</v>
      </c>
      <c r="AA8" s="126" t="n">
        <v>1</v>
      </c>
      <c r="AE8" s="129" t="n">
        <v>-31</v>
      </c>
      <c r="AF8" s="130" t="n">
        <v>3</v>
      </c>
      <c r="AG8" s="130" t="n">
        <v>1</v>
      </c>
      <c r="AH8" s="128" t="n">
        <v>0.5</v>
      </c>
      <c r="AI8" s="131" t="s">
        <v>1</v>
      </c>
      <c r="AJ8" s="131" t="n">
        <v>0.5</v>
      </c>
    </row>
    <row r="9" customFormat="false" ht="14.25" hidden="false" customHeight="true" outlineLevel="0" collapsed="false">
      <c r="A9" s="86"/>
      <c r="B9" s="50" t="str">
        <f aca="false">Neu!B7</f>
        <v>B30</v>
      </c>
      <c r="C9" s="98"/>
      <c r="D9" s="100" t="n">
        <v>7</v>
      </c>
      <c r="E9" s="100"/>
      <c r="F9" s="108"/>
      <c r="G9" s="100" t="n">
        <v>8</v>
      </c>
      <c r="H9" s="100"/>
      <c r="I9" s="100"/>
      <c r="J9" s="100"/>
      <c r="K9" s="101"/>
      <c r="L9" s="100"/>
      <c r="M9" s="100"/>
      <c r="N9" s="100"/>
      <c r="O9" s="100" t="n">
        <v>9</v>
      </c>
      <c r="P9" s="101" t="n">
        <v>10</v>
      </c>
      <c r="Q9" s="100"/>
      <c r="R9" s="100"/>
      <c r="S9" s="100"/>
      <c r="T9" s="100"/>
      <c r="U9" s="100"/>
      <c r="V9" s="100"/>
      <c r="W9" s="102"/>
      <c r="Y9" s="80" t="n">
        <f aca="false">COUNTIF($C$3:$W$44,ROW(Z9)-2)</f>
        <v>1</v>
      </c>
      <c r="Z9" s="80" t="n">
        <f aca="false">IF(ROW(AA9)-2&lt;=MAX($C$3:$W$44),ROW(AA9)-2,"")</f>
        <v>7</v>
      </c>
      <c r="AA9" s="126" t="n">
        <v>0.2</v>
      </c>
      <c r="AB9" s="127" t="n">
        <v>0.001</v>
      </c>
      <c r="AK9" s="136" t="s">
        <v>201</v>
      </c>
    </row>
    <row r="10" customFormat="false" ht="14.25" hidden="false" customHeight="true" outlineLevel="0" collapsed="false">
      <c r="A10" s="86"/>
      <c r="B10" s="50"/>
      <c r="C10" s="103"/>
      <c r="D10" s="105" t="n">
        <v>26</v>
      </c>
      <c r="E10" s="105"/>
      <c r="F10" s="112"/>
      <c r="G10" s="105"/>
      <c r="H10" s="105"/>
      <c r="I10" s="105"/>
      <c r="J10" s="105"/>
      <c r="K10" s="106"/>
      <c r="L10" s="105"/>
      <c r="M10" s="105"/>
      <c r="N10" s="105"/>
      <c r="O10" s="105"/>
      <c r="P10" s="106" t="n">
        <v>11</v>
      </c>
      <c r="Q10" s="105"/>
      <c r="R10" s="105"/>
      <c r="S10" s="105"/>
      <c r="T10" s="105"/>
      <c r="U10" s="105"/>
      <c r="V10" s="105"/>
      <c r="W10" s="107"/>
      <c r="Y10" s="80" t="n">
        <f aca="false">COUNTIF($C$3:$W$44,ROW(Z10)-2)</f>
        <v>1</v>
      </c>
      <c r="Z10" s="80" t="n">
        <f aca="false">IF(ROW(AA10)-2&lt;=MAX($C$3:$W$44),ROW(AA10)-2,"")</f>
        <v>8</v>
      </c>
      <c r="AA10" s="126" t="n">
        <v>0.005</v>
      </c>
      <c r="AI10" s="131" t="s">
        <v>1</v>
      </c>
      <c r="AJ10" s="131" t="n">
        <v>0.5</v>
      </c>
      <c r="AL10" s="136"/>
    </row>
    <row r="11" customFormat="false" ht="14.25" hidden="false" customHeight="true" outlineLevel="0" collapsed="false">
      <c r="A11" s="86"/>
      <c r="B11" s="50" t="str">
        <f aca="false">Neu!B8</f>
        <v>B31s</v>
      </c>
      <c r="C11" s="98"/>
      <c r="D11" s="100"/>
      <c r="E11" s="100"/>
      <c r="F11" s="101"/>
      <c r="G11" s="99"/>
      <c r="H11" s="100"/>
      <c r="I11" s="100"/>
      <c r="J11" s="100"/>
      <c r="K11" s="101"/>
      <c r="L11" s="100"/>
      <c r="M11" s="100"/>
      <c r="N11" s="100"/>
      <c r="O11" s="100"/>
      <c r="P11" s="101"/>
      <c r="Q11" s="100"/>
      <c r="R11" s="100"/>
      <c r="S11" s="100"/>
      <c r="T11" s="100"/>
      <c r="U11" s="100"/>
      <c r="V11" s="100"/>
      <c r="W11" s="102"/>
      <c r="Y11" s="80" t="n">
        <f aca="false">COUNTIF($C$3:$W$44,ROW(Z11)-2)</f>
        <v>9</v>
      </c>
      <c r="Z11" s="80" t="n">
        <f aca="false">IF(ROW(AA11)-2&lt;=MAX($C$3:$W$44),ROW(AA11)-2,"")</f>
        <v>9</v>
      </c>
      <c r="AA11" s="126" t="n">
        <v>0.01</v>
      </c>
      <c r="AI11" s="131" t="s">
        <v>1</v>
      </c>
      <c r="AJ11" s="131" t="n">
        <v>0.5</v>
      </c>
    </row>
    <row r="12" customFormat="false" ht="14.25" hidden="false" customHeight="true" outlineLevel="0" collapsed="false">
      <c r="A12" s="86"/>
      <c r="B12" s="50"/>
      <c r="C12" s="103"/>
      <c r="D12" s="105"/>
      <c r="E12" s="105"/>
      <c r="F12" s="106"/>
      <c r="G12" s="104"/>
      <c r="H12" s="105"/>
      <c r="I12" s="105"/>
      <c r="J12" s="105"/>
      <c r="K12" s="106"/>
      <c r="L12" s="105"/>
      <c r="M12" s="105"/>
      <c r="N12" s="105"/>
      <c r="O12" s="105"/>
      <c r="P12" s="106"/>
      <c r="Q12" s="105"/>
      <c r="R12" s="105"/>
      <c r="S12" s="105"/>
      <c r="T12" s="105"/>
      <c r="U12" s="105"/>
      <c r="V12" s="105"/>
      <c r="W12" s="107"/>
      <c r="Y12" s="80" t="n">
        <f aca="false">COUNTIF($C$3:$W$44,ROW(Z12)-2)</f>
        <v>3</v>
      </c>
      <c r="Z12" s="80" t="n">
        <f aca="false">IF(ROW(AA12)-2&lt;=MAX($C$3:$W$44),ROW(AA12)-2,"")</f>
        <v>10</v>
      </c>
      <c r="AA12" s="126" t="n">
        <v>0.02</v>
      </c>
    </row>
    <row r="13" customFormat="false" ht="14.25" hidden="false" customHeight="true" outlineLevel="0" collapsed="false">
      <c r="A13" s="86"/>
      <c r="B13" s="50" t="str">
        <f aca="false">Neu!B9</f>
        <v>B31a</v>
      </c>
      <c r="C13" s="98"/>
      <c r="D13" s="100"/>
      <c r="E13" s="100"/>
      <c r="F13" s="101"/>
      <c r="G13" s="100"/>
      <c r="H13" s="99"/>
      <c r="I13" s="100"/>
      <c r="J13" s="100"/>
      <c r="K13" s="101"/>
      <c r="L13" s="100"/>
      <c r="M13" s="100"/>
      <c r="N13" s="100"/>
      <c r="O13" s="100"/>
      <c r="P13" s="101" t="n">
        <v>3</v>
      </c>
      <c r="Q13" s="100"/>
      <c r="R13" s="100"/>
      <c r="S13" s="100"/>
      <c r="T13" s="100"/>
      <c r="U13" s="100"/>
      <c r="V13" s="100"/>
      <c r="W13" s="102"/>
      <c r="Y13" s="80" t="n">
        <f aca="false">COUNTIF($C$3:$W$44,ROW(Z13)-2)</f>
        <v>1</v>
      </c>
      <c r="Z13" s="80" t="n">
        <f aca="false">IF(ROW(AA13)-2&lt;=MAX($C$3:$W$44),ROW(AA13)-2,"")</f>
        <v>11</v>
      </c>
      <c r="AA13" s="126" t="n">
        <v>0.5</v>
      </c>
      <c r="AB13" s="127" t="n">
        <v>5</v>
      </c>
      <c r="AE13" s="129" t="n">
        <v>-30</v>
      </c>
      <c r="AF13" s="130" t="n">
        <v>15</v>
      </c>
      <c r="AG13" s="130" t="n">
        <v>1</v>
      </c>
      <c r="AH13" s="128" t="n">
        <v>0.5</v>
      </c>
      <c r="AK13" s="142" t="s">
        <v>202</v>
      </c>
    </row>
    <row r="14" customFormat="false" ht="14.25" hidden="false" customHeight="true" outlineLevel="0" collapsed="false">
      <c r="A14" s="86"/>
      <c r="B14" s="50"/>
      <c r="C14" s="103"/>
      <c r="D14" s="105"/>
      <c r="E14" s="105"/>
      <c r="F14" s="106"/>
      <c r="G14" s="105" t="n">
        <v>12</v>
      </c>
      <c r="H14" s="104"/>
      <c r="I14" s="105"/>
      <c r="J14" s="105"/>
      <c r="K14" s="106"/>
      <c r="L14" s="105"/>
      <c r="M14" s="105"/>
      <c r="N14" s="105"/>
      <c r="O14" s="105"/>
      <c r="P14" s="106"/>
      <c r="Q14" s="105"/>
      <c r="R14" s="105"/>
      <c r="S14" s="105"/>
      <c r="T14" s="105"/>
      <c r="U14" s="105"/>
      <c r="V14" s="105"/>
      <c r="W14" s="107"/>
      <c r="Y14" s="80" t="n">
        <f aca="false">COUNTIF($C$3:$W$44,ROW(Z14)-2)</f>
        <v>2</v>
      </c>
      <c r="Z14" s="80" t="n">
        <f aca="false">IF(ROW(AA14)-2&lt;=MAX($C$3:$W$44),ROW(AA14)-2,"")</f>
        <v>12</v>
      </c>
      <c r="AA14" s="126" t="n">
        <v>0.2</v>
      </c>
      <c r="AE14" s="129" t="n">
        <v>-48</v>
      </c>
      <c r="AF14" s="130" t="n">
        <v>4</v>
      </c>
      <c r="AG14" s="130" t="n">
        <v>3</v>
      </c>
      <c r="AH14" s="128" t="n">
        <v>0.1</v>
      </c>
      <c r="AI14" s="131" t="s">
        <v>1</v>
      </c>
      <c r="AJ14" s="131" t="n">
        <v>0.5</v>
      </c>
    </row>
    <row r="15" customFormat="false" ht="14.25" hidden="false" customHeight="true" outlineLevel="0" collapsed="false">
      <c r="A15" s="86"/>
      <c r="B15" s="50" t="str">
        <f aca="false">Neu!B10</f>
        <v>B34</v>
      </c>
      <c r="C15" s="98"/>
      <c r="D15" s="100" t="n">
        <v>1</v>
      </c>
      <c r="E15" s="100" t="n">
        <v>4</v>
      </c>
      <c r="F15" s="101"/>
      <c r="G15" s="100" t="n">
        <v>9</v>
      </c>
      <c r="H15" s="100"/>
      <c r="I15" s="99"/>
      <c r="J15" s="100"/>
      <c r="K15" s="101"/>
      <c r="L15" s="100"/>
      <c r="M15" s="100"/>
      <c r="N15" s="100"/>
      <c r="O15" s="100" t="n">
        <v>14</v>
      </c>
      <c r="P15" s="101" t="n">
        <v>4</v>
      </c>
      <c r="Q15" s="100"/>
      <c r="R15" s="100"/>
      <c r="S15" s="100"/>
      <c r="T15" s="100"/>
      <c r="U15" s="100"/>
      <c r="V15" s="100"/>
      <c r="W15" s="102"/>
      <c r="Y15" s="80" t="n">
        <f aca="false">COUNTIF($C$3:$W$44,ROW(Z15)-2)</f>
        <v>1</v>
      </c>
      <c r="Z15" s="80" t="n">
        <f aca="false">IF(ROW(AA15)-2&lt;=MAX($C$3:$W$44),ROW(AA15)-2,"")</f>
        <v>13</v>
      </c>
      <c r="AA15" s="126" t="n">
        <v>1.5</v>
      </c>
    </row>
    <row r="16" customFormat="false" ht="14.25" hidden="false" customHeight="true" outlineLevel="0" collapsed="false">
      <c r="A16" s="86"/>
      <c r="B16" s="50"/>
      <c r="C16" s="109"/>
      <c r="D16" s="94" t="n">
        <v>29</v>
      </c>
      <c r="E16" s="94"/>
      <c r="F16" s="95"/>
      <c r="G16" s="94" t="n">
        <v>37</v>
      </c>
      <c r="H16" s="94"/>
      <c r="I16" s="111"/>
      <c r="J16" s="94"/>
      <c r="K16" s="95"/>
      <c r="L16" s="94"/>
      <c r="M16" s="94"/>
      <c r="N16" s="94"/>
      <c r="O16" s="94"/>
      <c r="P16" s="95"/>
      <c r="Q16" s="94"/>
      <c r="R16" s="94"/>
      <c r="S16" s="94"/>
      <c r="T16" s="94"/>
      <c r="U16" s="94"/>
      <c r="V16" s="94"/>
      <c r="W16" s="96"/>
      <c r="Y16" s="80" t="n">
        <f aca="false">COUNTIF($C$3:$W$44,ROW(Z16)-2)</f>
        <v>1</v>
      </c>
      <c r="Z16" s="80" t="n">
        <f aca="false">IF(ROW(AA16)-2&lt;=MAX($C$3:$W$44),ROW(AA16)-2,"")</f>
        <v>14</v>
      </c>
      <c r="AA16" s="126" t="n">
        <v>0.025</v>
      </c>
      <c r="AC16" s="126" t="n">
        <v>0.5</v>
      </c>
      <c r="AD16" s="128" t="n">
        <v>1</v>
      </c>
    </row>
    <row r="17" customFormat="false" ht="14.25" hidden="false" customHeight="true" outlineLevel="0" collapsed="false">
      <c r="A17" s="86"/>
      <c r="B17" s="50" t="str">
        <f aca="false">Neu!B11</f>
        <v>B35</v>
      </c>
      <c r="C17" s="98" t="n">
        <v>15</v>
      </c>
      <c r="D17" s="100"/>
      <c r="E17" s="100"/>
      <c r="F17" s="101"/>
      <c r="G17" s="100"/>
      <c r="H17" s="100"/>
      <c r="I17" s="100"/>
      <c r="J17" s="99"/>
      <c r="K17" s="101"/>
      <c r="L17" s="100"/>
      <c r="M17" s="100" t="n">
        <v>2</v>
      </c>
      <c r="N17" s="100" t="n">
        <v>17</v>
      </c>
      <c r="O17" s="100"/>
      <c r="P17" s="101"/>
      <c r="Q17" s="100"/>
      <c r="R17" s="100"/>
      <c r="S17" s="100"/>
      <c r="T17" s="100"/>
      <c r="U17" s="100"/>
      <c r="V17" s="100"/>
      <c r="W17" s="102"/>
      <c r="Y17" s="80" t="n">
        <f aca="false">COUNTIF($C$3:$W$44,ROW(Z17)-2)</f>
        <v>1</v>
      </c>
      <c r="Z17" s="80" t="n">
        <f aca="false">IF(ROW(AA17)-2&lt;=MAX($C$3:$W$44),ROW(AA17)-2,"")</f>
        <v>15</v>
      </c>
      <c r="AA17" s="126" t="n">
        <v>0.02</v>
      </c>
      <c r="AC17" s="126" t="n">
        <v>0.042</v>
      </c>
      <c r="AD17" s="128" t="n">
        <v>15</v>
      </c>
    </row>
    <row r="18" customFormat="false" ht="14.25" hidden="false" customHeight="true" outlineLevel="0" collapsed="false">
      <c r="A18" s="86"/>
      <c r="B18" s="50"/>
      <c r="C18" s="103" t="n">
        <v>16</v>
      </c>
      <c r="D18" s="105"/>
      <c r="E18" s="105"/>
      <c r="F18" s="106"/>
      <c r="G18" s="105"/>
      <c r="H18" s="105"/>
      <c r="I18" s="105"/>
      <c r="J18" s="104"/>
      <c r="K18" s="106"/>
      <c r="L18" s="105"/>
      <c r="M18" s="105"/>
      <c r="N18" s="105" t="n">
        <v>18</v>
      </c>
      <c r="O18" s="105"/>
      <c r="P18" s="106"/>
      <c r="Q18" s="105"/>
      <c r="R18" s="105"/>
      <c r="S18" s="105"/>
      <c r="T18" s="105"/>
      <c r="U18" s="105"/>
      <c r="V18" s="105"/>
      <c r="W18" s="107"/>
      <c r="Y18" s="80" t="n">
        <f aca="false">COUNTIF($C$3:$W$44,ROW(Z18)-2)</f>
        <v>1</v>
      </c>
      <c r="Z18" s="80" t="n">
        <f aca="false">IF(ROW(AA18)-2&lt;=MAX($C$3:$W$44),ROW(AA18)-2,"")</f>
        <v>16</v>
      </c>
      <c r="AA18" s="126" t="n">
        <v>1.3</v>
      </c>
    </row>
    <row r="19" customFormat="false" ht="14.25" hidden="false" customHeight="true" outlineLevel="0" collapsed="false">
      <c r="A19" s="86"/>
      <c r="B19" s="50" t="str">
        <f aca="false">Neu!B12</f>
        <v>B40</v>
      </c>
      <c r="C19" s="98"/>
      <c r="D19" s="100" t="n">
        <v>2</v>
      </c>
      <c r="E19" s="100"/>
      <c r="F19" s="101"/>
      <c r="G19" s="100" t="n">
        <v>2</v>
      </c>
      <c r="H19" s="100"/>
      <c r="I19" s="100"/>
      <c r="J19" s="100"/>
      <c r="K19" s="108"/>
      <c r="L19" s="100"/>
      <c r="M19" s="100"/>
      <c r="N19" s="100"/>
      <c r="O19" s="100"/>
      <c r="P19" s="101" t="n">
        <v>2</v>
      </c>
      <c r="Q19" s="100"/>
      <c r="R19" s="100"/>
      <c r="S19" s="100"/>
      <c r="T19" s="100"/>
      <c r="U19" s="100"/>
      <c r="V19" s="100"/>
      <c r="W19" s="102"/>
      <c r="Y19" s="80" t="n">
        <f aca="false">COUNTIF($C$3:$W$44,ROW(Z19)-2)</f>
        <v>1</v>
      </c>
      <c r="Z19" s="80" t="n">
        <f aca="false">IF(ROW(AA19)-2&lt;=MAX($C$3:$W$44),ROW(AA19)-2,"")</f>
        <v>17</v>
      </c>
      <c r="AA19" s="126" t="n">
        <v>0.002</v>
      </c>
    </row>
    <row r="20" customFormat="false" ht="14.25" hidden="false" customHeight="true" outlineLevel="0" collapsed="false">
      <c r="A20" s="86"/>
      <c r="B20" s="50"/>
      <c r="C20" s="103"/>
      <c r="D20" s="105" t="n">
        <v>19</v>
      </c>
      <c r="E20" s="105"/>
      <c r="F20" s="106"/>
      <c r="G20" s="105"/>
      <c r="H20" s="105"/>
      <c r="I20" s="105"/>
      <c r="J20" s="105"/>
      <c r="K20" s="112"/>
      <c r="L20" s="105"/>
      <c r="M20" s="105"/>
      <c r="N20" s="105"/>
      <c r="O20" s="105"/>
      <c r="P20" s="106"/>
      <c r="Q20" s="105"/>
      <c r="R20" s="105"/>
      <c r="S20" s="105"/>
      <c r="T20" s="105"/>
      <c r="U20" s="105"/>
      <c r="V20" s="105"/>
      <c r="W20" s="107"/>
      <c r="Y20" s="80" t="n">
        <f aca="false">COUNTIF($C$3:$W$44,ROW(Z20)-2)</f>
        <v>1</v>
      </c>
      <c r="Z20" s="80" t="n">
        <f aca="false">IF(ROW(AA20)-2&lt;=MAX($C$3:$W$44),ROW(AA20)-2,"")</f>
        <v>18</v>
      </c>
      <c r="AA20" s="126" t="n">
        <v>4</v>
      </c>
    </row>
    <row r="21" customFormat="false" ht="14.25" hidden="false" customHeight="true" outlineLevel="0" collapsed="false">
      <c r="A21" s="86"/>
      <c r="B21" s="50" t="str">
        <f aca="false">Neu!B13</f>
        <v>B51s</v>
      </c>
      <c r="C21" s="98"/>
      <c r="D21" s="100"/>
      <c r="E21" s="100"/>
      <c r="F21" s="101"/>
      <c r="G21" s="100"/>
      <c r="H21" s="100"/>
      <c r="I21" s="100"/>
      <c r="J21" s="100"/>
      <c r="K21" s="101"/>
      <c r="L21" s="99"/>
      <c r="M21" s="100"/>
      <c r="N21" s="100"/>
      <c r="O21" s="100"/>
      <c r="P21" s="101"/>
      <c r="Q21" s="100"/>
      <c r="R21" s="100"/>
      <c r="S21" s="100"/>
      <c r="T21" s="100"/>
      <c r="U21" s="100"/>
      <c r="V21" s="100"/>
      <c r="W21" s="102"/>
      <c r="Y21" s="80" t="n">
        <f aca="false">COUNTIF($C$3:$W$44,ROW(Z21)-2)</f>
        <v>1</v>
      </c>
      <c r="Z21" s="80" t="n">
        <f aca="false">IF(ROW(AA21)-2&lt;=MAX($C$3:$W$44),ROW(AA21)-2,"")</f>
        <v>19</v>
      </c>
      <c r="AA21" s="126" t="n">
        <v>5</v>
      </c>
      <c r="AB21" s="127" t="n">
        <v>0.001</v>
      </c>
      <c r="AE21" s="129" t="n">
        <v>-31</v>
      </c>
      <c r="AF21" s="130" t="n">
        <v>3</v>
      </c>
      <c r="AG21" s="130" t="n">
        <v>1</v>
      </c>
    </row>
    <row r="22" customFormat="false" ht="14.25" hidden="false" customHeight="true" outlineLevel="0" collapsed="false">
      <c r="A22" s="86"/>
      <c r="B22" s="50"/>
      <c r="C22" s="103"/>
      <c r="D22" s="105"/>
      <c r="E22" s="105"/>
      <c r="F22" s="106"/>
      <c r="G22" s="105"/>
      <c r="H22" s="105"/>
      <c r="I22" s="105"/>
      <c r="J22" s="105"/>
      <c r="K22" s="106"/>
      <c r="L22" s="104"/>
      <c r="M22" s="105"/>
      <c r="N22" s="105"/>
      <c r="O22" s="105"/>
      <c r="P22" s="106"/>
      <c r="Q22" s="105"/>
      <c r="R22" s="105"/>
      <c r="S22" s="105"/>
      <c r="T22" s="105"/>
      <c r="U22" s="105"/>
      <c r="V22" s="105"/>
      <c r="W22" s="107"/>
      <c r="Y22" s="80" t="n">
        <f aca="false">COUNTIF($C$3:$W$44,ROW(Z22)-2)</f>
        <v>2</v>
      </c>
      <c r="Z22" s="80" t="n">
        <f aca="false">IF(ROW(AA22)-2&lt;=MAX($C$3:$W$44),ROW(AA22)-2,"")</f>
        <v>20</v>
      </c>
      <c r="AA22" s="126" t="n">
        <v>0.005</v>
      </c>
    </row>
    <row r="23" customFormat="false" ht="14.25" hidden="false" customHeight="true" outlineLevel="0" collapsed="false">
      <c r="A23" s="86"/>
      <c r="B23" s="50" t="str">
        <f aca="false">Neu!B14</f>
        <v>B51a</v>
      </c>
      <c r="C23" s="98"/>
      <c r="D23" s="100" t="n">
        <v>2</v>
      </c>
      <c r="E23" s="100"/>
      <c r="F23" s="101"/>
      <c r="G23" s="100"/>
      <c r="H23" s="100"/>
      <c r="I23" s="100"/>
      <c r="J23" s="100"/>
      <c r="K23" s="101"/>
      <c r="L23" s="100"/>
      <c r="M23" s="99"/>
      <c r="N23" s="100" t="n">
        <v>20</v>
      </c>
      <c r="O23" s="100"/>
      <c r="P23" s="101" t="n">
        <v>2</v>
      </c>
      <c r="Q23" s="100"/>
      <c r="R23" s="100"/>
      <c r="S23" s="100"/>
      <c r="T23" s="100"/>
      <c r="U23" s="100"/>
      <c r="V23" s="100"/>
      <c r="W23" s="102"/>
      <c r="Y23" s="80" t="n">
        <f aca="false">COUNTIF($C$3:$W$44,ROW(Z23)-2)</f>
        <v>1</v>
      </c>
      <c r="Z23" s="80" t="n">
        <f aca="false">IF(ROW(AA23)-2&lt;=MAX($C$3:$W$44),ROW(AA23)-2,"")</f>
        <v>21</v>
      </c>
      <c r="AA23" s="126" t="n">
        <v>0.03</v>
      </c>
    </row>
    <row r="24" customFormat="false" ht="14.25" hidden="false" customHeight="true" outlineLevel="0" collapsed="false">
      <c r="A24" s="86"/>
      <c r="B24" s="50"/>
      <c r="C24" s="109"/>
      <c r="D24" s="94"/>
      <c r="E24" s="94"/>
      <c r="F24" s="95"/>
      <c r="G24" s="94"/>
      <c r="H24" s="94"/>
      <c r="I24" s="94"/>
      <c r="J24" s="94"/>
      <c r="K24" s="95"/>
      <c r="L24" s="94"/>
      <c r="M24" s="111"/>
      <c r="N24" s="94"/>
      <c r="O24" s="94"/>
      <c r="P24" s="95"/>
      <c r="Q24" s="94"/>
      <c r="R24" s="94"/>
      <c r="S24" s="94"/>
      <c r="T24" s="94"/>
      <c r="U24" s="94"/>
      <c r="V24" s="94"/>
      <c r="W24" s="96"/>
      <c r="Y24" s="80" t="n">
        <f aca="false">COUNTIF($C$3:$W$44,ROW(Z24)-2)</f>
        <v>1</v>
      </c>
      <c r="Z24" s="80" t="n">
        <f aca="false">IF(ROW(AA24)-2&lt;=MAX($C$3:$W$44),ROW(AA24)-2,"")</f>
        <v>22</v>
      </c>
      <c r="AA24" s="126" t="n">
        <v>0.5</v>
      </c>
      <c r="AI24" s="131" t="s">
        <v>1</v>
      </c>
      <c r="AJ24" s="131" t="n">
        <v>0.5</v>
      </c>
    </row>
    <row r="25" customFormat="false" ht="14.25" hidden="false" customHeight="true" outlineLevel="0" collapsed="false">
      <c r="A25" s="86"/>
      <c r="B25" s="50" t="str">
        <f aca="false">Neu!B15</f>
        <v>B52</v>
      </c>
      <c r="C25" s="98"/>
      <c r="D25" s="100" t="n">
        <v>2</v>
      </c>
      <c r="E25" s="100"/>
      <c r="F25" s="101"/>
      <c r="G25" s="100"/>
      <c r="H25" s="100"/>
      <c r="I25" s="100"/>
      <c r="J25" s="100"/>
      <c r="K25" s="101"/>
      <c r="L25" s="100" t="n">
        <v>20</v>
      </c>
      <c r="M25" s="100"/>
      <c r="N25" s="99"/>
      <c r="O25" s="100"/>
      <c r="P25" s="101" t="n">
        <v>27</v>
      </c>
      <c r="Q25" s="100"/>
      <c r="R25" s="100"/>
      <c r="S25" s="100"/>
      <c r="T25" s="100"/>
      <c r="U25" s="100"/>
      <c r="V25" s="100"/>
      <c r="W25" s="102"/>
      <c r="Y25" s="80" t="n">
        <f aca="false">COUNTIF($C$3:$W$44,ROW(Z25)-2)</f>
        <v>1</v>
      </c>
      <c r="Z25" s="80" t="n">
        <f aca="false">IF(ROW(AA25)-2&lt;=MAX($C$3:$W$44),ROW(AA25)-2,"")</f>
        <v>23</v>
      </c>
      <c r="AA25" s="126" t="n">
        <v>0.015</v>
      </c>
      <c r="AI25" s="131" t="s">
        <v>1</v>
      </c>
      <c r="AJ25" s="131" t="n">
        <v>0.5</v>
      </c>
    </row>
    <row r="26" customFormat="false" ht="14.25" hidden="false" customHeight="true" outlineLevel="0" collapsed="false">
      <c r="A26" s="86"/>
      <c r="B26" s="50"/>
      <c r="C26" s="103"/>
      <c r="D26" s="105"/>
      <c r="E26" s="105"/>
      <c r="F26" s="106"/>
      <c r="G26" s="105"/>
      <c r="H26" s="105"/>
      <c r="I26" s="105"/>
      <c r="J26" s="105"/>
      <c r="K26" s="106"/>
      <c r="L26" s="105" t="n">
        <v>4</v>
      </c>
      <c r="M26" s="105"/>
      <c r="N26" s="104"/>
      <c r="O26" s="105"/>
      <c r="P26" s="106"/>
      <c r="Q26" s="105"/>
      <c r="R26" s="105"/>
      <c r="S26" s="105"/>
      <c r="T26" s="105"/>
      <c r="U26" s="105"/>
      <c r="V26" s="105"/>
      <c r="W26" s="107"/>
      <c r="Y26" s="80" t="n">
        <f aca="false">COUNTIF($C$3:$W$44,ROW(Z26)-2)</f>
        <v>1</v>
      </c>
      <c r="Z26" s="80" t="n">
        <f aca="false">IF(ROW(AA26)-2&lt;=MAX($C$3:$W$44),ROW(AA26)-2,"")</f>
        <v>24</v>
      </c>
      <c r="AA26" s="126" t="n">
        <v>0.1</v>
      </c>
      <c r="AI26" s="131" t="s">
        <v>1</v>
      </c>
      <c r="AJ26" s="131" t="n">
        <v>0.5</v>
      </c>
    </row>
    <row r="27" customFormat="false" ht="14.25" hidden="false" customHeight="true" outlineLevel="0" collapsed="false">
      <c r="A27" s="86"/>
      <c r="B27" s="50" t="str">
        <f aca="false">Neu!B16</f>
        <v>B63</v>
      </c>
      <c r="C27" s="98"/>
      <c r="D27" s="100" t="n">
        <v>21</v>
      </c>
      <c r="E27" s="100" t="n">
        <v>9</v>
      </c>
      <c r="F27" s="101"/>
      <c r="G27" s="100" t="n">
        <v>9</v>
      </c>
      <c r="H27" s="100" t="n">
        <v>9</v>
      </c>
      <c r="I27" s="100" t="n">
        <v>23</v>
      </c>
      <c r="J27" s="100"/>
      <c r="K27" s="101"/>
      <c r="L27" s="100"/>
      <c r="M27" s="100"/>
      <c r="N27" s="100"/>
      <c r="O27" s="99"/>
      <c r="P27" s="101" t="n">
        <v>38</v>
      </c>
      <c r="Q27" s="100"/>
      <c r="R27" s="100"/>
      <c r="S27" s="100"/>
      <c r="T27" s="100"/>
      <c r="U27" s="100"/>
      <c r="V27" s="100"/>
      <c r="W27" s="102"/>
      <c r="Y27" s="80" t="n">
        <f aca="false">COUNTIF($C$3:$W$44,ROW(Z27)-2)</f>
        <v>1</v>
      </c>
      <c r="Z27" s="80" t="n">
        <f aca="false">IF(ROW(AA27)-2&lt;=MAX($C$3:$W$44),ROW(AA27)-2,"")</f>
        <v>25</v>
      </c>
      <c r="AA27" s="126" t="n">
        <v>1.6</v>
      </c>
      <c r="AB27" s="127" t="n">
        <v>1.6</v>
      </c>
    </row>
    <row r="28" customFormat="false" ht="14.25" hidden="false" customHeight="true" outlineLevel="0" collapsed="false">
      <c r="A28" s="86"/>
      <c r="B28" s="50"/>
      <c r="C28" s="103"/>
      <c r="D28" s="105"/>
      <c r="E28" s="105" t="n">
        <v>22</v>
      </c>
      <c r="F28" s="106"/>
      <c r="G28" s="105" t="n">
        <v>12</v>
      </c>
      <c r="H28" s="105"/>
      <c r="I28" s="105"/>
      <c r="J28" s="105"/>
      <c r="K28" s="106"/>
      <c r="L28" s="105"/>
      <c r="M28" s="105"/>
      <c r="N28" s="105"/>
      <c r="O28" s="104"/>
      <c r="P28" s="106" t="n">
        <v>24</v>
      </c>
      <c r="Q28" s="105"/>
      <c r="R28" s="105" t="n">
        <v>3</v>
      </c>
      <c r="S28" s="105"/>
      <c r="T28" s="105"/>
      <c r="U28" s="105"/>
      <c r="V28" s="105"/>
      <c r="W28" s="107"/>
      <c r="Y28" s="80" t="n">
        <f aca="false">COUNTIF($C$3:$W$44,ROW(Z28)-2)</f>
        <v>1</v>
      </c>
      <c r="Z28" s="80" t="n">
        <f aca="false">IF(ROW(AA28)-2&lt;=MAX($C$3:$W$44),ROW(AA28)-2,"")</f>
        <v>26</v>
      </c>
      <c r="AA28" s="126" t="n">
        <v>3</v>
      </c>
    </row>
    <row r="29" customFormat="false" ht="14.25" hidden="false" customHeight="true" outlineLevel="0" collapsed="false">
      <c r="A29" s="86"/>
      <c r="B29" s="50" t="str">
        <f aca="false">Neu!B17</f>
        <v>B64s</v>
      </c>
      <c r="C29" s="98"/>
      <c r="D29" s="100"/>
      <c r="E29" s="100"/>
      <c r="F29" s="101"/>
      <c r="G29" s="100"/>
      <c r="H29" s="100"/>
      <c r="I29" s="100"/>
      <c r="J29" s="100"/>
      <c r="K29" s="101"/>
      <c r="L29" s="100"/>
      <c r="M29" s="100"/>
      <c r="N29" s="100"/>
      <c r="O29" s="100"/>
      <c r="P29" s="108"/>
      <c r="Q29" s="100"/>
      <c r="R29" s="100"/>
      <c r="S29" s="100"/>
      <c r="T29" s="100"/>
      <c r="U29" s="100"/>
      <c r="V29" s="100"/>
      <c r="W29" s="102"/>
      <c r="Y29" s="80" t="n">
        <f aca="false">COUNTIF($C$3:$W$44,ROW(Z29)-2)</f>
        <v>3</v>
      </c>
      <c r="Z29" s="80" t="n">
        <f aca="false">IF(ROW(AA29)-2&lt;=MAX($C$3:$W$44),ROW(AA29)-2,"")</f>
        <v>27</v>
      </c>
      <c r="AA29" s="126" t="n">
        <v>0.05</v>
      </c>
    </row>
    <row r="30" customFormat="false" ht="14.25" hidden="false" customHeight="true" outlineLevel="0" collapsed="false">
      <c r="A30" s="86"/>
      <c r="B30" s="50"/>
      <c r="C30" s="103"/>
      <c r="D30" s="105"/>
      <c r="E30" s="105"/>
      <c r="F30" s="106"/>
      <c r="G30" s="105"/>
      <c r="H30" s="105"/>
      <c r="I30" s="105"/>
      <c r="J30" s="105"/>
      <c r="K30" s="106"/>
      <c r="L30" s="105"/>
      <c r="M30" s="105"/>
      <c r="N30" s="105"/>
      <c r="O30" s="105"/>
      <c r="P30" s="112"/>
      <c r="Q30" s="105"/>
      <c r="R30" s="105"/>
      <c r="S30" s="105"/>
      <c r="T30" s="105"/>
      <c r="U30" s="105"/>
      <c r="V30" s="105"/>
      <c r="W30" s="107"/>
      <c r="Y30" s="80" t="n">
        <f aca="false">COUNTIF($C$3:$W$44,ROW(Z30)-2)</f>
        <v>1</v>
      </c>
      <c r="Z30" s="80" t="n">
        <f aca="false">IF(ROW(AA30)-2&lt;=MAX($C$3:$W$44),ROW(AA30)-2,"")</f>
        <v>28</v>
      </c>
      <c r="AA30" s="126" t="n">
        <v>0.03</v>
      </c>
      <c r="AB30" s="127" t="n">
        <v>0.08</v>
      </c>
      <c r="AC30" s="126" t="n">
        <v>0.06</v>
      </c>
      <c r="AD30" s="128" t="n">
        <v>7</v>
      </c>
    </row>
    <row r="31" customFormat="false" ht="14.25" hidden="false" customHeight="true" outlineLevel="0" collapsed="false">
      <c r="A31" s="86"/>
      <c r="B31" s="50" t="str">
        <f aca="false">Neu!B18</f>
        <v>B64a</v>
      </c>
      <c r="C31" s="98" t="n">
        <v>1</v>
      </c>
      <c r="D31" s="100" t="n">
        <v>1</v>
      </c>
      <c r="E31" s="100" t="n">
        <v>1</v>
      </c>
      <c r="F31" s="101" t="n">
        <v>1</v>
      </c>
      <c r="G31" s="100" t="n">
        <v>1</v>
      </c>
      <c r="H31" s="100" t="n">
        <v>1</v>
      </c>
      <c r="I31" s="100" t="n">
        <v>3</v>
      </c>
      <c r="J31" s="100" t="n">
        <v>10</v>
      </c>
      <c r="K31" s="101" t="n">
        <v>1</v>
      </c>
      <c r="L31" s="100"/>
      <c r="M31" s="100"/>
      <c r="N31" s="100" t="n">
        <v>1</v>
      </c>
      <c r="O31" s="100" t="n">
        <v>1</v>
      </c>
      <c r="P31" s="101"/>
      <c r="Q31" s="99"/>
      <c r="R31" s="100" t="n">
        <v>1</v>
      </c>
      <c r="S31" s="100" t="n">
        <v>27</v>
      </c>
      <c r="T31" s="100"/>
      <c r="U31" s="100"/>
      <c r="V31" s="100"/>
      <c r="W31" s="102"/>
      <c r="Y31" s="80" t="n">
        <f aca="false">COUNTIF($C$3:$W$44,ROW(Z31)-2)</f>
        <v>2</v>
      </c>
      <c r="Z31" s="80" t="n">
        <f aca="false">IF(ROW(AA31)-2&lt;=MAX($C$3:$W$44),ROW(AA31)-2,"")</f>
        <v>29</v>
      </c>
      <c r="AA31" s="126" t="n">
        <v>1</v>
      </c>
    </row>
    <row r="32" customFormat="false" ht="14.25" hidden="false" customHeight="true" outlineLevel="0" collapsed="false">
      <c r="A32" s="86"/>
      <c r="B32" s="50"/>
      <c r="C32" s="109"/>
      <c r="D32" s="94"/>
      <c r="E32" s="94"/>
      <c r="F32" s="95"/>
      <c r="G32" s="94"/>
      <c r="H32" s="94"/>
      <c r="I32" s="94"/>
      <c r="J32" s="94"/>
      <c r="K32" s="95"/>
      <c r="L32" s="94"/>
      <c r="M32" s="94"/>
      <c r="N32" s="94"/>
      <c r="O32" s="94"/>
      <c r="P32" s="95"/>
      <c r="Q32" s="111"/>
      <c r="R32" s="94"/>
      <c r="S32" s="94"/>
      <c r="T32" s="94"/>
      <c r="U32" s="94"/>
      <c r="V32" s="94"/>
      <c r="W32" s="96"/>
      <c r="Y32" s="80" t="n">
        <f aca="false">COUNTIF($C$3:$W$44,ROW(Z32)-2)</f>
        <v>3</v>
      </c>
      <c r="Z32" s="80" t="n">
        <f aca="false">IF(ROW(AA32)-2&lt;=MAX($C$3:$W$44),ROW(AA32)-2,"")</f>
        <v>30</v>
      </c>
      <c r="AA32" s="126" t="n">
        <v>0.5</v>
      </c>
    </row>
    <row r="33" customFormat="false" ht="14.25" hidden="false" customHeight="true" outlineLevel="0" collapsed="false">
      <c r="A33" s="86"/>
      <c r="B33" s="50" t="str">
        <f aca="false">Neu!B19</f>
        <v>B65</v>
      </c>
      <c r="C33" s="98" t="n">
        <v>28</v>
      </c>
      <c r="D33" s="100" t="n">
        <v>32</v>
      </c>
      <c r="E33" s="100" t="n">
        <v>27</v>
      </c>
      <c r="F33" s="101" t="n">
        <v>31</v>
      </c>
      <c r="G33" s="100" t="n">
        <v>5</v>
      </c>
      <c r="H33" s="100"/>
      <c r="I33" s="100"/>
      <c r="J33" s="100"/>
      <c r="K33" s="101"/>
      <c r="L33" s="100"/>
      <c r="M33" s="100"/>
      <c r="N33" s="100"/>
      <c r="O33" s="100" t="n">
        <v>5</v>
      </c>
      <c r="P33" s="101" t="n">
        <v>32</v>
      </c>
      <c r="Q33" s="100"/>
      <c r="R33" s="99"/>
      <c r="S33" s="100"/>
      <c r="T33" s="100"/>
      <c r="U33" s="100"/>
      <c r="V33" s="100"/>
      <c r="W33" s="102"/>
      <c r="Y33" s="80" t="n">
        <f aca="false">COUNTIF($C$3:$W$44,ROW(Z33)-2)</f>
        <v>1</v>
      </c>
      <c r="Z33" s="80" t="n">
        <f aca="false">IF(ROW(AA33)-2&lt;=MAX($C$3:$W$44),ROW(AA33)-2,"")</f>
        <v>31</v>
      </c>
      <c r="AA33" s="126" t="n">
        <v>0.01</v>
      </c>
      <c r="AC33" s="126" t="n">
        <v>0.01</v>
      </c>
      <c r="AD33" s="128" t="n">
        <v>2.5</v>
      </c>
    </row>
    <row r="34" customFormat="false" ht="14.25" hidden="false" customHeight="true" outlineLevel="0" collapsed="false">
      <c r="A34" s="86"/>
      <c r="B34" s="50"/>
      <c r="C34" s="103"/>
      <c r="D34" s="105" t="n">
        <v>29</v>
      </c>
      <c r="E34" s="105" t="n">
        <v>30</v>
      </c>
      <c r="F34" s="106"/>
      <c r="G34" s="105"/>
      <c r="H34" s="105"/>
      <c r="I34" s="105"/>
      <c r="J34" s="105"/>
      <c r="K34" s="106" t="n">
        <v>13</v>
      </c>
      <c r="L34" s="105"/>
      <c r="M34" s="105"/>
      <c r="N34" s="105"/>
      <c r="O34" s="105"/>
      <c r="P34" s="106" t="n">
        <v>30</v>
      </c>
      <c r="Q34" s="105"/>
      <c r="R34" s="104"/>
      <c r="S34" s="105"/>
      <c r="T34" s="105"/>
      <c r="U34" s="105"/>
      <c r="V34" s="105"/>
      <c r="W34" s="107"/>
      <c r="Y34" s="80" t="n">
        <f aca="false">COUNTIF($C$3:$W$44,ROW(Z34)-2)</f>
        <v>2</v>
      </c>
      <c r="Z34" s="80" t="n">
        <f aca="false">IF(ROW(AA34)-2&lt;=MAX($C$3:$W$44),ROW(AA34)-2,"")</f>
        <v>32</v>
      </c>
      <c r="AA34" s="126" t="n">
        <v>0.004</v>
      </c>
      <c r="AB34" s="127" t="n">
        <v>0.0015</v>
      </c>
    </row>
    <row r="35" customFormat="false" ht="14.25" hidden="false" customHeight="true" outlineLevel="0" collapsed="false">
      <c r="A35" s="86"/>
      <c r="B35" s="50" t="str">
        <f aca="false">Neu!B20</f>
        <v>CBI2</v>
      </c>
      <c r="C35" s="98"/>
      <c r="D35" s="100"/>
      <c r="E35" s="100"/>
      <c r="F35" s="101"/>
      <c r="G35" s="100" t="n">
        <v>9</v>
      </c>
      <c r="H35" s="100"/>
      <c r="I35" s="100" t="n">
        <v>9</v>
      </c>
      <c r="J35" s="100"/>
      <c r="K35" s="101" t="n">
        <v>9</v>
      </c>
      <c r="L35" s="100"/>
      <c r="M35" s="100"/>
      <c r="N35" s="100"/>
      <c r="O35" s="100" t="n">
        <v>9</v>
      </c>
      <c r="P35" s="101"/>
      <c r="Q35" s="100"/>
      <c r="R35" s="100"/>
      <c r="S35" s="99"/>
      <c r="T35" s="100"/>
      <c r="U35" s="100"/>
      <c r="V35" s="100"/>
      <c r="W35" s="102"/>
      <c r="Y35" s="80" t="n">
        <f aca="false">COUNTIF($C$3:$W$44,ROW(Z35)-2)</f>
        <v>1</v>
      </c>
      <c r="Z35" s="80" t="n">
        <f aca="false">IF(ROW(AA35)-2&lt;=MAX($C$3:$W$44),ROW(AA35)-2,"")</f>
        <v>33</v>
      </c>
      <c r="AA35" s="126" t="n">
        <v>0.5</v>
      </c>
      <c r="AB35" s="127" t="n">
        <v>5</v>
      </c>
    </row>
    <row r="36" customFormat="false" ht="14.25" hidden="false" customHeight="true" outlineLevel="0" collapsed="false">
      <c r="A36" s="86"/>
      <c r="B36" s="50"/>
      <c r="C36" s="103"/>
      <c r="D36" s="105" t="n">
        <v>33</v>
      </c>
      <c r="E36" s="105" t="n">
        <v>30</v>
      </c>
      <c r="F36" s="106"/>
      <c r="G36" s="105" t="n">
        <v>34</v>
      </c>
      <c r="H36" s="105"/>
      <c r="I36" s="105" t="n">
        <v>6</v>
      </c>
      <c r="J36" s="105"/>
      <c r="K36" s="106" t="n">
        <v>35</v>
      </c>
      <c r="L36" s="105"/>
      <c r="M36" s="105"/>
      <c r="N36" s="105"/>
      <c r="O36" s="105" t="n">
        <v>34</v>
      </c>
      <c r="P36" s="106"/>
      <c r="Q36" s="105"/>
      <c r="R36" s="105"/>
      <c r="S36" s="104"/>
      <c r="T36" s="105"/>
      <c r="U36" s="105"/>
      <c r="V36" s="105"/>
      <c r="W36" s="107"/>
      <c r="Y36" s="80" t="n">
        <f aca="false">COUNTIF($C$3:$W$44,ROW(Z36)-2)</f>
        <v>2</v>
      </c>
      <c r="Z36" s="80" t="n">
        <f aca="false">IF(ROW(AA36)-2&lt;=MAX($C$3:$W$44),ROW(AA36)-2,"")</f>
        <v>34</v>
      </c>
      <c r="AA36" s="126" t="n">
        <v>0.5</v>
      </c>
      <c r="AB36" s="127" t="n">
        <v>5</v>
      </c>
      <c r="AI36" s="131" t="s">
        <v>1</v>
      </c>
      <c r="AJ36" s="131" t="n">
        <v>0.5</v>
      </c>
    </row>
    <row r="37" customFormat="false" ht="14.25" hidden="false" customHeight="true" outlineLevel="0" collapsed="false">
      <c r="A37" s="86"/>
      <c r="B37" s="50" t="n">
        <f aca="false">Neu!B21</f>
        <v>0</v>
      </c>
      <c r="C37" s="98"/>
      <c r="D37" s="100"/>
      <c r="E37" s="100"/>
      <c r="F37" s="101"/>
      <c r="G37" s="100"/>
      <c r="H37" s="100"/>
      <c r="I37" s="100"/>
      <c r="J37" s="100"/>
      <c r="K37" s="101"/>
      <c r="L37" s="100"/>
      <c r="M37" s="100"/>
      <c r="N37" s="100"/>
      <c r="O37" s="100"/>
      <c r="P37" s="101"/>
      <c r="Q37" s="100"/>
      <c r="R37" s="100"/>
      <c r="S37" s="100"/>
      <c r="T37" s="99"/>
      <c r="U37" s="100"/>
      <c r="V37" s="100"/>
      <c r="W37" s="102"/>
      <c r="Y37" s="80" t="n">
        <f aca="false">COUNTIF($C$3:$W$44,ROW(Z37)-2)</f>
        <v>1</v>
      </c>
      <c r="Z37" s="80" t="n">
        <f aca="false">IF(ROW(AA37)-2&lt;=MAX($C$3:$W$44),ROW(AA37)-2,"")</f>
        <v>35</v>
      </c>
      <c r="AA37" s="126" t="n">
        <v>0.2</v>
      </c>
      <c r="AB37" s="127" t="n">
        <v>2</v>
      </c>
      <c r="AI37" s="131" t="s">
        <v>1</v>
      </c>
      <c r="AJ37" s="131" t="n">
        <v>0.5</v>
      </c>
    </row>
    <row r="38" customFormat="false" ht="14.25" hidden="false" customHeight="true" outlineLevel="0" collapsed="false">
      <c r="A38" s="86"/>
      <c r="B38" s="50"/>
      <c r="C38" s="103"/>
      <c r="D38" s="105"/>
      <c r="E38" s="105"/>
      <c r="F38" s="106"/>
      <c r="G38" s="105"/>
      <c r="H38" s="105"/>
      <c r="I38" s="105"/>
      <c r="J38" s="105"/>
      <c r="K38" s="106"/>
      <c r="L38" s="105"/>
      <c r="M38" s="105"/>
      <c r="N38" s="105"/>
      <c r="O38" s="105"/>
      <c r="P38" s="106"/>
      <c r="Q38" s="105"/>
      <c r="R38" s="105"/>
      <c r="S38" s="105"/>
      <c r="T38" s="104"/>
      <c r="U38" s="105"/>
      <c r="V38" s="105"/>
      <c r="W38" s="107"/>
      <c r="Y38" s="80" t="n">
        <f aca="false">COUNTIF($C$3:$W$44,ROW(Z38)-2)</f>
        <v>1</v>
      </c>
      <c r="Z38" s="80" t="n">
        <v>36</v>
      </c>
      <c r="AA38" s="126" t="n">
        <v>0.005</v>
      </c>
      <c r="AB38" s="127" t="n">
        <v>0.2</v>
      </c>
    </row>
    <row r="39" customFormat="false" ht="14.25" hidden="false" customHeight="true" outlineLevel="0" collapsed="false">
      <c r="A39" s="86"/>
      <c r="B39" s="50" t="n">
        <f aca="false">Neu!B22</f>
        <v>0</v>
      </c>
      <c r="C39" s="98"/>
      <c r="D39" s="100"/>
      <c r="E39" s="100"/>
      <c r="F39" s="101"/>
      <c r="G39" s="100"/>
      <c r="H39" s="100"/>
      <c r="I39" s="100"/>
      <c r="J39" s="100"/>
      <c r="K39" s="101"/>
      <c r="L39" s="100"/>
      <c r="M39" s="100"/>
      <c r="N39" s="100"/>
      <c r="O39" s="100"/>
      <c r="P39" s="101"/>
      <c r="Q39" s="100"/>
      <c r="R39" s="100"/>
      <c r="S39" s="100"/>
      <c r="T39" s="100"/>
      <c r="U39" s="99"/>
      <c r="V39" s="100"/>
      <c r="W39" s="102"/>
      <c r="Y39" s="80" t="n">
        <f aca="false">COUNTIF($C$3:$W$44,ROW(Z39)-2)</f>
        <v>1</v>
      </c>
      <c r="Z39" s="80" t="n">
        <v>37</v>
      </c>
      <c r="AA39" s="126" t="n">
        <v>1.5</v>
      </c>
      <c r="AI39" s="131" t="s">
        <v>1</v>
      </c>
      <c r="AJ39" s="131" t="n">
        <v>0.5</v>
      </c>
    </row>
    <row r="40" customFormat="false" ht="14.25" hidden="false" customHeight="true" outlineLevel="0" collapsed="false">
      <c r="A40" s="86"/>
      <c r="B40" s="50"/>
      <c r="C40" s="103"/>
      <c r="D40" s="105"/>
      <c r="E40" s="105"/>
      <c r="F40" s="106"/>
      <c r="G40" s="105"/>
      <c r="H40" s="105"/>
      <c r="I40" s="105"/>
      <c r="J40" s="105"/>
      <c r="K40" s="106"/>
      <c r="L40" s="105"/>
      <c r="M40" s="105"/>
      <c r="N40" s="105"/>
      <c r="O40" s="105"/>
      <c r="P40" s="106"/>
      <c r="Q40" s="105"/>
      <c r="R40" s="105"/>
      <c r="S40" s="105"/>
      <c r="T40" s="105"/>
      <c r="U40" s="104"/>
      <c r="V40" s="105"/>
      <c r="W40" s="107"/>
      <c r="Y40" s="80" t="n">
        <f aca="false">COUNTIF($C$3:$W$44,ROW(Z40)-2)</f>
        <v>1</v>
      </c>
      <c r="Z40" s="80" t="n">
        <v>38</v>
      </c>
      <c r="AA40" s="126" t="n">
        <v>0.15</v>
      </c>
      <c r="AI40" s="131" t="s">
        <v>1</v>
      </c>
      <c r="AJ40" s="131" t="n">
        <v>0.5</v>
      </c>
    </row>
    <row r="41" customFormat="false" ht="14.25" hidden="false" customHeight="true" outlineLevel="0" collapsed="false">
      <c r="A41" s="86"/>
      <c r="B41" s="50" t="n">
        <f aca="false">Neu!B23</f>
        <v>0</v>
      </c>
      <c r="C41" s="98"/>
      <c r="D41" s="100"/>
      <c r="E41" s="100"/>
      <c r="F41" s="101"/>
      <c r="G41" s="100"/>
      <c r="H41" s="100"/>
      <c r="I41" s="100"/>
      <c r="J41" s="100"/>
      <c r="K41" s="101"/>
      <c r="L41" s="100"/>
      <c r="M41" s="100"/>
      <c r="N41" s="100"/>
      <c r="O41" s="100"/>
      <c r="P41" s="101"/>
      <c r="Q41" s="100"/>
      <c r="R41" s="100"/>
      <c r="S41" s="100"/>
      <c r="T41" s="100"/>
      <c r="U41" s="100"/>
      <c r="V41" s="99"/>
      <c r="W41" s="102"/>
      <c r="Y41" s="80" t="n">
        <f aca="false">COUNTIF($C$3:$W$44,ROW(Z41)-2)</f>
        <v>0</v>
      </c>
      <c r="Z41" s="80" t="n">
        <v>39</v>
      </c>
    </row>
    <row r="42" customFormat="false" ht="14.25" hidden="false" customHeight="true" outlineLevel="0" collapsed="false">
      <c r="A42" s="86"/>
      <c r="B42" s="50"/>
      <c r="C42" s="103"/>
      <c r="D42" s="105"/>
      <c r="E42" s="105"/>
      <c r="F42" s="106"/>
      <c r="G42" s="105"/>
      <c r="H42" s="105"/>
      <c r="I42" s="105"/>
      <c r="J42" s="105"/>
      <c r="K42" s="106"/>
      <c r="L42" s="105"/>
      <c r="M42" s="105"/>
      <c r="N42" s="105"/>
      <c r="O42" s="105"/>
      <c r="P42" s="106"/>
      <c r="Q42" s="105"/>
      <c r="R42" s="105"/>
      <c r="S42" s="105"/>
      <c r="T42" s="105"/>
      <c r="U42" s="105"/>
      <c r="V42" s="104"/>
      <c r="W42" s="107"/>
      <c r="Y42" s="80" t="n">
        <f aca="false">COUNTIF($C$3:$W$44,ROW(Z42)-2)</f>
        <v>0</v>
      </c>
      <c r="Z42" s="80" t="str">
        <f aca="false">IF(ROW(AA42)-2&lt;=MAX($C$3:$W$44),ROW(AA42)-2,"")</f>
        <v/>
      </c>
    </row>
    <row r="43" customFormat="false" ht="14.25" hidden="false" customHeight="true" outlineLevel="0" collapsed="false">
      <c r="A43" s="86"/>
      <c r="B43" s="51" t="n">
        <f aca="false">Neu!B24</f>
        <v>0</v>
      </c>
      <c r="C43" s="98"/>
      <c r="D43" s="100"/>
      <c r="E43" s="100"/>
      <c r="F43" s="101"/>
      <c r="G43" s="100"/>
      <c r="H43" s="100"/>
      <c r="I43" s="100"/>
      <c r="J43" s="100"/>
      <c r="K43" s="101"/>
      <c r="L43" s="100"/>
      <c r="M43" s="100"/>
      <c r="N43" s="100"/>
      <c r="O43" s="100"/>
      <c r="P43" s="101"/>
      <c r="Q43" s="100"/>
      <c r="R43" s="100"/>
      <c r="S43" s="100"/>
      <c r="T43" s="100"/>
      <c r="U43" s="100"/>
      <c r="V43" s="100"/>
      <c r="W43" s="113"/>
      <c r="Y43" s="80" t="n">
        <f aca="false">COUNTIF($C$3:$W$44,ROW(Z43)-2)</f>
        <v>0</v>
      </c>
      <c r="Z43" s="80" t="str">
        <f aca="false">IF(ROW(AA43)-2&lt;=MAX($C$3:$W$44),ROW(AA43)-2,"")</f>
        <v/>
      </c>
    </row>
    <row r="44" customFormat="false" ht="14.25" hidden="false" customHeight="true" outlineLevel="0" collapsed="false">
      <c r="A44" s="114"/>
      <c r="B44" s="51"/>
      <c r="C44" s="115"/>
      <c r="D44" s="116"/>
      <c r="E44" s="116"/>
      <c r="F44" s="117"/>
      <c r="G44" s="116"/>
      <c r="H44" s="116"/>
      <c r="I44" s="116"/>
      <c r="J44" s="116"/>
      <c r="K44" s="117"/>
      <c r="L44" s="116"/>
      <c r="M44" s="116"/>
      <c r="N44" s="116"/>
      <c r="O44" s="116"/>
      <c r="P44" s="117"/>
      <c r="Q44" s="116"/>
      <c r="R44" s="116"/>
      <c r="S44" s="116"/>
      <c r="T44" s="116"/>
      <c r="U44" s="116"/>
      <c r="V44" s="116"/>
      <c r="W44" s="118"/>
      <c r="Z44" s="80" t="str">
        <f aca="false">IF(ROW(AA44)-2&lt;=MAX($C$3:$W$44),ROW(AA44)-2,"")</f>
        <v/>
      </c>
    </row>
    <row r="45" customFormat="false" ht="14.25" hidden="false" customHeight="false" outlineLevel="0" collapsed="false">
      <c r="V45" s="143" t="s">
        <v>203</v>
      </c>
      <c r="W45" s="80" t="n">
        <f aca="false">(MAX(Z:Z)+MIN(Z:Z))/2</f>
        <v>20</v>
      </c>
      <c r="Z45" s="80" t="str">
        <f aca="false">IF(ROW(AA45)-2&lt;=MAX($C$3:$W$44),ROW(AA45)-2,"")</f>
        <v/>
      </c>
    </row>
    <row r="46" customFormat="false" ht="14.25" hidden="false" customHeight="false" outlineLevel="0" collapsed="false">
      <c r="Z46" s="80" t="str">
        <f aca="false">IF(ROW(AA46)-2&lt;=MAX($C$3:$W$44),ROW(AA46)-2,"")</f>
        <v/>
      </c>
    </row>
    <row r="47" customFormat="false" ht="14.25" hidden="false" customHeight="false" outlineLevel="0" collapsed="false">
      <c r="Z47" s="80" t="str">
        <f aca="false">IF(ROW(AA47)-2&lt;=MAX($C$3:$W$44),ROW(AA47)-2,"")</f>
        <v/>
      </c>
    </row>
    <row r="48" customFormat="false" ht="14.25" hidden="false" customHeight="false" outlineLevel="0" collapsed="false">
      <c r="Z48" s="80" t="str">
        <f aca="false">IF(ROW(AA48)-2&lt;=MAX($C$3:$W$44),ROW(AA48)-2,"")</f>
        <v/>
      </c>
    </row>
    <row r="49" customFormat="false" ht="14.25" hidden="false" customHeight="false" outlineLevel="0" collapsed="false">
      <c r="Z49" s="80" t="str">
        <f aca="false">IF(ROW(AA49)-2&lt;=MAX($C$3:$W$44),ROW(AA49)-2,"")</f>
        <v/>
      </c>
    </row>
    <row r="50" customFormat="false" ht="14.25" hidden="false" customHeight="false" outlineLevel="0" collapsed="false">
      <c r="Z50" s="80" t="str">
        <f aca="false">IF(ROW(AA50)-2&lt;=MAX($C$3:$W$44),ROW(AA50)-2,"")</f>
        <v/>
      </c>
    </row>
    <row r="51" customFormat="false" ht="14.25" hidden="false" customHeight="false" outlineLevel="0" collapsed="false">
      <c r="Z51" s="80" t="str">
        <f aca="false">IF(ROW(AA51)-2&lt;=MAX($C$3:$W$44),ROW(AA51)-2,"")</f>
        <v/>
      </c>
    </row>
    <row r="52" customFormat="false" ht="14.25" hidden="false" customHeight="false" outlineLevel="0" collapsed="false">
      <c r="Z52" s="80" t="str">
        <f aca="false">IF(ROW(AA52)-2&lt;=MAX($C$3:$W$44),ROW(AA52)-2,"")</f>
        <v/>
      </c>
    </row>
    <row r="53" customFormat="false" ht="14.25" hidden="false" customHeight="false" outlineLevel="0" collapsed="false">
      <c r="Z53" s="80" t="str">
        <f aca="false">IF(ROW(AA53)-2&lt;=MAX($C$3:$W$44),ROW(AA53)-2,"")</f>
        <v/>
      </c>
    </row>
    <row r="54" customFormat="false" ht="14.25" hidden="false" customHeight="false" outlineLevel="0" collapsed="false">
      <c r="Z54" s="80" t="str">
        <f aca="false">IF(ROW(AA54)-2&lt;=MAX($C$3:$W$44),ROW(AA54)-2,"")</f>
        <v/>
      </c>
    </row>
    <row r="55" customFormat="false" ht="14.25" hidden="false" customHeight="false" outlineLevel="0" collapsed="false">
      <c r="Z55" s="80" t="str">
        <f aca="false">IF(ROW(AA55)-2&lt;=MAX($C$3:$W$44),ROW(AA55)-2,"")</f>
        <v/>
      </c>
    </row>
    <row r="56" customFormat="false" ht="14.25" hidden="false" customHeight="false" outlineLevel="0" collapsed="false">
      <c r="Z56" s="80" t="str">
        <f aca="false">IF(ROW(AA56)-2&lt;=MAX($C$3:$W$44),ROW(AA56)-2,"")</f>
        <v/>
      </c>
    </row>
    <row r="57" customFormat="false" ht="14.25" hidden="false" customHeight="false" outlineLevel="0" collapsed="false">
      <c r="Z57" s="80" t="str">
        <f aca="false">IF(ROW(AA57)-2&lt;=MAX($C$3:$W$44),ROW(AA57)-2,"")</f>
        <v/>
      </c>
    </row>
    <row r="58" customFormat="false" ht="14.25" hidden="false" customHeight="false" outlineLevel="0" collapsed="false">
      <c r="Z58" s="80" t="str">
        <f aca="false">IF(ROW(AA58)-2&lt;=MAX($C$3:$W$44),ROW(AA58)-2,"")</f>
        <v/>
      </c>
    </row>
    <row r="59" customFormat="false" ht="14.25" hidden="false" customHeight="false" outlineLevel="0" collapsed="false">
      <c r="Z59" s="80" t="str">
        <f aca="false">IF(ROW(AA59)-2&lt;=MAX($C$3:$W$44),ROW(AA59)-2,"")</f>
        <v/>
      </c>
    </row>
    <row r="60" customFormat="false" ht="14.25" hidden="false" customHeight="false" outlineLevel="0" collapsed="false">
      <c r="Z60" s="80" t="str">
        <f aca="false">IF(ROW(AA60)-2&lt;=MAX($C$3:$W$44),ROW(AA60)-2,"")</f>
        <v/>
      </c>
    </row>
    <row r="61" customFormat="false" ht="14.25" hidden="false" customHeight="false" outlineLevel="0" collapsed="false">
      <c r="Z61" s="80" t="str">
        <f aca="false">IF(ROW(AA61)-2&lt;=MAX($C$3:$W$44),ROW(AA61)-2,"")</f>
        <v/>
      </c>
    </row>
    <row r="62" customFormat="false" ht="14.25" hidden="false" customHeight="false" outlineLevel="0" collapsed="false">
      <c r="Z62" s="80" t="str">
        <f aca="false">IF(ROW(AA62)-2&lt;=MAX($C$3:$W$44),ROW(AA62)-2,"")</f>
        <v/>
      </c>
    </row>
    <row r="63" customFormat="false" ht="14.25" hidden="false" customHeight="false" outlineLevel="0" collapsed="false">
      <c r="Z63" s="80" t="str">
        <f aca="false">IF(ROW(AA63)-2&lt;=MAX($C$3:$W$44),ROW(AA63)-2,"")</f>
        <v/>
      </c>
    </row>
    <row r="64" customFormat="false" ht="14.25" hidden="false" customHeight="false" outlineLevel="0" collapsed="false">
      <c r="Z64" s="80" t="str">
        <f aca="false">IF(ROW(AA64)-2&lt;=MAX($C$3:$W$44),ROW(AA64)-2,"")</f>
        <v/>
      </c>
    </row>
    <row r="65" customFormat="false" ht="14.25" hidden="false" customHeight="false" outlineLevel="0" collapsed="false">
      <c r="Z65" s="80" t="str">
        <f aca="false">IF(ROW(AA65)-2&lt;=MAX($C$3:$W$44),ROW(AA65)-2,"")</f>
        <v/>
      </c>
    </row>
    <row r="66" customFormat="false" ht="14.25" hidden="false" customHeight="false" outlineLevel="0" collapsed="false">
      <c r="Z66" s="80" t="str">
        <f aca="false">IF(ROW(AA66)-2&lt;=MAX($C$3:$W$44),ROW(AA66)-2,"")</f>
        <v/>
      </c>
    </row>
    <row r="67" customFormat="false" ht="14.25" hidden="false" customHeight="false" outlineLevel="0" collapsed="false">
      <c r="Z67" s="80" t="str">
        <f aca="false">IF(ROW(AA67)-2&lt;=MAX($C$3:$W$44),ROW(AA67)-2,"")</f>
        <v/>
      </c>
    </row>
    <row r="68" customFormat="false" ht="14.25" hidden="false" customHeight="false" outlineLevel="0" collapsed="false">
      <c r="Z68" s="80" t="str">
        <f aca="false">IF(ROW(AA68)-2&lt;=MAX($C$3:$W$44),ROW(AA68)-2,"")</f>
        <v/>
      </c>
    </row>
    <row r="69" customFormat="false" ht="14.25" hidden="false" customHeight="false" outlineLevel="0" collapsed="false">
      <c r="Z69" s="80" t="str">
        <f aca="false">IF(ROW(AA69)-2&lt;=MAX($C$3:$W$44),ROW(AA69)-2,"")</f>
        <v/>
      </c>
    </row>
    <row r="70" customFormat="false" ht="14.25" hidden="false" customHeight="false" outlineLevel="0" collapsed="false">
      <c r="Z70" s="80" t="str">
        <f aca="false">IF(ROW(AA70)-2&lt;=MAX($C$3:$W$44),ROW(AA70)-2,"")</f>
        <v/>
      </c>
    </row>
    <row r="71" customFormat="false" ht="14.25" hidden="false" customHeight="false" outlineLevel="0" collapsed="false">
      <c r="Z71" s="80" t="str">
        <f aca="false">IF(ROW(AA71)-2&lt;=MAX($C$3:$W$44),ROW(AA71)-2,"")</f>
        <v/>
      </c>
    </row>
    <row r="72" customFormat="false" ht="14.25" hidden="false" customHeight="false" outlineLevel="0" collapsed="false">
      <c r="Z72" s="80" t="str">
        <f aca="false">IF(ROW(AA72)-2&lt;=MAX($C$3:$W$44),ROW(AA72)-2,"")</f>
        <v/>
      </c>
    </row>
    <row r="73" customFormat="false" ht="14.25" hidden="false" customHeight="false" outlineLevel="0" collapsed="false">
      <c r="Z73" s="80" t="str">
        <f aca="false">IF(ROW(AA73)-2&lt;=MAX($C$3:$W$44),ROW(AA73)-2,"")</f>
        <v/>
      </c>
    </row>
    <row r="74" customFormat="false" ht="14.25" hidden="false" customHeight="false" outlineLevel="0" collapsed="false">
      <c r="Z74" s="80" t="str">
        <f aca="false">IF(ROW(AA74)-2&lt;=MAX($C$3:$W$44),ROW(AA74)-2,"")</f>
        <v/>
      </c>
    </row>
    <row r="75" customFormat="false" ht="14.25" hidden="false" customHeight="false" outlineLevel="0" collapsed="false">
      <c r="Z75" s="80" t="str">
        <f aca="false">IF(ROW(AA75)-2&lt;=MAX($C$3:$W$44),ROW(AA75)-2,"")</f>
        <v/>
      </c>
    </row>
    <row r="76" customFormat="false" ht="14.25" hidden="false" customHeight="false" outlineLevel="0" collapsed="false">
      <c r="Z76" s="80" t="str">
        <f aca="false">IF(ROW(AA76)-2&lt;=MAX($C$3:$W$44),ROW(AA76)-2,"")</f>
        <v/>
      </c>
    </row>
    <row r="77" customFormat="false" ht="14.25" hidden="false" customHeight="false" outlineLevel="0" collapsed="false">
      <c r="Z77" s="80" t="str">
        <f aca="false">IF(ROW(AA77)-2&lt;=MAX($C$3:$W$44),ROW(AA77)-2,"")</f>
        <v/>
      </c>
    </row>
    <row r="78" customFormat="false" ht="14.25" hidden="false" customHeight="false" outlineLevel="0" collapsed="false">
      <c r="Z78" s="80" t="str">
        <f aca="false">IF(ROW(AA78)-2&lt;=MAX($C$3:$W$44),ROW(AA78)-2,"")</f>
        <v/>
      </c>
    </row>
    <row r="79" customFormat="false" ht="14.25" hidden="false" customHeight="false" outlineLevel="0" collapsed="false">
      <c r="Z79" s="80" t="str">
        <f aca="false">IF(ROW(AA79)-2&lt;=MAX($C$3:$W$44),ROW(AA79)-2,"")</f>
        <v/>
      </c>
    </row>
    <row r="80" customFormat="false" ht="14.25" hidden="false" customHeight="false" outlineLevel="0" collapsed="false">
      <c r="Z80" s="80" t="str">
        <f aca="false">IF(ROW(AA80)-2&lt;=MAX($C$3:$W$44),ROW(AA80)-2,"")</f>
        <v/>
      </c>
    </row>
    <row r="81" customFormat="false" ht="14.25" hidden="false" customHeight="false" outlineLevel="0" collapsed="false">
      <c r="Z81" s="80" t="str">
        <f aca="false">IF(ROW(AA81)-2&lt;=MAX($C$3:$W$44),ROW(AA81)-2,"")</f>
        <v/>
      </c>
    </row>
    <row r="82" customFormat="false" ht="14.25" hidden="false" customHeight="false" outlineLevel="0" collapsed="false">
      <c r="Z82" s="80" t="str">
        <f aca="false">IF(ROW(AA82)-2&lt;=MAX($C$3:$W$44),ROW(AA82)-2,"")</f>
        <v/>
      </c>
    </row>
    <row r="83" customFormat="false" ht="14.25" hidden="false" customHeight="false" outlineLevel="0" collapsed="false">
      <c r="Z83" s="80" t="str">
        <f aca="false">IF(ROW(AA83)-2&lt;=MAX($C$3:$W$44),ROW(AA83)-2,"")</f>
        <v/>
      </c>
    </row>
    <row r="84" customFormat="false" ht="14.25" hidden="false" customHeight="false" outlineLevel="0" collapsed="false">
      <c r="Z84" s="80" t="str">
        <f aca="false">IF(ROW(AA84)-2&lt;=MAX($C$3:$W$44),ROW(AA84)-2,"")</f>
        <v/>
      </c>
    </row>
    <row r="85" customFormat="false" ht="14.25" hidden="false" customHeight="false" outlineLevel="0" collapsed="false">
      <c r="Z85" s="80" t="str">
        <f aca="false">IF(ROW(AA85)-2&lt;=MAX($C$3:$W$44),ROW(AA85)-2,"")</f>
        <v/>
      </c>
    </row>
    <row r="86" customFormat="false" ht="14.25" hidden="false" customHeight="false" outlineLevel="0" collapsed="false">
      <c r="Z86" s="80" t="str">
        <f aca="false">IF(ROW(AA86)-2&lt;=MAX($C$3:$W$44),ROW(AA86)-2,"")</f>
        <v/>
      </c>
    </row>
    <row r="87" customFormat="false" ht="14.25" hidden="false" customHeight="false" outlineLevel="0" collapsed="false">
      <c r="Z87" s="80" t="str">
        <f aca="false">IF(ROW(AA87)-2&lt;=MAX($C$3:$W$44),ROW(AA87)-2,"")</f>
        <v/>
      </c>
    </row>
    <row r="88" customFormat="false" ht="14.25" hidden="false" customHeight="false" outlineLevel="0" collapsed="false">
      <c r="Z88" s="80" t="str">
        <f aca="false">IF(ROW(AA88)-2&lt;=MAX($C$3:$W$44),ROW(AA88)-2,"")</f>
        <v/>
      </c>
    </row>
    <row r="89" customFormat="false" ht="14.25" hidden="false" customHeight="false" outlineLevel="0" collapsed="false">
      <c r="Z89" s="80" t="str">
        <f aca="false">IF(ROW(AA89)-2&lt;=MAX($C$3:$W$44),ROW(AA89)-2,"")</f>
        <v/>
      </c>
    </row>
    <row r="90" customFormat="false" ht="14.25" hidden="false" customHeight="false" outlineLevel="0" collapsed="false">
      <c r="Z90" s="80" t="str">
        <f aca="false">IF(ROW(AA90)-2&lt;=MAX($C$3:$W$44),ROW(AA90)-2,"")</f>
        <v/>
      </c>
    </row>
    <row r="91" customFormat="false" ht="14.25" hidden="false" customHeight="false" outlineLevel="0" collapsed="false">
      <c r="Z91" s="80" t="str">
        <f aca="false">IF(ROW(AA91)-2&lt;=MAX($C$3:$W$44),ROW(AA91)-2,"")</f>
        <v/>
      </c>
    </row>
    <row r="92" customFormat="false" ht="14.25" hidden="false" customHeight="false" outlineLevel="0" collapsed="false">
      <c r="Z92" s="80" t="str">
        <f aca="false">IF(ROW(AA92)-2&lt;=MAX($C$3:$W$44),ROW(AA92)-2,"")</f>
        <v/>
      </c>
    </row>
    <row r="93" customFormat="false" ht="14.25" hidden="false" customHeight="false" outlineLevel="0" collapsed="false">
      <c r="Z93" s="80" t="str">
        <f aca="false">IF(ROW(AA93)-2&lt;=MAX($C$3:$W$44),ROW(AA93)-2,"")</f>
        <v/>
      </c>
    </row>
    <row r="94" customFormat="false" ht="14.25" hidden="false" customHeight="false" outlineLevel="0" collapsed="false">
      <c r="Z94" s="80" t="str">
        <f aca="false">IF(ROW(AA94)-2&lt;=MAX($C$3:$W$44),ROW(AA94)-2,"")</f>
        <v/>
      </c>
    </row>
    <row r="95" customFormat="false" ht="14.25" hidden="false" customHeight="false" outlineLevel="0" collapsed="false">
      <c r="Z95" s="80" t="str">
        <f aca="false">IF(ROW(AA95)-2&lt;=MAX($C$3:$W$44),ROW(AA95)-2,"")</f>
        <v/>
      </c>
    </row>
    <row r="96" customFormat="false" ht="14.25" hidden="false" customHeight="false" outlineLevel="0" collapsed="false">
      <c r="Z96" s="80" t="str">
        <f aca="false">IF(ROW(AA96)-2&lt;=MAX($C$3:$W$44),ROW(AA96)-2,"")</f>
        <v/>
      </c>
    </row>
    <row r="97" customFormat="false" ht="14.25" hidden="false" customHeight="false" outlineLevel="0" collapsed="false">
      <c r="Z97" s="80" t="str">
        <f aca="false">IF(ROW(AA97)-2&lt;=MAX($C$3:$W$44),ROW(AA97)-2,"")</f>
        <v/>
      </c>
    </row>
    <row r="98" customFormat="false" ht="14.25" hidden="false" customHeight="false" outlineLevel="0" collapsed="false">
      <c r="Z98" s="80" t="str">
        <f aca="false">IF(ROW(AA98)-2&lt;=MAX($C$3:$W$44),ROW(AA98)-2,"")</f>
        <v/>
      </c>
    </row>
    <row r="99" customFormat="false" ht="14.25" hidden="false" customHeight="false" outlineLevel="0" collapsed="false">
      <c r="Z99" s="80" t="str">
        <f aca="false">IF(ROW(AA99)-2&lt;=MAX($C$3:$W$44),ROW(AA99)-2,"")</f>
        <v/>
      </c>
    </row>
    <row r="100" customFormat="false" ht="14.25" hidden="false" customHeight="false" outlineLevel="0" collapsed="false">
      <c r="Z100" s="80" t="str">
        <f aca="false">IF(ROW(AA100)-2&lt;=MAX($C$3:$W$44),ROW(AA100)-2,"")</f>
        <v/>
      </c>
    </row>
    <row r="101" customFormat="false" ht="14.25" hidden="false" customHeight="false" outlineLevel="0" collapsed="false">
      <c r="Z101" s="80" t="str">
        <f aca="false">IF(ROW(AA101)-2&lt;=MAX($C$3:$W$44),ROW(AA101)-2,"")</f>
        <v/>
      </c>
    </row>
    <row r="102" customFormat="false" ht="14.25" hidden="false" customHeight="false" outlineLevel="0" collapsed="false">
      <c r="Z102" s="80" t="str">
        <f aca="false">IF(ROW(AA102)-2&lt;=MAX($C$3:$W$44),ROW(AA102)-2,"")</f>
        <v/>
      </c>
    </row>
    <row r="103" customFormat="false" ht="14.25" hidden="false" customHeight="false" outlineLevel="0" collapsed="false">
      <c r="Z103" s="80" t="str">
        <f aca="false">IF(ROW(AA103)-2&lt;=MAX($C$3:$W$44),ROW(AA103)-2,"")</f>
        <v/>
      </c>
    </row>
    <row r="104" customFormat="false" ht="14.25" hidden="false" customHeight="false" outlineLevel="0" collapsed="false">
      <c r="Z104" s="80" t="str">
        <f aca="false">IF(ROW(AA104)-2&lt;=MAX($C$3:$W$44),ROW(AA104)-2,"")</f>
        <v/>
      </c>
    </row>
    <row r="105" customFormat="false" ht="14.25" hidden="false" customHeight="false" outlineLevel="0" collapsed="false">
      <c r="Z105" s="80" t="str">
        <f aca="false">IF(ROW(AA105)-2&lt;=MAX($C$3:$W$44),ROW(AA105)-2,"")</f>
        <v/>
      </c>
    </row>
    <row r="106" customFormat="false" ht="14.25" hidden="false" customHeight="false" outlineLevel="0" collapsed="false">
      <c r="Z106" s="80" t="str">
        <f aca="false">IF(ROW(AA106)-2&lt;=MAX($C$3:$W$44),ROW(AA106)-2,"")</f>
        <v/>
      </c>
    </row>
    <row r="107" customFormat="false" ht="14.25" hidden="false" customHeight="false" outlineLevel="0" collapsed="false">
      <c r="Z107" s="80" t="str">
        <f aca="false">IF(ROW(AA107)-2&lt;=MAX($C$3:$W$44),ROW(AA107)-2,"")</f>
        <v/>
      </c>
    </row>
    <row r="108" customFormat="false" ht="14.25" hidden="false" customHeight="false" outlineLevel="0" collapsed="false">
      <c r="Z108" s="80" t="str">
        <f aca="false">IF(ROW(AA108)-2&lt;=MAX($C$3:$W$44),ROW(AA108)-2,"")</f>
        <v/>
      </c>
    </row>
    <row r="109" customFormat="false" ht="14.25" hidden="false" customHeight="false" outlineLevel="0" collapsed="false">
      <c r="Z109" s="80" t="str">
        <f aca="false">IF(ROW(AA109)-2&lt;=MAX($C$3:$W$44),ROW(AA109)-2,"")</f>
        <v/>
      </c>
    </row>
    <row r="110" customFormat="false" ht="14.25" hidden="false" customHeight="false" outlineLevel="0" collapsed="false">
      <c r="Z110" s="80" t="str">
        <f aca="false">IF(ROW(AA110)-2&lt;=MAX($C$3:$W$44),ROW(AA110)-2,"")</f>
        <v/>
      </c>
    </row>
    <row r="111" customFormat="false" ht="14.25" hidden="false" customHeight="false" outlineLevel="0" collapsed="false">
      <c r="Z111" s="80" t="str">
        <f aca="false">IF(ROW(AA111)-2&lt;=MAX($C$3:$W$44),ROW(AA111)-2,"")</f>
        <v/>
      </c>
    </row>
    <row r="112" customFormat="false" ht="14.25" hidden="false" customHeight="false" outlineLevel="0" collapsed="false">
      <c r="Z112" s="80" t="str">
        <f aca="false">IF(ROW(AA112)-2&lt;=MAX($C$3:$W$44),ROW(AA112)-2,"")</f>
        <v/>
      </c>
    </row>
    <row r="113" customFormat="false" ht="14.25" hidden="false" customHeight="false" outlineLevel="0" collapsed="false">
      <c r="Z113" s="80" t="str">
        <f aca="false">IF(ROW(AA113)-2&lt;=MAX($C$3:$W$44),ROW(AA113)-2,"")</f>
        <v/>
      </c>
    </row>
    <row r="114" customFormat="false" ht="14.25" hidden="false" customHeight="false" outlineLevel="0" collapsed="false">
      <c r="Z114" s="80" t="str">
        <f aca="false">IF(ROW(AA114)-2&lt;=MAX($C$3:$W$44),ROW(AA114)-2,"")</f>
        <v/>
      </c>
    </row>
    <row r="115" customFormat="false" ht="14.25" hidden="false" customHeight="false" outlineLevel="0" collapsed="false">
      <c r="Z115" s="80" t="str">
        <f aca="false">IF(ROW(AA115)-2&lt;=MAX($C$3:$W$44),ROW(AA115)-2,"")</f>
        <v/>
      </c>
    </row>
    <row r="116" customFormat="false" ht="14.25" hidden="false" customHeight="false" outlineLevel="0" collapsed="false">
      <c r="Z116" s="80" t="str">
        <f aca="false">IF(ROW(AA116)-2&lt;=MAX($C$3:$W$44),ROW(AA116)-2,"")</f>
        <v/>
      </c>
    </row>
    <row r="117" customFormat="false" ht="14.25" hidden="false" customHeight="false" outlineLevel="0" collapsed="false">
      <c r="Z117" s="80" t="str">
        <f aca="false">IF(ROW(AA117)-2&lt;=MAX($C$3:$W$44),ROW(AA117)-2,"")</f>
        <v/>
      </c>
    </row>
    <row r="118" customFormat="false" ht="14.25" hidden="false" customHeight="false" outlineLevel="0" collapsed="false">
      <c r="Z118" s="80" t="str">
        <f aca="false">IF(ROW(AA118)-2&lt;=MAX($C$3:$W$44),ROW(AA118)-2,"")</f>
        <v/>
      </c>
    </row>
    <row r="119" customFormat="false" ht="14.25" hidden="false" customHeight="false" outlineLevel="0" collapsed="false">
      <c r="Z119" s="80" t="str">
        <f aca="false">IF(ROW(AA119)-2&lt;=MAX($C$3:$W$44),ROW(AA119)-2,"")</f>
        <v/>
      </c>
    </row>
    <row r="120" customFormat="false" ht="14.25" hidden="false" customHeight="false" outlineLevel="0" collapsed="false">
      <c r="Z120" s="80" t="str">
        <f aca="false">IF(ROW(AA120)-2&lt;=MAX($C$3:$W$44),ROW(AA120)-2,"")</f>
        <v/>
      </c>
    </row>
    <row r="121" customFormat="false" ht="14.25" hidden="false" customHeight="false" outlineLevel="0" collapsed="false">
      <c r="Z121" s="80" t="str">
        <f aca="false">IF(ROW(AA121)-2&lt;=MAX($C$3:$W$44),ROW(AA121)-2,"")</f>
        <v/>
      </c>
    </row>
    <row r="122" customFormat="false" ht="14.25" hidden="false" customHeight="false" outlineLevel="0" collapsed="false">
      <c r="Z122" s="80" t="str">
        <f aca="false">IF(ROW(AA122)-2&lt;=MAX($C$3:$W$44),ROW(AA122)-2,"")</f>
        <v/>
      </c>
    </row>
    <row r="123" customFormat="false" ht="14.25" hidden="false" customHeight="false" outlineLevel="0" collapsed="false">
      <c r="Z123" s="80" t="str">
        <f aca="false">IF(ROW(AA123)-2&lt;=MAX($C$3:$W$44),ROW(AA123)-2,"")</f>
        <v/>
      </c>
    </row>
    <row r="124" customFormat="false" ht="14.25" hidden="false" customHeight="false" outlineLevel="0" collapsed="false">
      <c r="Z124" s="80" t="str">
        <f aca="false">IF(ROW(AA124)-2&lt;=MAX($C$3:$W$44),ROW(AA124)-2,"")</f>
        <v/>
      </c>
    </row>
    <row r="125" customFormat="false" ht="14.25" hidden="false" customHeight="false" outlineLevel="0" collapsed="false">
      <c r="Z125" s="80" t="str">
        <f aca="false">IF(ROW(AA125)-2&lt;=MAX($C$3:$W$44),ROW(AA125)-2,"")</f>
        <v/>
      </c>
    </row>
    <row r="126" customFormat="false" ht="14.25" hidden="false" customHeight="false" outlineLevel="0" collapsed="false">
      <c r="Z126" s="80" t="str">
        <f aca="false">IF(ROW(AA126)-2&lt;=MAX($C$3:$W$44),ROW(AA126)-2,"")</f>
        <v/>
      </c>
    </row>
    <row r="127" customFormat="false" ht="14.25" hidden="false" customHeight="false" outlineLevel="0" collapsed="false">
      <c r="Z127" s="80" t="str">
        <f aca="false">IF(ROW(AA127)-2&lt;=MAX($C$3:$W$44),ROW(AA127)-2,"")</f>
        <v/>
      </c>
    </row>
    <row r="128" customFormat="false" ht="14.25" hidden="false" customHeight="false" outlineLevel="0" collapsed="false">
      <c r="Z128" s="80" t="str">
        <f aca="false">IF(ROW(AA128)-2&lt;=MAX($C$3:$W$44),ROW(AA128)-2,"")</f>
        <v/>
      </c>
    </row>
    <row r="129" customFormat="false" ht="14.25" hidden="false" customHeight="false" outlineLevel="0" collapsed="false">
      <c r="Z129" s="80" t="str">
        <f aca="false">IF(ROW(AA129)-2&lt;=MAX($C$3:$W$44),ROW(AA129)-2,"")</f>
        <v/>
      </c>
    </row>
    <row r="130" customFormat="false" ht="14.25" hidden="false" customHeight="false" outlineLevel="0" collapsed="false">
      <c r="Z130" s="80" t="str">
        <f aca="false">IF(ROW(AA130)-2&lt;=MAX($C$3:$W$44),ROW(AA130)-2,"")</f>
        <v/>
      </c>
    </row>
    <row r="131" customFormat="false" ht="14.25" hidden="false" customHeight="false" outlineLevel="0" collapsed="false">
      <c r="Z131" s="80" t="str">
        <f aca="false">IF(ROW(AA131)-2&lt;=MAX($C$3:$W$44),ROW(AA131)-2,"")</f>
        <v/>
      </c>
    </row>
    <row r="132" customFormat="false" ht="14.25" hidden="false" customHeight="false" outlineLevel="0" collapsed="false">
      <c r="Z132" s="80" t="str">
        <f aca="false">IF(ROW(AA132)-2&lt;=MAX($C$3:$W$44),ROW(AA132)-2,"")</f>
        <v/>
      </c>
    </row>
    <row r="133" customFormat="false" ht="14.25" hidden="false" customHeight="false" outlineLevel="0" collapsed="false">
      <c r="Z133" s="80" t="str">
        <f aca="false">IF(ROW(AA133)-2&lt;=MAX($C$3:$W$44),ROW(AA133)-2,"")</f>
        <v/>
      </c>
    </row>
    <row r="134" customFormat="false" ht="14.25" hidden="false" customHeight="false" outlineLevel="0" collapsed="false">
      <c r="Z134" s="80" t="str">
        <f aca="false">IF(ROW(AA134)-2&lt;=MAX($C$3:$W$44),ROW(AA134)-2,"")</f>
        <v/>
      </c>
    </row>
    <row r="135" customFormat="false" ht="14.25" hidden="false" customHeight="false" outlineLevel="0" collapsed="false">
      <c r="Z135" s="80" t="str">
        <f aca="false">IF(ROW(AA135)-2&lt;=MAX($C$3:$W$44),ROW(AA135)-2,"")</f>
        <v/>
      </c>
    </row>
    <row r="136" customFormat="false" ht="14.25" hidden="false" customHeight="false" outlineLevel="0" collapsed="false">
      <c r="Z136" s="80" t="str">
        <f aca="false">IF(ROW(AA136)-2&lt;=MAX($C$3:$W$44),ROW(AA136)-2,"")</f>
        <v/>
      </c>
    </row>
    <row r="137" customFormat="false" ht="14.25" hidden="false" customHeight="false" outlineLevel="0" collapsed="false">
      <c r="Z137" s="80" t="str">
        <f aca="false">IF(ROW(AA137)-2&lt;=MAX($C$3:$W$44),ROW(AA137)-2,"")</f>
        <v/>
      </c>
    </row>
    <row r="138" customFormat="false" ht="14.25" hidden="false" customHeight="false" outlineLevel="0" collapsed="false">
      <c r="Z138" s="80" t="str">
        <f aca="false">IF(ROW(AA138)-2&lt;=MAX($C$3:$W$44),ROW(AA138)-2,"")</f>
        <v/>
      </c>
    </row>
    <row r="139" customFormat="false" ht="14.25" hidden="false" customHeight="false" outlineLevel="0" collapsed="false">
      <c r="Z139" s="80" t="str">
        <f aca="false">IF(ROW(AA139)-2&lt;=MAX($C$3:$W$44),ROW(AA139)-2,"")</f>
        <v/>
      </c>
    </row>
    <row r="140" customFormat="false" ht="14.25" hidden="false" customHeight="false" outlineLevel="0" collapsed="false">
      <c r="Z140" s="80" t="str">
        <f aca="false">IF(ROW(AA140)-2&lt;=MAX($C$3:$W$44),ROW(AA140)-2,"")</f>
        <v/>
      </c>
    </row>
    <row r="141" customFormat="false" ht="14.25" hidden="false" customHeight="false" outlineLevel="0" collapsed="false">
      <c r="Z141" s="80" t="str">
        <f aca="false">IF(ROW(AA141)-2&lt;=MAX($C$3:$W$44),ROW(AA141)-2,"")</f>
        <v/>
      </c>
    </row>
    <row r="142" customFormat="false" ht="14.25" hidden="false" customHeight="false" outlineLevel="0" collapsed="false">
      <c r="Z142" s="80" t="str">
        <f aca="false">IF(ROW(AA142)-2&lt;=MAX($C$3:$W$44),ROW(AA142)-2,"")</f>
        <v/>
      </c>
    </row>
    <row r="143" customFormat="false" ht="14.25" hidden="false" customHeight="false" outlineLevel="0" collapsed="false">
      <c r="Z143" s="80" t="str">
        <f aca="false">IF(ROW(AA143)-2&lt;=MAX($C$3:$W$44),ROW(AA143)-2,"")</f>
        <v/>
      </c>
    </row>
    <row r="144" customFormat="false" ht="14.25" hidden="false" customHeight="false" outlineLevel="0" collapsed="false">
      <c r="Z144" s="80" t="str">
        <f aca="false">IF(ROW(AA144)-2&lt;=MAX($C$3:$W$44),ROW(AA144)-2,"")</f>
        <v/>
      </c>
    </row>
    <row r="145" customFormat="false" ht="14.25" hidden="false" customHeight="false" outlineLevel="0" collapsed="false">
      <c r="Z145" s="80" t="str">
        <f aca="false">IF(ROW(AA145)-2&lt;=MAX($C$3:$W$44),ROW(AA145)-2,"")</f>
        <v/>
      </c>
    </row>
    <row r="146" customFormat="false" ht="14.25" hidden="false" customHeight="false" outlineLevel="0" collapsed="false">
      <c r="Z146" s="80" t="str">
        <f aca="false">IF(ROW(AA146)-2&lt;=MAX($C$3:$W$44),ROW(AA146)-2,"")</f>
        <v/>
      </c>
    </row>
    <row r="147" customFormat="false" ht="14.25" hidden="false" customHeight="false" outlineLevel="0" collapsed="false">
      <c r="Z147" s="80" t="str">
        <f aca="false">IF(ROW(AA147)-2&lt;=MAX($C$3:$W$44),ROW(AA147)-2,"")</f>
        <v/>
      </c>
    </row>
    <row r="148" customFormat="false" ht="14.25" hidden="false" customHeight="false" outlineLevel="0" collapsed="false">
      <c r="Z148" s="80" t="str">
        <f aca="false">IF(ROW(AA148)-2&lt;=MAX($C$3:$W$44),ROW(AA148)-2,"")</f>
        <v/>
      </c>
    </row>
    <row r="149" customFormat="false" ht="14.25" hidden="false" customHeight="false" outlineLevel="0" collapsed="false">
      <c r="Z149" s="80" t="str">
        <f aca="false">IF(ROW(AA149)-2&lt;=MAX($C$3:$W$44),ROW(AA149)-2,"")</f>
        <v/>
      </c>
    </row>
    <row r="150" customFormat="false" ht="14.25" hidden="false" customHeight="false" outlineLevel="0" collapsed="false">
      <c r="Z150" s="80" t="str">
        <f aca="false">IF(ROW(AA150)-2&lt;=MAX($C$3:$W$44),ROW(AA150)-2,"")</f>
        <v/>
      </c>
    </row>
    <row r="151" customFormat="false" ht="14.25" hidden="false" customHeight="false" outlineLevel="0" collapsed="false">
      <c r="Z151" s="80" t="str">
        <f aca="false">IF(ROW(AA151)-2&lt;=MAX($C$3:$W$44),ROW(AA151)-2,"")</f>
        <v/>
      </c>
    </row>
    <row r="152" customFormat="false" ht="14.25" hidden="false" customHeight="false" outlineLevel="0" collapsed="false">
      <c r="Z152" s="80" t="str">
        <f aca="false">IF(ROW(AA152)-2&lt;=MAX($C$3:$W$44),ROW(AA152)-2,"")</f>
        <v/>
      </c>
    </row>
    <row r="153" customFormat="false" ht="14.25" hidden="false" customHeight="false" outlineLevel="0" collapsed="false">
      <c r="Z153" s="80" t="str">
        <f aca="false">IF(ROW(AA153)-2&lt;=MAX($C$3:$W$44),ROW(AA153)-2,"")</f>
        <v/>
      </c>
    </row>
    <row r="154" customFormat="false" ht="14.25" hidden="false" customHeight="false" outlineLevel="0" collapsed="false">
      <c r="Z154" s="80" t="str">
        <f aca="false">IF(ROW(AA154)-2&lt;=MAX($C$3:$W$44),ROW(AA154)-2,"")</f>
        <v/>
      </c>
    </row>
    <row r="155" customFormat="false" ht="14.25" hidden="false" customHeight="false" outlineLevel="0" collapsed="false">
      <c r="Z155" s="80" t="str">
        <f aca="false">IF(ROW(AA155)-2&lt;=MAX($C$3:$W$44),ROW(AA155)-2,"")</f>
        <v/>
      </c>
    </row>
    <row r="156" customFormat="false" ht="14.25" hidden="false" customHeight="false" outlineLevel="0" collapsed="false">
      <c r="Z156" s="80" t="str">
        <f aca="false">IF(ROW(AA156)-2&lt;=MAX($C$3:$W$44),ROW(AA156)-2,"")</f>
        <v/>
      </c>
    </row>
    <row r="157" customFormat="false" ht="14.25" hidden="false" customHeight="false" outlineLevel="0" collapsed="false">
      <c r="Z157" s="80" t="str">
        <f aca="false">IF(ROW(AA157)-2&lt;=MAX($C$3:$W$44),ROW(AA157)-2,"")</f>
        <v/>
      </c>
    </row>
    <row r="158" customFormat="false" ht="14.25" hidden="false" customHeight="false" outlineLevel="0" collapsed="false">
      <c r="Z158" s="80" t="str">
        <f aca="false">IF(ROW(AA158)-2&lt;=MAX($C$3:$W$44),ROW(AA158)-2,"")</f>
        <v/>
      </c>
    </row>
    <row r="159" customFormat="false" ht="14.25" hidden="false" customHeight="false" outlineLevel="0" collapsed="false">
      <c r="Z159" s="80" t="str">
        <f aca="false">IF(ROW(AA159)-2&lt;=MAX($C$3:$W$44),ROW(AA159)-2,"")</f>
        <v/>
      </c>
    </row>
    <row r="160" customFormat="false" ht="14.25" hidden="false" customHeight="false" outlineLevel="0" collapsed="false">
      <c r="Z160" s="80" t="str">
        <f aca="false">IF(ROW(AA160)-2&lt;=MAX($C$3:$W$44),ROW(AA160)-2,"")</f>
        <v/>
      </c>
    </row>
    <row r="161" customFormat="false" ht="14.25" hidden="false" customHeight="false" outlineLevel="0" collapsed="false">
      <c r="Z161" s="80" t="str">
        <f aca="false">IF(ROW(AA161)-2&lt;=MAX($C$3:$W$44),ROW(AA161)-2,"")</f>
        <v/>
      </c>
    </row>
    <row r="162" customFormat="false" ht="14.25" hidden="false" customHeight="false" outlineLevel="0" collapsed="false">
      <c r="Z162" s="80" t="str">
        <f aca="false">IF(ROW(AA162)-2&lt;=MAX($C$3:$W$44),ROW(AA162)-2,"")</f>
        <v/>
      </c>
    </row>
    <row r="163" customFormat="false" ht="14.25" hidden="false" customHeight="false" outlineLevel="0" collapsed="false">
      <c r="Z163" s="80" t="str">
        <f aca="false">IF(ROW(AA163)-2&lt;=MAX($C$3:$W$44),ROW(AA163)-2,"")</f>
        <v/>
      </c>
    </row>
    <row r="164" customFormat="false" ht="14.25" hidden="false" customHeight="false" outlineLevel="0" collapsed="false">
      <c r="Z164" s="80" t="str">
        <f aca="false">IF(ROW(AA164)-2&lt;=MAX($C$3:$W$44),ROW(AA164)-2,"")</f>
        <v/>
      </c>
    </row>
    <row r="165" customFormat="false" ht="14.25" hidden="false" customHeight="false" outlineLevel="0" collapsed="false">
      <c r="Z165" s="80" t="str">
        <f aca="false">IF(ROW(AA165)-2&lt;=MAX($C$3:$W$44),ROW(AA165)-2,"")</f>
        <v/>
      </c>
    </row>
    <row r="166" customFormat="false" ht="14.25" hidden="false" customHeight="false" outlineLevel="0" collapsed="false">
      <c r="Z166" s="80" t="str">
        <f aca="false">IF(ROW(AA166)-2&lt;=MAX($C$3:$W$44),ROW(AA166)-2,"")</f>
        <v/>
      </c>
    </row>
    <row r="167" customFormat="false" ht="14.25" hidden="false" customHeight="false" outlineLevel="0" collapsed="false">
      <c r="Z167" s="80" t="str">
        <f aca="false">IF(ROW(AA167)-2&lt;=MAX($C$3:$W$44),ROW(AA167)-2,"")</f>
        <v/>
      </c>
    </row>
    <row r="168" customFormat="false" ht="14.25" hidden="false" customHeight="false" outlineLevel="0" collapsed="false">
      <c r="Z168" s="80" t="str">
        <f aca="false">IF(ROW(AA168)-2&lt;=MAX($C$3:$W$44),ROW(AA168)-2,"")</f>
        <v/>
      </c>
    </row>
    <row r="169" customFormat="false" ht="14.25" hidden="false" customHeight="false" outlineLevel="0" collapsed="false">
      <c r="Z169" s="80" t="str">
        <f aca="false">IF(ROW(AA169)-2&lt;=MAX($C$3:$W$44),ROW(AA169)-2,"")</f>
        <v/>
      </c>
    </row>
    <row r="170" customFormat="false" ht="14.25" hidden="false" customHeight="false" outlineLevel="0" collapsed="false">
      <c r="Z170" s="80" t="str">
        <f aca="false">IF(ROW(AA170)-2&lt;=MAX($C$3:$W$44),ROW(AA170)-2,"")</f>
        <v/>
      </c>
    </row>
    <row r="171" customFormat="false" ht="14.25" hidden="false" customHeight="false" outlineLevel="0" collapsed="false">
      <c r="Z171" s="80" t="str">
        <f aca="false">IF(ROW(AA171)-2&lt;=MAX($C$3:$W$44),ROW(AA171)-2,"")</f>
        <v/>
      </c>
    </row>
    <row r="172" customFormat="false" ht="14.25" hidden="false" customHeight="false" outlineLevel="0" collapsed="false">
      <c r="Z172" s="80" t="str">
        <f aca="false">IF(ROW(AA172)-2&lt;=MAX($C$3:$W$44),ROW(AA172)-2,"")</f>
        <v/>
      </c>
    </row>
    <row r="173" customFormat="false" ht="14.25" hidden="false" customHeight="false" outlineLevel="0" collapsed="false">
      <c r="Z173" s="80" t="str">
        <f aca="false">IF(ROW(AA173)-2&lt;=MAX($C$3:$W$44),ROW(AA173)-2,"")</f>
        <v/>
      </c>
    </row>
    <row r="174" customFormat="false" ht="14.25" hidden="false" customHeight="false" outlineLevel="0" collapsed="false">
      <c r="Z174" s="80" t="str">
        <f aca="false">IF(ROW(AA174)-2&lt;=MAX($C$3:$W$44),ROW(AA174)-2,"")</f>
        <v/>
      </c>
    </row>
    <row r="175" customFormat="false" ht="14.25" hidden="false" customHeight="false" outlineLevel="0" collapsed="false">
      <c r="Z175" s="80" t="str">
        <f aca="false">IF(ROW(AA175)-2&lt;=MAX($C$3:$W$44),ROW(AA175)-2,"")</f>
        <v/>
      </c>
    </row>
    <row r="176" customFormat="false" ht="14.25" hidden="false" customHeight="false" outlineLevel="0" collapsed="false">
      <c r="Z176" s="80" t="str">
        <f aca="false">IF(ROW(AA176)-2&lt;=MAX($C$3:$W$44),ROW(AA176)-2,"")</f>
        <v/>
      </c>
    </row>
    <row r="177" customFormat="false" ht="14.25" hidden="false" customHeight="false" outlineLevel="0" collapsed="false">
      <c r="Z177" s="80" t="str">
        <f aca="false">IF(ROW(AA177)-2&lt;=MAX($C$3:$W$44),ROW(AA177)-2,"")</f>
        <v/>
      </c>
    </row>
    <row r="178" customFormat="false" ht="14.25" hidden="false" customHeight="false" outlineLevel="0" collapsed="false">
      <c r="Z178" s="80" t="str">
        <f aca="false">IF(ROW(AA178)-2&lt;=MAX($C$3:$W$44),ROW(AA178)-2,"")</f>
        <v/>
      </c>
    </row>
    <row r="179" customFormat="false" ht="14.25" hidden="false" customHeight="false" outlineLevel="0" collapsed="false">
      <c r="Z179" s="80" t="str">
        <f aca="false">IF(ROW(AA179)-2&lt;=MAX($C$3:$W$44),ROW(AA179)-2,"")</f>
        <v/>
      </c>
    </row>
    <row r="180" customFormat="false" ht="14.25" hidden="false" customHeight="false" outlineLevel="0" collapsed="false">
      <c r="Z180" s="80" t="str">
        <f aca="false">IF(ROW(AA180)-2&lt;=MAX($C$3:$W$44),ROW(AA180)-2,"")</f>
        <v/>
      </c>
    </row>
    <row r="181" customFormat="false" ht="14.25" hidden="false" customHeight="false" outlineLevel="0" collapsed="false">
      <c r="Z181" s="80" t="str">
        <f aca="false">IF(ROW(AA181)-2&lt;=MAX($C$3:$W$44),ROW(AA181)-2,"")</f>
        <v/>
      </c>
    </row>
    <row r="182" customFormat="false" ht="14.25" hidden="false" customHeight="false" outlineLevel="0" collapsed="false">
      <c r="Z182" s="80" t="str">
        <f aca="false">IF(ROW(AA182)-2&lt;=MAX($C$3:$W$44),ROW(AA182)-2,"")</f>
        <v/>
      </c>
    </row>
    <row r="183" customFormat="false" ht="14.25" hidden="false" customHeight="false" outlineLevel="0" collapsed="false">
      <c r="Z183" s="80" t="str">
        <f aca="false">IF(ROW(AA183)-2&lt;=MAX($C$3:$W$44),ROW(AA183)-2,"")</f>
        <v/>
      </c>
    </row>
    <row r="184" customFormat="false" ht="14.25" hidden="false" customHeight="false" outlineLevel="0" collapsed="false">
      <c r="Z184" s="80" t="str">
        <f aca="false">IF(ROW(AA184)-2&lt;=MAX($C$3:$W$44),ROW(AA184)-2,"")</f>
        <v/>
      </c>
    </row>
    <row r="185" customFormat="false" ht="14.25" hidden="false" customHeight="false" outlineLevel="0" collapsed="false">
      <c r="Z185" s="80" t="str">
        <f aca="false">IF(ROW(AA185)-2&lt;=MAX($C$3:$W$44),ROW(AA185)-2,"")</f>
        <v/>
      </c>
    </row>
    <row r="186" customFormat="false" ht="14.25" hidden="false" customHeight="false" outlineLevel="0" collapsed="false">
      <c r="Z186" s="80" t="str">
        <f aca="false">IF(ROW(AA186)-2&lt;=MAX($C$3:$W$44),ROW(AA186)-2,"")</f>
        <v/>
      </c>
    </row>
    <row r="187" customFormat="false" ht="14.25" hidden="false" customHeight="false" outlineLevel="0" collapsed="false">
      <c r="Z187" s="80" t="str">
        <f aca="false">IF(ROW(AA187)-2&lt;=MAX($C$3:$W$44),ROW(AA187)-2,"")</f>
        <v/>
      </c>
    </row>
    <row r="188" customFormat="false" ht="14.25" hidden="false" customHeight="false" outlineLevel="0" collapsed="false">
      <c r="Z188" s="80" t="str">
        <f aca="false">IF(ROW(AA188)-2&lt;=MAX($C$3:$W$44),ROW(AA188)-2,"")</f>
        <v/>
      </c>
    </row>
    <row r="189" customFormat="false" ht="14.25" hidden="false" customHeight="false" outlineLevel="0" collapsed="false">
      <c r="Z189" s="80" t="str">
        <f aca="false">IF(ROW(AA189)-2&lt;=MAX($C$3:$W$44),ROW(AA189)-2,"")</f>
        <v/>
      </c>
    </row>
    <row r="190" customFormat="false" ht="14.25" hidden="false" customHeight="false" outlineLevel="0" collapsed="false">
      <c r="Z190" s="80" t="str">
        <f aca="false">IF(ROW(AA190)-2&lt;=MAX($C$3:$W$44),ROW(AA190)-2,"")</f>
        <v/>
      </c>
    </row>
    <row r="191" customFormat="false" ht="14.25" hidden="false" customHeight="false" outlineLevel="0" collapsed="false">
      <c r="Z191" s="80" t="str">
        <f aca="false">IF(ROW(AA191)-2&lt;=MAX($C$3:$W$44),ROW(AA191)-2,"")</f>
        <v/>
      </c>
    </row>
    <row r="192" customFormat="false" ht="14.25" hidden="false" customHeight="false" outlineLevel="0" collapsed="false">
      <c r="Z192" s="80" t="str">
        <f aca="false">IF(ROW(AA192)-2&lt;=MAX($C$3:$W$44),ROW(AA192)-2,"")</f>
        <v/>
      </c>
    </row>
    <row r="193" customFormat="false" ht="14.25" hidden="false" customHeight="false" outlineLevel="0" collapsed="false">
      <c r="Z193" s="80" t="str">
        <f aca="false">IF(ROW(AA193)-2&lt;=MAX($C$3:$W$44),ROW(AA193)-2,"")</f>
        <v/>
      </c>
    </row>
    <row r="194" customFormat="false" ht="14.25" hidden="false" customHeight="false" outlineLevel="0" collapsed="false">
      <c r="Z194" s="80" t="str">
        <f aca="false">IF(ROW(AA194)-2&lt;=MAX($C$3:$W$44),ROW(AA194)-2,"")</f>
        <v/>
      </c>
    </row>
    <row r="195" customFormat="false" ht="14.25" hidden="false" customHeight="false" outlineLevel="0" collapsed="false">
      <c r="Z195" s="80" t="str">
        <f aca="false">IF(ROW(AA195)-2&lt;=MAX($C$3:$W$44),ROW(AA195)-2,"")</f>
        <v/>
      </c>
    </row>
    <row r="196" customFormat="false" ht="14.25" hidden="false" customHeight="false" outlineLevel="0" collapsed="false">
      <c r="Z196" s="80" t="str">
        <f aca="false">IF(ROW(AA196)-2&lt;=MAX($C$3:$W$44),ROW(AA196)-2,"")</f>
        <v/>
      </c>
    </row>
    <row r="197" customFormat="false" ht="14.25" hidden="false" customHeight="false" outlineLevel="0" collapsed="false">
      <c r="Z197" s="80" t="str">
        <f aca="false">IF(ROW(AA197)-2&lt;=MAX($C$3:$W$44),ROW(AA197)-2,"")</f>
        <v/>
      </c>
    </row>
    <row r="198" customFormat="false" ht="14.25" hidden="false" customHeight="false" outlineLevel="0" collapsed="false">
      <c r="Z198" s="80" t="str">
        <f aca="false">IF(ROW(AA198)-2&lt;=MAX($C$3:$W$44),ROW(AA198)-2,"")</f>
        <v/>
      </c>
    </row>
    <row r="199" customFormat="false" ht="14.25" hidden="false" customHeight="false" outlineLevel="0" collapsed="false">
      <c r="Z199" s="80" t="str">
        <f aca="false">IF(ROW(AA199)-2&lt;=MAX($C$3:$W$44),ROW(AA199)-2,"")</f>
        <v/>
      </c>
    </row>
    <row r="200" customFormat="false" ht="14.25" hidden="false" customHeight="false" outlineLevel="0" collapsed="false">
      <c r="Z200" s="80" t="str">
        <f aca="false">IF(ROW(AA200)-2&lt;=MAX($C$3:$W$44),ROW(AA200)-2,"")</f>
        <v/>
      </c>
    </row>
    <row r="201" customFormat="false" ht="14.25" hidden="false" customHeight="false" outlineLevel="0" collapsed="false">
      <c r="Z201" s="80" t="str">
        <f aca="false">IF(ROW(AA201)-2&lt;=MAX($C$3:$W$44),ROW(AA201)-2,"")</f>
        <v/>
      </c>
    </row>
    <row r="202" customFormat="false" ht="14.25" hidden="false" customHeight="false" outlineLevel="0" collapsed="false">
      <c r="Z202" s="80" t="str">
        <f aca="false">IF(ROW(AA202)-2&lt;=MAX($C$3:$W$44),ROW(AA202)-2,"")</f>
        <v/>
      </c>
    </row>
    <row r="203" customFormat="false" ht="14.25" hidden="false" customHeight="false" outlineLevel="0" collapsed="false">
      <c r="Z203" s="80" t="str">
        <f aca="false">IF(ROW(AA203)-2&lt;=MAX($C$3:$W$44),ROW(AA203)-2,"")</f>
        <v/>
      </c>
    </row>
    <row r="204" customFormat="false" ht="14.25" hidden="false" customHeight="false" outlineLevel="0" collapsed="false">
      <c r="Z204" s="80" t="str">
        <f aca="false">IF(ROW(AA204)-2&lt;=MAX($C$3:$W$44),ROW(AA204)-2,"")</f>
        <v/>
      </c>
    </row>
    <row r="205" customFormat="false" ht="14.25" hidden="false" customHeight="false" outlineLevel="0" collapsed="false">
      <c r="Z205" s="80" t="str">
        <f aca="false">IF(ROW(AA205)-2&lt;=MAX($C$3:$W$44),ROW(AA205)-2,"")</f>
        <v/>
      </c>
    </row>
    <row r="206" customFormat="false" ht="14.25" hidden="false" customHeight="false" outlineLevel="0" collapsed="false">
      <c r="Z206" s="80" t="str">
        <f aca="false">IF(ROW(AA206)-2&lt;=MAX($C$3:$W$44),ROW(AA206)-2,"")</f>
        <v/>
      </c>
    </row>
    <row r="207" customFormat="false" ht="14.25" hidden="false" customHeight="false" outlineLevel="0" collapsed="false">
      <c r="Z207" s="80" t="str">
        <f aca="false">IF(ROW(AA207)-2&lt;=MAX($C$3:$W$44),ROW(AA207)-2,"")</f>
        <v/>
      </c>
    </row>
    <row r="208" customFormat="false" ht="14.25" hidden="false" customHeight="false" outlineLevel="0" collapsed="false">
      <c r="Z208" s="80" t="str">
        <f aca="false">IF(ROW(AA208)-2&lt;=MAX($C$3:$W$44),ROW(AA208)-2,"")</f>
        <v/>
      </c>
    </row>
    <row r="209" customFormat="false" ht="14.25" hidden="false" customHeight="false" outlineLevel="0" collapsed="false">
      <c r="Z209" s="80" t="str">
        <f aca="false">IF(ROW(AA209)-2&lt;=MAX($C$3:$W$44),ROW(AA209)-2,"")</f>
        <v/>
      </c>
    </row>
    <row r="210" customFormat="false" ht="14.25" hidden="false" customHeight="false" outlineLevel="0" collapsed="false">
      <c r="Z210" s="80" t="str">
        <f aca="false">IF(ROW(AA210)-2&lt;=MAX($C$3:$W$44),ROW(AA210)-2,"")</f>
        <v/>
      </c>
    </row>
    <row r="211" customFormat="false" ht="14.25" hidden="false" customHeight="false" outlineLevel="0" collapsed="false">
      <c r="Z211" s="80" t="str">
        <f aca="false">IF(ROW(AA211)-2&lt;=MAX($C$3:$W$44),ROW(AA211)-2,"")</f>
        <v/>
      </c>
    </row>
    <row r="212" customFormat="false" ht="14.25" hidden="false" customHeight="false" outlineLevel="0" collapsed="false">
      <c r="Z212" s="80" t="str">
        <f aca="false">IF(ROW(AA212)-2&lt;=MAX($C$3:$W$44),ROW(AA212)-2,"")</f>
        <v/>
      </c>
    </row>
    <row r="213" customFormat="false" ht="14.25" hidden="false" customHeight="false" outlineLevel="0" collapsed="false">
      <c r="Z213" s="80" t="str">
        <f aca="false">IF(ROW(AA213)-2&lt;=MAX($C$3:$W$44),ROW(AA213)-2,"")</f>
        <v/>
      </c>
    </row>
    <row r="214" customFormat="false" ht="14.25" hidden="false" customHeight="false" outlineLevel="0" collapsed="false">
      <c r="Z214" s="80" t="str">
        <f aca="false">IF(ROW(AA214)-2&lt;=MAX($C$3:$W$44),ROW(AA214)-2,"")</f>
        <v/>
      </c>
    </row>
    <row r="215" customFormat="false" ht="14.25" hidden="false" customHeight="false" outlineLevel="0" collapsed="false">
      <c r="Z215" s="80" t="str">
        <f aca="false">IF(ROW(AA215)-2&lt;=MAX($C$3:$W$44),ROW(AA215)-2,"")</f>
        <v/>
      </c>
    </row>
    <row r="216" customFormat="false" ht="14.25" hidden="false" customHeight="false" outlineLevel="0" collapsed="false">
      <c r="Z216" s="80" t="str">
        <f aca="false">IF(ROW(AA216)-2&lt;=MAX($C$3:$W$44),ROW(AA216)-2,"")</f>
        <v/>
      </c>
    </row>
    <row r="217" customFormat="false" ht="14.25" hidden="false" customHeight="false" outlineLevel="0" collapsed="false">
      <c r="Z217" s="80" t="str">
        <f aca="false">IF(ROW(AA217)-2&lt;=MAX($C$3:$W$44),ROW(AA217)-2,"")</f>
        <v/>
      </c>
    </row>
    <row r="218" customFormat="false" ht="14.25" hidden="false" customHeight="false" outlineLevel="0" collapsed="false">
      <c r="Z218" s="80" t="str">
        <f aca="false">IF(ROW(AA218)-2&lt;=MAX($C$3:$W$44),ROW(AA218)-2,"")</f>
        <v/>
      </c>
    </row>
    <row r="219" customFormat="false" ht="14.25" hidden="false" customHeight="false" outlineLevel="0" collapsed="false">
      <c r="Z219" s="80" t="str">
        <f aca="false">IF(ROW(AA219)-2&lt;=MAX($C$3:$W$44),ROW(AA219)-2,"")</f>
        <v/>
      </c>
    </row>
    <row r="220" customFormat="false" ht="14.25" hidden="false" customHeight="false" outlineLevel="0" collapsed="false">
      <c r="Z220" s="80" t="str">
        <f aca="false">IF(ROW(AA220)-2&lt;=MAX($C$3:$W$44),ROW(AA220)-2,"")</f>
        <v/>
      </c>
    </row>
    <row r="221" customFormat="false" ht="14.25" hidden="false" customHeight="false" outlineLevel="0" collapsed="false">
      <c r="Z221" s="80" t="str">
        <f aca="false">IF(ROW(AA221)-2&lt;=MAX($C$3:$W$44),ROW(AA221)-2,"")</f>
        <v/>
      </c>
    </row>
    <row r="222" customFormat="false" ht="14.25" hidden="false" customHeight="false" outlineLevel="0" collapsed="false">
      <c r="Z222" s="80" t="str">
        <f aca="false">IF(ROW(AA222)-2&lt;=MAX($C$3:$W$44),ROW(AA222)-2,"")</f>
        <v/>
      </c>
    </row>
    <row r="223" customFormat="false" ht="14.25" hidden="false" customHeight="false" outlineLevel="0" collapsed="false">
      <c r="Z223" s="80" t="str">
        <f aca="false">IF(ROW(AA223)-2&lt;=MAX($C$3:$W$44),ROW(AA223)-2,"")</f>
        <v/>
      </c>
    </row>
    <row r="224" customFormat="false" ht="14.25" hidden="false" customHeight="false" outlineLevel="0" collapsed="false">
      <c r="Z224" s="80" t="str">
        <f aca="false">IF(ROW(AA224)-2&lt;=MAX($C$3:$W$44),ROW(AA224)-2,"")</f>
        <v/>
      </c>
    </row>
    <row r="225" customFormat="false" ht="14.25" hidden="false" customHeight="false" outlineLevel="0" collapsed="false">
      <c r="Z225" s="80" t="str">
        <f aca="false">IF(ROW(AA225)-2&lt;=MAX($C$3:$W$44),ROW(AA225)-2,"")</f>
        <v/>
      </c>
    </row>
    <row r="226" customFormat="false" ht="14.25" hidden="false" customHeight="false" outlineLevel="0" collapsed="false">
      <c r="Z226" s="80" t="str">
        <f aca="false">IF(ROW(AA226)-2&lt;=MAX($C$3:$W$44),ROW(AA226)-2,"")</f>
        <v/>
      </c>
    </row>
    <row r="227" customFormat="false" ht="14.25" hidden="false" customHeight="false" outlineLevel="0" collapsed="false">
      <c r="Z227" s="80" t="str">
        <f aca="false">IF(ROW(AA227)-2&lt;=MAX($C$3:$W$44),ROW(AA227)-2,"")</f>
        <v/>
      </c>
    </row>
    <row r="228" customFormat="false" ht="14.25" hidden="false" customHeight="false" outlineLevel="0" collapsed="false">
      <c r="Z228" s="80" t="str">
        <f aca="false">IF(ROW(AA228)-2&lt;=MAX($C$3:$W$44),ROW(AA228)-2,"")</f>
        <v/>
      </c>
    </row>
    <row r="229" customFormat="false" ht="14.25" hidden="false" customHeight="false" outlineLevel="0" collapsed="false">
      <c r="Z229" s="80" t="str">
        <f aca="false">IF(ROW(AA229)-2&lt;=MAX($C$3:$W$44),ROW(AA229)-2,"")</f>
        <v/>
      </c>
    </row>
  </sheetData>
  <mergeCells count="27">
    <mergeCell ref="A1:B2"/>
    <mergeCell ref="C1:W1"/>
    <mergeCell ref="AA1:AB1"/>
    <mergeCell ref="AE1:AH1"/>
    <mergeCell ref="AI1:AJ1"/>
    <mergeCell ref="A3:A43"/>
    <mergeCell ref="B3:B4"/>
    <mergeCell ref="B5:B6"/>
    <mergeCell ref="B7:B8"/>
    <mergeCell ref="B9:B10"/>
    <mergeCell ref="B11:B12"/>
    <mergeCell ref="B13:B14"/>
    <mergeCell ref="B15:B16"/>
    <mergeCell ref="B17:B18"/>
    <mergeCell ref="B19:B20"/>
    <mergeCell ref="B21:B22"/>
    <mergeCell ref="B23:B24"/>
    <mergeCell ref="B25:B26"/>
    <mergeCell ref="B27:B28"/>
    <mergeCell ref="B29:B30"/>
    <mergeCell ref="B31:B32"/>
    <mergeCell ref="B33:B34"/>
    <mergeCell ref="B35:B36"/>
    <mergeCell ref="B37:B38"/>
    <mergeCell ref="B39:B40"/>
    <mergeCell ref="B41:B42"/>
    <mergeCell ref="B43:B44"/>
  </mergeCells>
  <conditionalFormatting sqref="B3 B5 B7 B9 B11 B13 B15 B17 B19 B21 B23 B25 B27 B29 B31 B33 B35 B37 B39 B41 B43">
    <cfRule type="cellIs" priority="2" operator="equal" aboveAverage="0" equalAverage="0" bottom="0" percent="0" rank="0" text="" dxfId="39">
      <formula>0</formula>
    </cfRule>
  </conditionalFormatting>
  <conditionalFormatting sqref="C2:W2">
    <cfRule type="cellIs" priority="3" operator="equal" aboveAverage="0" equalAverage="0" bottom="0" percent="0" rank="0" text="" dxfId="40">
      <formula>0</formula>
    </cfRule>
  </conditionalFormatting>
  <conditionalFormatting sqref="C3:W44">
    <cfRule type="colorScale" priority="4">
      <colorScale>
        <cfvo type="min" val="0"/>
        <cfvo type="formula" val="$W$45"/>
        <cfvo type="max" val="0"/>
        <color rgb="FFF8696B"/>
        <color rgb="FFFFEB84"/>
        <color rgb="FF63BE7B"/>
      </colorScale>
    </cfRule>
  </conditionalFormatting>
  <conditionalFormatting sqref="Y2:Y1048576 Z1">
    <cfRule type="dataBar" priority="5">
      <dataBar showValue="1" minLength="10" maxLength="90">
        <cfvo type="min" val="0"/>
        <cfvo type="max" val="0"/>
        <color rgb="FF638EC6"/>
      </dataBar>
      <extLst>
        <ext xmlns:x14="http://schemas.microsoft.com/office/spreadsheetml/2009/9/main" uri="{B025F937-C7B1-47D3-B67F-A62EFF666E3E}">
          <x14:id>{505F8D43-584E-42EB-BFA2-FAFD64AE38F8}</x14:id>
        </ext>
      </extLst>
    </cfRule>
  </conditionalFormatting>
  <conditionalFormatting sqref="Z2:Z1048576">
    <cfRule type="colorScale" priority="6">
      <colorScale>
        <cfvo type="min" val="0"/>
        <cfvo type="formula" val="$W$45"/>
        <cfvo type="max" val="0"/>
        <color rgb="FFF8696B"/>
        <color rgb="FFFFEB84"/>
        <color rgb="FF63BE7B"/>
      </colorScale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05F8D43-584E-42EB-BFA2-FAFD64AE38F8}">
            <x14:dataBar minLength="10" maxLength="90" axisPosition="automatic" gradient="false">
              <x14:cfvo type="autoMin"/>
              <x14:cfvo type="autoMax"/>
              <x14:negativeFillColor rgb="FFFF0000"/>
              <x14:axisColor rgb="FF000000"/>
            </x14:dataBar>
          </x14:cfRule>
          <xm:sqref>Y2:Y1048576 Z1</xm:sqref>
        </x14:conditionalFormatting>
      </x14:conditionalFormatting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W23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O18" activeCellId="0" sqref="O18"/>
    </sheetView>
  </sheetViews>
  <sheetFormatPr defaultColWidth="9.1796875" defaultRowHeight="14.25" zeroHeight="false" outlineLevelRow="0" outlineLevelCol="0"/>
  <cols>
    <col collapsed="false" customWidth="true" hidden="false" outlineLevel="0" max="1" min="1" style="1" width="4.18"/>
    <col collapsed="false" customWidth="false" hidden="false" outlineLevel="0" max="2" min="2" style="1" width="9.18"/>
    <col collapsed="false" customWidth="true" hidden="false" outlineLevel="0" max="23" min="3" style="1" width="6.73"/>
    <col collapsed="false" customWidth="true" hidden="false" outlineLevel="0" max="25" min="24" style="1" width="5.73"/>
    <col collapsed="false" customWidth="false" hidden="false" outlineLevel="0" max="1024" min="26" style="1" width="9.18"/>
  </cols>
  <sheetData>
    <row r="1" customFormat="false" ht="15" hidden="false" customHeight="false" outlineLevel="0" collapsed="false">
      <c r="A1" s="144"/>
      <c r="B1" s="144"/>
      <c r="C1" s="145" t="s">
        <v>186</v>
      </c>
      <c r="D1" s="145"/>
      <c r="E1" s="145"/>
      <c r="F1" s="145"/>
      <c r="G1" s="145"/>
      <c r="H1" s="145"/>
      <c r="I1" s="145"/>
      <c r="J1" s="145"/>
      <c r="K1" s="145"/>
      <c r="L1" s="145"/>
      <c r="M1" s="145"/>
      <c r="N1" s="145"/>
      <c r="O1" s="145"/>
      <c r="P1" s="145"/>
      <c r="Q1" s="145"/>
    </row>
    <row r="2" customFormat="false" ht="15" hidden="false" customHeight="false" outlineLevel="0" collapsed="false">
      <c r="A2" s="144"/>
      <c r="B2" s="144"/>
      <c r="C2" s="146" t="str">
        <f aca="false">Neu!B4</f>
        <v>B4</v>
      </c>
      <c r="D2" s="147" t="str">
        <f aca="false">Neu!B5</f>
        <v>B8</v>
      </c>
      <c r="E2" s="147" t="str">
        <f aca="false">Neu!B6</f>
        <v>B20</v>
      </c>
      <c r="F2" s="147" t="str">
        <f aca="false">Neu!B7</f>
        <v>B30</v>
      </c>
      <c r="G2" s="147" t="str">
        <f aca="false">Neu!B8</f>
        <v>B31s</v>
      </c>
      <c r="H2" s="147" t="str">
        <f aca="false">Neu!B9</f>
        <v>B31a</v>
      </c>
      <c r="I2" s="147" t="str">
        <f aca="false">Neu!B10</f>
        <v>B34</v>
      </c>
      <c r="J2" s="147" t="str">
        <f aca="false">Neu!B11</f>
        <v>B35</v>
      </c>
      <c r="K2" s="147" t="str">
        <f aca="false">Neu!B12</f>
        <v>B40</v>
      </c>
      <c r="L2" s="147" t="str">
        <f aca="false">Neu!B13</f>
        <v>B51s</v>
      </c>
      <c r="M2" s="147" t="str">
        <f aca="false">Neu!B14</f>
        <v>B51a</v>
      </c>
      <c r="N2" s="147" t="str">
        <f aca="false">Neu!B15</f>
        <v>B52</v>
      </c>
      <c r="O2" s="147" t="str">
        <f aca="false">Neu!B16</f>
        <v>B63</v>
      </c>
      <c r="P2" s="147" t="str">
        <f aca="false">Neu!B17</f>
        <v>B64s</v>
      </c>
      <c r="Q2" s="147" t="str">
        <f aca="false">Neu!$B18</f>
        <v>B64a</v>
      </c>
      <c r="R2" s="147" t="str">
        <f aca="false">Neu!$B19</f>
        <v>B65</v>
      </c>
      <c r="S2" s="147" t="str">
        <f aca="false">Neu!$B20</f>
        <v>CBI2</v>
      </c>
      <c r="T2" s="147" t="n">
        <f aca="false">Neu!$B21</f>
        <v>0</v>
      </c>
      <c r="U2" s="147" t="n">
        <f aca="false">Neu!$B22</f>
        <v>0</v>
      </c>
      <c r="V2" s="147" t="n">
        <f aca="false">Neu!$B23</f>
        <v>0</v>
      </c>
      <c r="W2" s="148" t="n">
        <f aca="false">Neu!$B24</f>
        <v>0</v>
      </c>
    </row>
    <row r="3" customFormat="false" ht="28.5" hidden="false" customHeight="true" outlineLevel="0" collapsed="false">
      <c r="A3" s="149" t="s">
        <v>187</v>
      </c>
      <c r="B3" s="47" t="str">
        <f aca="false">Neu!B4</f>
        <v>B4</v>
      </c>
      <c r="C3" s="150"/>
      <c r="D3" s="151" t="n">
        <f aca="false">C4</f>
        <v>0</v>
      </c>
      <c r="E3" s="151" t="n">
        <f aca="false">C5</f>
        <v>0</v>
      </c>
      <c r="F3" s="151" t="n">
        <f aca="false">C6</f>
        <v>0</v>
      </c>
      <c r="G3" s="151" t="n">
        <v>0.0086</v>
      </c>
      <c r="H3" s="151" t="n">
        <f aca="false">C8</f>
        <v>0</v>
      </c>
      <c r="I3" s="151" t="n">
        <f aca="false">C9</f>
        <v>0</v>
      </c>
      <c r="J3" s="151" t="n">
        <f aca="false">C10</f>
        <v>0</v>
      </c>
      <c r="K3" s="151" t="n">
        <f aca="false">C11</f>
        <v>0</v>
      </c>
      <c r="L3" s="151" t="n">
        <f aca="false">C12</f>
        <v>0</v>
      </c>
      <c r="M3" s="151" t="n">
        <v>0.09</v>
      </c>
      <c r="N3" s="151" t="n">
        <f aca="false">C14</f>
        <v>0</v>
      </c>
      <c r="O3" s="151" t="n">
        <f aca="false">C14</f>
        <v>0</v>
      </c>
      <c r="P3" s="151" t="n">
        <v>0.014</v>
      </c>
      <c r="Q3" s="152" t="n">
        <f aca="false">C17</f>
        <v>0</v>
      </c>
      <c r="R3" s="152" t="n">
        <f aca="false">C18</f>
        <v>0</v>
      </c>
      <c r="S3" s="152" t="n">
        <f aca="false">C19</f>
        <v>0</v>
      </c>
      <c r="T3" s="152" t="n">
        <f aca="false">C20</f>
        <v>0</v>
      </c>
      <c r="U3" s="152" t="n">
        <f aca="false">C21</f>
        <v>0</v>
      </c>
      <c r="V3" s="152" t="n">
        <f aca="false">C22</f>
        <v>0</v>
      </c>
      <c r="W3" s="153" t="n">
        <f aca="false">C23</f>
        <v>0</v>
      </c>
    </row>
    <row r="4" customFormat="false" ht="28.5" hidden="false" customHeight="true" outlineLevel="0" collapsed="false">
      <c r="A4" s="149"/>
      <c r="B4" s="50" t="str">
        <f aca="false">Neu!B5</f>
        <v>B8</v>
      </c>
      <c r="C4" s="154"/>
      <c r="D4" s="155"/>
      <c r="E4" s="156" t="n">
        <f aca="false">D5</f>
        <v>0</v>
      </c>
      <c r="F4" s="156" t="n">
        <f aca="false">D6</f>
        <v>0</v>
      </c>
      <c r="G4" s="156" t="n">
        <f aca="false">D7</f>
        <v>0</v>
      </c>
      <c r="H4" s="156" t="n">
        <f aca="false">D8</f>
        <v>0</v>
      </c>
      <c r="I4" s="156" t="n">
        <f aca="false">D9</f>
        <v>0</v>
      </c>
      <c r="J4" s="156" t="n">
        <f aca="false">D10</f>
        <v>0</v>
      </c>
      <c r="K4" s="156" t="n">
        <f aca="false">D11</f>
        <v>0</v>
      </c>
      <c r="L4" s="156" t="n">
        <f aca="false">D12</f>
        <v>0</v>
      </c>
      <c r="M4" s="156" t="n">
        <f aca="false">D13</f>
        <v>0</v>
      </c>
      <c r="N4" s="156" t="n">
        <f aca="false">D14</f>
        <v>0</v>
      </c>
      <c r="O4" s="156" t="n">
        <f aca="false">D15</f>
        <v>0</v>
      </c>
      <c r="P4" s="156" t="n">
        <f aca="false">D16</f>
        <v>0</v>
      </c>
      <c r="Q4" s="157" t="n">
        <f aca="false">D17</f>
        <v>0</v>
      </c>
      <c r="R4" s="157" t="n">
        <f aca="false">D18</f>
        <v>0</v>
      </c>
      <c r="S4" s="158" t="n">
        <f aca="false">D19</f>
        <v>0</v>
      </c>
      <c r="T4" s="158" t="n">
        <f aca="false">D20</f>
        <v>0</v>
      </c>
      <c r="U4" s="158" t="n">
        <f aca="false">D21</f>
        <v>0</v>
      </c>
      <c r="V4" s="158" t="n">
        <f aca="false">D22</f>
        <v>0</v>
      </c>
      <c r="W4" s="159" t="n">
        <f aca="false">D23</f>
        <v>0</v>
      </c>
    </row>
    <row r="5" customFormat="false" ht="28.5" hidden="false" customHeight="true" outlineLevel="0" collapsed="false">
      <c r="A5" s="149"/>
      <c r="B5" s="50" t="str">
        <f aca="false">Neu!B6</f>
        <v>B20</v>
      </c>
      <c r="C5" s="154"/>
      <c r="D5" s="160"/>
      <c r="E5" s="155"/>
      <c r="F5" s="156" t="n">
        <f aca="false">E6</f>
        <v>0</v>
      </c>
      <c r="G5" s="156" t="n">
        <f aca="false">E7</f>
        <v>0.004</v>
      </c>
      <c r="H5" s="156" t="n">
        <f aca="false">E8</f>
        <v>0</v>
      </c>
      <c r="I5" s="156" t="n">
        <f aca="false">E9</f>
        <v>0</v>
      </c>
      <c r="J5" s="156" t="n">
        <f aca="false">E10</f>
        <v>0</v>
      </c>
      <c r="K5" s="156" t="n">
        <f aca="false">E11</f>
        <v>0</v>
      </c>
      <c r="L5" s="156" t="n">
        <f aca="false">E12</f>
        <v>0</v>
      </c>
      <c r="M5" s="156" t="n">
        <f aca="false">E13</f>
        <v>0</v>
      </c>
      <c r="N5" s="156" t="n">
        <f aca="false">E14</f>
        <v>0</v>
      </c>
      <c r="O5" s="156" t="n">
        <f aca="false">E15</f>
        <v>0.004</v>
      </c>
      <c r="P5" s="156" t="n">
        <f aca="false">E16</f>
        <v>0</v>
      </c>
      <c r="Q5" s="157" t="n">
        <f aca="false">E17</f>
        <v>0</v>
      </c>
      <c r="R5" s="157" t="n">
        <f aca="false">E18</f>
        <v>0.004</v>
      </c>
      <c r="S5" s="158" t="n">
        <f aca="false">E19</f>
        <v>0</v>
      </c>
      <c r="T5" s="158" t="n">
        <f aca="false">E20</f>
        <v>0</v>
      </c>
      <c r="U5" s="158" t="n">
        <f aca="false">E21</f>
        <v>0</v>
      </c>
      <c r="V5" s="158" t="n">
        <f aca="false">E22</f>
        <v>0</v>
      </c>
      <c r="W5" s="159" t="n">
        <f aca="false">E23</f>
        <v>0</v>
      </c>
    </row>
    <row r="6" customFormat="false" ht="28.5" hidden="false" customHeight="true" outlineLevel="0" collapsed="false">
      <c r="A6" s="149"/>
      <c r="B6" s="50" t="str">
        <f aca="false">Neu!B7</f>
        <v>B30</v>
      </c>
      <c r="C6" s="154"/>
      <c r="D6" s="160"/>
      <c r="E6" s="160"/>
      <c r="F6" s="155"/>
      <c r="G6" s="156" t="n">
        <f aca="false">F7</f>
        <v>0.009</v>
      </c>
      <c r="H6" s="156" t="n">
        <f aca="false">F8</f>
        <v>0</v>
      </c>
      <c r="I6" s="156" t="n">
        <f aca="false">F9</f>
        <v>0</v>
      </c>
      <c r="J6" s="156" t="n">
        <f aca="false">F10</f>
        <v>0</v>
      </c>
      <c r="K6" s="156" t="n">
        <f aca="false">F11</f>
        <v>0</v>
      </c>
      <c r="L6" s="156" t="n">
        <f aca="false">F12</f>
        <v>0</v>
      </c>
      <c r="M6" s="156" t="n">
        <f aca="false">F13</f>
        <v>0</v>
      </c>
      <c r="N6" s="156" t="n">
        <f aca="false">F14</f>
        <v>0</v>
      </c>
      <c r="O6" s="156" t="n">
        <f aca="false">F15</f>
        <v>0.006</v>
      </c>
      <c r="P6" s="156" t="n">
        <f aca="false">F16</f>
        <v>0</v>
      </c>
      <c r="Q6" s="157" t="n">
        <f aca="false">F17</f>
        <v>0</v>
      </c>
      <c r="R6" s="157" t="n">
        <f aca="false">F18</f>
        <v>0</v>
      </c>
      <c r="S6" s="158" t="n">
        <f aca="false">F19</f>
        <v>0</v>
      </c>
      <c r="T6" s="158" t="n">
        <f aca="false">F20</f>
        <v>0</v>
      </c>
      <c r="U6" s="158" t="n">
        <f aca="false">F21</f>
        <v>0</v>
      </c>
      <c r="V6" s="158" t="n">
        <f aca="false">F22</f>
        <v>0</v>
      </c>
      <c r="W6" s="159" t="n">
        <f aca="false">F23</f>
        <v>0</v>
      </c>
    </row>
    <row r="7" customFormat="false" ht="28.5" hidden="false" customHeight="true" outlineLevel="0" collapsed="false">
      <c r="A7" s="149"/>
      <c r="B7" s="50" t="str">
        <f aca="false">Neu!B8</f>
        <v>B31s</v>
      </c>
      <c r="C7" s="154" t="n">
        <v>0.0082</v>
      </c>
      <c r="D7" s="160"/>
      <c r="E7" s="160" t="n">
        <v>0.004</v>
      </c>
      <c r="F7" s="160" t="n">
        <v>0.009</v>
      </c>
      <c r="G7" s="155"/>
      <c r="H7" s="156" t="n">
        <f aca="false">G8</f>
        <v>0.012</v>
      </c>
      <c r="I7" s="156" t="n">
        <f aca="false">G9</f>
        <v>0.008</v>
      </c>
      <c r="J7" s="156" t="n">
        <f aca="false">G10</f>
        <v>0.0075</v>
      </c>
      <c r="K7" s="156" t="n">
        <f aca="false">G11</f>
        <v>0</v>
      </c>
      <c r="L7" s="156" t="n">
        <f aca="false">G12</f>
        <v>0</v>
      </c>
      <c r="M7" s="156" t="n">
        <f aca="false">G13</f>
        <v>0</v>
      </c>
      <c r="N7" s="156" t="n">
        <f aca="false">G14</f>
        <v>0</v>
      </c>
      <c r="O7" s="156" t="n">
        <f aca="false">G15</f>
        <v>0.015</v>
      </c>
      <c r="P7" s="156" t="n">
        <f aca="false">G16</f>
        <v>0</v>
      </c>
      <c r="Q7" s="157" t="n">
        <f aca="false">G17</f>
        <v>0</v>
      </c>
      <c r="R7" s="157" t="n">
        <f aca="false">G18</f>
        <v>0.004</v>
      </c>
      <c r="S7" s="158" t="n">
        <f aca="false">G19</f>
        <v>0</v>
      </c>
      <c r="T7" s="158" t="n">
        <f aca="false">G20</f>
        <v>0</v>
      </c>
      <c r="U7" s="158" t="n">
        <f aca="false">G21</f>
        <v>0</v>
      </c>
      <c r="V7" s="158" t="n">
        <f aca="false">G22</f>
        <v>0</v>
      </c>
      <c r="W7" s="159" t="n">
        <f aca="false">G23</f>
        <v>0</v>
      </c>
    </row>
    <row r="8" customFormat="false" ht="28.5" hidden="false" customHeight="true" outlineLevel="0" collapsed="false">
      <c r="A8" s="149"/>
      <c r="B8" s="50" t="str">
        <f aca="false">Neu!B9</f>
        <v>B31a</v>
      </c>
      <c r="C8" s="154"/>
      <c r="D8" s="160"/>
      <c r="E8" s="160"/>
      <c r="F8" s="160"/>
      <c r="G8" s="160" t="n">
        <v>0.012</v>
      </c>
      <c r="H8" s="155"/>
      <c r="I8" s="156" t="n">
        <f aca="false">H9</f>
        <v>0</v>
      </c>
      <c r="J8" s="156" t="n">
        <f aca="false">H10</f>
        <v>0</v>
      </c>
      <c r="K8" s="156" t="n">
        <f aca="false">H11</f>
        <v>0</v>
      </c>
      <c r="L8" s="156" t="n">
        <f aca="false">H12</f>
        <v>0</v>
      </c>
      <c r="M8" s="156" t="n">
        <f aca="false">H13</f>
        <v>0</v>
      </c>
      <c r="N8" s="156" t="n">
        <f aca="false">H14</f>
        <v>0</v>
      </c>
      <c r="O8" s="156" t="n">
        <f aca="false">H15</f>
        <v>0</v>
      </c>
      <c r="P8" s="156" t="n">
        <f aca="false">H16</f>
        <v>0</v>
      </c>
      <c r="Q8" s="157" t="n">
        <f aca="false">H17</f>
        <v>0</v>
      </c>
      <c r="R8" s="157" t="n">
        <f aca="false">H18</f>
        <v>0</v>
      </c>
      <c r="S8" s="158" t="n">
        <f aca="false">H19</f>
        <v>0</v>
      </c>
      <c r="T8" s="158" t="n">
        <f aca="false">H20</f>
        <v>0</v>
      </c>
      <c r="U8" s="158" t="n">
        <f aca="false">H21</f>
        <v>0</v>
      </c>
      <c r="V8" s="158" t="n">
        <f aca="false">H22</f>
        <v>0</v>
      </c>
      <c r="W8" s="159" t="n">
        <f aca="false">H23</f>
        <v>0</v>
      </c>
    </row>
    <row r="9" customFormat="false" ht="28.5" hidden="false" customHeight="true" outlineLevel="0" collapsed="false">
      <c r="A9" s="149"/>
      <c r="B9" s="50" t="str">
        <f aca="false">Neu!B10</f>
        <v>B34</v>
      </c>
      <c r="C9" s="154"/>
      <c r="D9" s="160"/>
      <c r="E9" s="160"/>
      <c r="F9" s="160"/>
      <c r="G9" s="160" t="n">
        <v>0.008</v>
      </c>
      <c r="H9" s="160"/>
      <c r="I9" s="155"/>
      <c r="J9" s="156" t="n">
        <f aca="false">I10</f>
        <v>0</v>
      </c>
      <c r="K9" s="156" t="n">
        <f aca="false">I11</f>
        <v>0.008</v>
      </c>
      <c r="L9" s="156" t="n">
        <f aca="false">I12</f>
        <v>0</v>
      </c>
      <c r="M9" s="156" t="n">
        <f aca="false">I13</f>
        <v>0</v>
      </c>
      <c r="N9" s="156" t="n">
        <f aca="false">I14</f>
        <v>0</v>
      </c>
      <c r="O9" s="156" t="n">
        <f aca="false">I15</f>
        <v>0</v>
      </c>
      <c r="P9" s="156" t="n">
        <f aca="false">I16</f>
        <v>0</v>
      </c>
      <c r="Q9" s="157" t="n">
        <f aca="false">I17</f>
        <v>0</v>
      </c>
      <c r="R9" s="157" t="n">
        <f aca="false">I18</f>
        <v>0.008</v>
      </c>
      <c r="S9" s="158" t="n">
        <f aca="false">I19</f>
        <v>0</v>
      </c>
      <c r="T9" s="158" t="n">
        <f aca="false">I20</f>
        <v>0</v>
      </c>
      <c r="U9" s="158" t="n">
        <f aca="false">I21</f>
        <v>0</v>
      </c>
      <c r="V9" s="158" t="n">
        <f aca="false">I22</f>
        <v>0</v>
      </c>
      <c r="W9" s="159" t="n">
        <f aca="false">I23</f>
        <v>0</v>
      </c>
    </row>
    <row r="10" customFormat="false" ht="28.5" hidden="false" customHeight="true" outlineLevel="0" collapsed="false">
      <c r="A10" s="149"/>
      <c r="B10" s="50" t="str">
        <f aca="false">Neu!B11</f>
        <v>B35</v>
      </c>
      <c r="C10" s="154"/>
      <c r="D10" s="160"/>
      <c r="E10" s="160"/>
      <c r="F10" s="160"/>
      <c r="G10" s="160" t="n">
        <v>0.0075</v>
      </c>
      <c r="H10" s="160"/>
      <c r="I10" s="160"/>
      <c r="J10" s="155"/>
      <c r="K10" s="156" t="n">
        <f aca="false">J11</f>
        <v>0</v>
      </c>
      <c r="L10" s="156" t="n">
        <f aca="false">J12</f>
        <v>0</v>
      </c>
      <c r="M10" s="156" t="n">
        <f aca="false">J13</f>
        <v>0</v>
      </c>
      <c r="N10" s="156" t="n">
        <f aca="false">J14</f>
        <v>0</v>
      </c>
      <c r="O10" s="156" t="n">
        <f aca="false">J15</f>
        <v>0</v>
      </c>
      <c r="P10" s="156" t="n">
        <f aca="false">J16</f>
        <v>0</v>
      </c>
      <c r="Q10" s="157" t="n">
        <f aca="false">J17</f>
        <v>0</v>
      </c>
      <c r="R10" s="157" t="n">
        <f aca="false">J18</f>
        <v>0</v>
      </c>
      <c r="S10" s="158" t="n">
        <f aca="false">J19</f>
        <v>0</v>
      </c>
      <c r="T10" s="158" t="n">
        <f aca="false">J20</f>
        <v>0</v>
      </c>
      <c r="U10" s="158" t="n">
        <f aca="false">J21</f>
        <v>0</v>
      </c>
      <c r="V10" s="158" t="n">
        <f aca="false">J22</f>
        <v>0</v>
      </c>
      <c r="W10" s="159" t="n">
        <f aca="false">J23</f>
        <v>0</v>
      </c>
    </row>
    <row r="11" customFormat="false" ht="28.5" hidden="false" customHeight="true" outlineLevel="0" collapsed="false">
      <c r="A11" s="149"/>
      <c r="B11" s="50" t="str">
        <f aca="false">Neu!B12</f>
        <v>B40</v>
      </c>
      <c r="C11" s="154"/>
      <c r="D11" s="160"/>
      <c r="E11" s="160"/>
      <c r="F11" s="160"/>
      <c r="G11" s="160"/>
      <c r="H11" s="160"/>
      <c r="I11" s="160" t="n">
        <v>0.008</v>
      </c>
      <c r="J11" s="160"/>
      <c r="K11" s="155"/>
      <c r="L11" s="156" t="n">
        <f aca="false">K12</f>
        <v>0</v>
      </c>
      <c r="M11" s="156" t="n">
        <f aca="false">K13</f>
        <v>0</v>
      </c>
      <c r="N11" s="156" t="n">
        <f aca="false">K14</f>
        <v>0</v>
      </c>
      <c r="O11" s="156" t="n">
        <f aca="false">K15</f>
        <v>0.004</v>
      </c>
      <c r="P11" s="156" t="n">
        <f aca="false">K16</f>
        <v>0</v>
      </c>
      <c r="Q11" s="157" t="n">
        <f aca="false">K17</f>
        <v>0</v>
      </c>
      <c r="R11" s="157" t="n">
        <f aca="false">K18</f>
        <v>0.008</v>
      </c>
      <c r="S11" s="158" t="n">
        <f aca="false">K19</f>
        <v>0</v>
      </c>
      <c r="T11" s="158" t="n">
        <f aca="false">K20</f>
        <v>0</v>
      </c>
      <c r="U11" s="158" t="n">
        <f aca="false">K21</f>
        <v>0</v>
      </c>
      <c r="V11" s="158" t="n">
        <f aca="false">K22</f>
        <v>0</v>
      </c>
      <c r="W11" s="159" t="n">
        <f aca="false">K23</f>
        <v>0</v>
      </c>
    </row>
    <row r="12" customFormat="false" ht="28.5" hidden="false" customHeight="true" outlineLevel="0" collapsed="false">
      <c r="A12" s="149"/>
      <c r="B12" s="50" t="str">
        <f aca="false">Neu!B13</f>
        <v>B51s</v>
      </c>
      <c r="C12" s="154"/>
      <c r="D12" s="160"/>
      <c r="E12" s="160"/>
      <c r="F12" s="160"/>
      <c r="G12" s="160"/>
      <c r="H12" s="160"/>
      <c r="I12" s="160"/>
      <c r="J12" s="160"/>
      <c r="K12" s="160"/>
      <c r="L12" s="155"/>
      <c r="M12" s="156" t="n">
        <f aca="false">L13</f>
        <v>0.2</v>
      </c>
      <c r="N12" s="156" t="n">
        <f aca="false">L14</f>
        <v>0</v>
      </c>
      <c r="O12" s="156" t="n">
        <f aca="false">L15</f>
        <v>0</v>
      </c>
      <c r="P12" s="156" t="n">
        <v>0.038</v>
      </c>
      <c r="Q12" s="157" t="n">
        <f aca="false">L17</f>
        <v>0</v>
      </c>
      <c r="R12" s="157" t="n">
        <f aca="false">L18</f>
        <v>0</v>
      </c>
      <c r="S12" s="158" t="n">
        <f aca="false">L19</f>
        <v>0</v>
      </c>
      <c r="T12" s="158" t="n">
        <f aca="false">L20</f>
        <v>0</v>
      </c>
      <c r="U12" s="158" t="n">
        <f aca="false">L21</f>
        <v>0</v>
      </c>
      <c r="V12" s="158" t="n">
        <f aca="false">L22</f>
        <v>0</v>
      </c>
      <c r="W12" s="159" t="n">
        <f aca="false">L23</f>
        <v>0</v>
      </c>
    </row>
    <row r="13" customFormat="false" ht="28.5" hidden="false" customHeight="true" outlineLevel="0" collapsed="false">
      <c r="A13" s="149"/>
      <c r="B13" s="50" t="str">
        <f aca="false">Neu!B14</f>
        <v>B51a</v>
      </c>
      <c r="C13" s="154" t="n">
        <v>0.135</v>
      </c>
      <c r="D13" s="160"/>
      <c r="E13" s="160"/>
      <c r="F13" s="160"/>
      <c r="G13" s="160"/>
      <c r="H13" s="160"/>
      <c r="I13" s="160"/>
      <c r="J13" s="160"/>
      <c r="K13" s="160"/>
      <c r="L13" s="160" t="n">
        <v>0.2</v>
      </c>
      <c r="M13" s="155"/>
      <c r="N13" s="156" t="n">
        <f aca="false">M14</f>
        <v>0</v>
      </c>
      <c r="O13" s="156" t="n">
        <f aca="false">M15</f>
        <v>0</v>
      </c>
      <c r="P13" s="156" t="n">
        <f aca="false">M16</f>
        <v>0</v>
      </c>
      <c r="Q13" s="157" t="n">
        <f aca="false">M17</f>
        <v>0.02</v>
      </c>
      <c r="R13" s="157" t="n">
        <f aca="false">M18</f>
        <v>0</v>
      </c>
      <c r="S13" s="158" t="n">
        <f aca="false">M19</f>
        <v>0</v>
      </c>
      <c r="T13" s="158" t="n">
        <f aca="false">M20</f>
        <v>0</v>
      </c>
      <c r="U13" s="158" t="n">
        <f aca="false">M21</f>
        <v>0</v>
      </c>
      <c r="V13" s="158" t="n">
        <f aca="false">M22</f>
        <v>0</v>
      </c>
      <c r="W13" s="159" t="n">
        <f aca="false">M23</f>
        <v>0</v>
      </c>
    </row>
    <row r="14" customFormat="false" ht="28.5" hidden="false" customHeight="true" outlineLevel="0" collapsed="false">
      <c r="A14" s="149"/>
      <c r="B14" s="50" t="str">
        <f aca="false">Neu!B15</f>
        <v>B52</v>
      </c>
      <c r="C14" s="154"/>
      <c r="D14" s="160"/>
      <c r="E14" s="160"/>
      <c r="F14" s="160"/>
      <c r="G14" s="160"/>
      <c r="H14" s="160"/>
      <c r="I14" s="160"/>
      <c r="J14" s="160"/>
      <c r="K14" s="160"/>
      <c r="L14" s="160"/>
      <c r="M14" s="160"/>
      <c r="N14" s="155"/>
      <c r="O14" s="156" t="n">
        <f aca="false">N15</f>
        <v>0</v>
      </c>
      <c r="P14" s="156" t="n">
        <f aca="false">N16</f>
        <v>0</v>
      </c>
      <c r="Q14" s="157" t="n">
        <f aca="false">N17</f>
        <v>0</v>
      </c>
      <c r="R14" s="157" t="n">
        <f aca="false">N18</f>
        <v>0</v>
      </c>
      <c r="S14" s="158" t="n">
        <f aca="false">N19</f>
        <v>0</v>
      </c>
      <c r="T14" s="158" t="n">
        <f aca="false">N20</f>
        <v>0</v>
      </c>
      <c r="U14" s="158" t="n">
        <f aca="false">N21</f>
        <v>0</v>
      </c>
      <c r="V14" s="158" t="n">
        <f aca="false">N22</f>
        <v>0</v>
      </c>
      <c r="W14" s="159" t="n">
        <f aca="false">N23</f>
        <v>0</v>
      </c>
    </row>
    <row r="15" customFormat="false" ht="28.5" hidden="false" customHeight="true" outlineLevel="0" collapsed="false">
      <c r="A15" s="149"/>
      <c r="B15" s="50" t="str">
        <f aca="false">Neu!B16</f>
        <v>B63</v>
      </c>
      <c r="C15" s="154"/>
      <c r="D15" s="160"/>
      <c r="E15" s="160" t="n">
        <v>0.004</v>
      </c>
      <c r="F15" s="160" t="n">
        <v>0.006</v>
      </c>
      <c r="G15" s="160" t="n">
        <v>0.015</v>
      </c>
      <c r="H15" s="160"/>
      <c r="I15" s="160"/>
      <c r="J15" s="160"/>
      <c r="K15" s="160" t="n">
        <v>0.004</v>
      </c>
      <c r="L15" s="160"/>
      <c r="M15" s="160"/>
      <c r="N15" s="160"/>
      <c r="O15" s="155"/>
      <c r="P15" s="156" t="n">
        <f aca="false">O16</f>
        <v>0</v>
      </c>
      <c r="Q15" s="157" t="n">
        <f aca="false">O17</f>
        <v>0</v>
      </c>
      <c r="R15" s="157" t="n">
        <f aca="false">O18</f>
        <v>0.006</v>
      </c>
      <c r="S15" s="158" t="n">
        <f aca="false">O19</f>
        <v>0</v>
      </c>
      <c r="T15" s="158" t="n">
        <f aca="false">O20</f>
        <v>0</v>
      </c>
      <c r="U15" s="158" t="n">
        <f aca="false">O21</f>
        <v>0</v>
      </c>
      <c r="V15" s="158" t="n">
        <f aca="false">O22</f>
        <v>0</v>
      </c>
      <c r="W15" s="159" t="n">
        <f aca="false">O23</f>
        <v>0</v>
      </c>
    </row>
    <row r="16" customFormat="false" ht="28.5" hidden="false" customHeight="true" outlineLevel="0" collapsed="false">
      <c r="A16" s="149"/>
      <c r="B16" s="50" t="str">
        <f aca="false">Neu!B17</f>
        <v>B64s</v>
      </c>
      <c r="C16" s="154" t="n">
        <v>0.034</v>
      </c>
      <c r="D16" s="160"/>
      <c r="E16" s="160"/>
      <c r="F16" s="160"/>
      <c r="G16" s="160"/>
      <c r="H16" s="160"/>
      <c r="I16" s="160"/>
      <c r="J16" s="160"/>
      <c r="K16" s="160"/>
      <c r="L16" s="160" t="n">
        <v>0.12</v>
      </c>
      <c r="M16" s="160"/>
      <c r="N16" s="160"/>
      <c r="O16" s="160"/>
      <c r="P16" s="155"/>
      <c r="Q16" s="157" t="n">
        <f aca="false">P17</f>
        <v>0.25</v>
      </c>
      <c r="R16" s="157" t="n">
        <f aca="false">P18</f>
        <v>0</v>
      </c>
      <c r="S16" s="158" t="n">
        <f aca="false">P19</f>
        <v>0</v>
      </c>
      <c r="T16" s="158" t="n">
        <f aca="false">P20</f>
        <v>0</v>
      </c>
      <c r="U16" s="158" t="n">
        <f aca="false">P21</f>
        <v>0</v>
      </c>
      <c r="V16" s="158" t="n">
        <f aca="false">P22</f>
        <v>0</v>
      </c>
      <c r="W16" s="159" t="n">
        <f aca="false">P23</f>
        <v>0</v>
      </c>
    </row>
    <row r="17" customFormat="false" ht="28.5" hidden="false" customHeight="true" outlineLevel="0" collapsed="false">
      <c r="A17" s="149"/>
      <c r="B17" s="50" t="str">
        <f aca="false">Neu!B18</f>
        <v>B64a</v>
      </c>
      <c r="C17" s="161"/>
      <c r="D17" s="162"/>
      <c r="E17" s="162"/>
      <c r="F17" s="162"/>
      <c r="G17" s="162"/>
      <c r="H17" s="162"/>
      <c r="I17" s="162"/>
      <c r="J17" s="162"/>
      <c r="K17" s="162"/>
      <c r="L17" s="162"/>
      <c r="M17" s="162" t="n">
        <v>0.02</v>
      </c>
      <c r="N17" s="162"/>
      <c r="O17" s="162"/>
      <c r="P17" s="162" t="n">
        <v>0.25</v>
      </c>
      <c r="Q17" s="163"/>
      <c r="R17" s="157" t="n">
        <f aca="false">Q18</f>
        <v>0</v>
      </c>
      <c r="S17" s="158" t="n">
        <f aca="false">Q19</f>
        <v>0</v>
      </c>
      <c r="T17" s="158" t="n">
        <f aca="false">Q20</f>
        <v>0</v>
      </c>
      <c r="U17" s="158" t="n">
        <f aca="false">Q21</f>
        <v>0</v>
      </c>
      <c r="V17" s="158" t="n">
        <f aca="false">Q22</f>
        <v>0</v>
      </c>
      <c r="W17" s="159" t="n">
        <f aca="false">Q23</f>
        <v>0</v>
      </c>
    </row>
    <row r="18" customFormat="false" ht="28.5" hidden="false" customHeight="true" outlineLevel="0" collapsed="false">
      <c r="B18" s="50" t="str">
        <f aca="false">Neu!B19</f>
        <v>B65</v>
      </c>
      <c r="C18" s="154"/>
      <c r="D18" s="160"/>
      <c r="E18" s="160" t="n">
        <v>0.004</v>
      </c>
      <c r="F18" s="160"/>
      <c r="G18" s="160" t="n">
        <v>0.004</v>
      </c>
      <c r="H18" s="160"/>
      <c r="I18" s="160" t="n">
        <v>0.008</v>
      </c>
      <c r="J18" s="160"/>
      <c r="K18" s="160" t="n">
        <v>0.008</v>
      </c>
      <c r="L18" s="160"/>
      <c r="M18" s="160"/>
      <c r="N18" s="160"/>
      <c r="O18" s="160" t="n">
        <v>0.006</v>
      </c>
      <c r="P18" s="160"/>
      <c r="Q18" s="160"/>
      <c r="R18" s="155"/>
      <c r="S18" s="158" t="n">
        <f aca="false">R19</f>
        <v>0</v>
      </c>
      <c r="T18" s="158" t="n">
        <f aca="false">R20</f>
        <v>0</v>
      </c>
      <c r="U18" s="158" t="n">
        <f aca="false">R21</f>
        <v>0</v>
      </c>
      <c r="V18" s="158" t="n">
        <f aca="false">R22</f>
        <v>0</v>
      </c>
      <c r="W18" s="159" t="n">
        <f aca="false">R23</f>
        <v>0</v>
      </c>
    </row>
    <row r="19" customFormat="false" ht="28.5" hidden="false" customHeight="true" outlineLevel="0" collapsed="false">
      <c r="B19" s="50" t="str">
        <f aca="false">Neu!B20</f>
        <v>CBI2</v>
      </c>
      <c r="C19" s="154"/>
      <c r="D19" s="160"/>
      <c r="E19" s="160"/>
      <c r="F19" s="160"/>
      <c r="G19" s="160"/>
      <c r="H19" s="160"/>
      <c r="I19" s="160"/>
      <c r="J19" s="160"/>
      <c r="K19" s="160"/>
      <c r="L19" s="160"/>
      <c r="M19" s="160"/>
      <c r="N19" s="160"/>
      <c r="O19" s="160"/>
      <c r="P19" s="160"/>
      <c r="Q19" s="160"/>
      <c r="R19" s="160"/>
      <c r="S19" s="155"/>
      <c r="T19" s="158" t="n">
        <f aca="false">S20</f>
        <v>0</v>
      </c>
      <c r="U19" s="158" t="n">
        <f aca="false">S21</f>
        <v>0</v>
      </c>
      <c r="V19" s="158" t="n">
        <f aca="false">S22</f>
        <v>0</v>
      </c>
      <c r="W19" s="159" t="n">
        <f aca="false">S23</f>
        <v>0</v>
      </c>
    </row>
    <row r="20" customFormat="false" ht="28.5" hidden="false" customHeight="true" outlineLevel="0" collapsed="false">
      <c r="B20" s="50" t="n">
        <f aca="false">Neu!B21</f>
        <v>0</v>
      </c>
      <c r="C20" s="154"/>
      <c r="D20" s="160"/>
      <c r="E20" s="160"/>
      <c r="F20" s="160"/>
      <c r="G20" s="160"/>
      <c r="H20" s="160"/>
      <c r="I20" s="160"/>
      <c r="J20" s="160"/>
      <c r="K20" s="160"/>
      <c r="L20" s="160"/>
      <c r="M20" s="160"/>
      <c r="N20" s="160"/>
      <c r="O20" s="160"/>
      <c r="P20" s="160"/>
      <c r="Q20" s="160"/>
      <c r="R20" s="160"/>
      <c r="S20" s="160"/>
      <c r="T20" s="155"/>
      <c r="U20" s="158" t="n">
        <f aca="false">T21</f>
        <v>0</v>
      </c>
      <c r="V20" s="158" t="n">
        <f aca="false">T22</f>
        <v>0</v>
      </c>
      <c r="W20" s="159" t="n">
        <f aca="false">T23</f>
        <v>0</v>
      </c>
    </row>
    <row r="21" customFormat="false" ht="28.5" hidden="false" customHeight="true" outlineLevel="0" collapsed="false">
      <c r="B21" s="50" t="n">
        <f aca="false">Neu!B22</f>
        <v>0</v>
      </c>
      <c r="C21" s="154"/>
      <c r="D21" s="160"/>
      <c r="E21" s="160"/>
      <c r="F21" s="160"/>
      <c r="G21" s="160"/>
      <c r="H21" s="160"/>
      <c r="I21" s="160"/>
      <c r="J21" s="160"/>
      <c r="K21" s="160"/>
      <c r="L21" s="160"/>
      <c r="M21" s="160"/>
      <c r="N21" s="160"/>
      <c r="O21" s="160"/>
      <c r="P21" s="160"/>
      <c r="Q21" s="160"/>
      <c r="R21" s="160"/>
      <c r="S21" s="160"/>
      <c r="T21" s="160"/>
      <c r="U21" s="155"/>
      <c r="V21" s="158" t="n">
        <f aca="false">U22</f>
        <v>0</v>
      </c>
      <c r="W21" s="159" t="n">
        <f aca="false">U23</f>
        <v>0</v>
      </c>
    </row>
    <row r="22" customFormat="false" ht="28.5" hidden="false" customHeight="true" outlineLevel="0" collapsed="false">
      <c r="B22" s="50" t="n">
        <f aca="false">Neu!B23</f>
        <v>0</v>
      </c>
      <c r="C22" s="154"/>
      <c r="D22" s="160"/>
      <c r="E22" s="160"/>
      <c r="F22" s="160"/>
      <c r="G22" s="160"/>
      <c r="H22" s="160"/>
      <c r="I22" s="160"/>
      <c r="J22" s="160"/>
      <c r="K22" s="160"/>
      <c r="L22" s="160"/>
      <c r="M22" s="160"/>
      <c r="N22" s="160"/>
      <c r="O22" s="160"/>
      <c r="P22" s="160"/>
      <c r="Q22" s="160"/>
      <c r="R22" s="160"/>
      <c r="S22" s="160"/>
      <c r="T22" s="160"/>
      <c r="U22" s="160"/>
      <c r="V22" s="155"/>
      <c r="W22" s="159" t="n">
        <f aca="false">V23</f>
        <v>0</v>
      </c>
    </row>
    <row r="23" customFormat="false" ht="28.5" hidden="false" customHeight="true" outlineLevel="0" collapsed="false">
      <c r="B23" s="51" t="n">
        <f aca="false">Neu!B24</f>
        <v>0</v>
      </c>
      <c r="C23" s="164"/>
      <c r="D23" s="165"/>
      <c r="E23" s="165"/>
      <c r="F23" s="165"/>
      <c r="G23" s="165"/>
      <c r="H23" s="165"/>
      <c r="I23" s="165"/>
      <c r="J23" s="165"/>
      <c r="K23" s="165"/>
      <c r="L23" s="165"/>
      <c r="M23" s="165"/>
      <c r="N23" s="165"/>
      <c r="O23" s="165"/>
      <c r="P23" s="165"/>
      <c r="Q23" s="165"/>
      <c r="R23" s="165"/>
      <c r="S23" s="165"/>
      <c r="T23" s="165"/>
      <c r="U23" s="165"/>
      <c r="V23" s="165"/>
      <c r="W23" s="166"/>
    </row>
  </sheetData>
  <mergeCells count="3">
    <mergeCell ref="A1:B2"/>
    <mergeCell ref="C1:Q1"/>
    <mergeCell ref="A3:A17"/>
  </mergeCells>
  <conditionalFormatting sqref="B3:B23">
    <cfRule type="cellIs" priority="2" operator="equal" aboveAverage="0" equalAverage="0" bottom="0" percent="0" rank="0" text="" dxfId="41">
      <formula>0</formula>
    </cfRule>
  </conditionalFormatting>
  <conditionalFormatting sqref="C2:W2">
    <cfRule type="cellIs" priority="3" operator="equal" aboveAverage="0" equalAverage="0" bottom="0" percent="0" rank="0" text="" dxfId="42">
      <formula>0</formula>
    </cfRule>
  </conditionalFormatting>
  <conditionalFormatting sqref="C3:W23">
    <cfRule type="colorScale" priority="4">
      <colorScale>
        <cfvo type="min" val="0"/>
        <cfvo type="max" val="0"/>
        <color rgb="FFFFFFFF"/>
        <color rgb="FFFF0000"/>
      </colorScale>
    </cfRule>
  </conditionalFormatting>
  <conditionalFormatting sqref="D3:W3 E4:W4 F5:W5 G6:W6 H7:W7 I8:W8 J9:W9 K10:W10 L11:W11 M12:W12 N13:W13 O14:W14 P15:W15 Q16:W16 R17:W17 S18:W18 T19:W19 U20:W20 V21:W21 W22">
    <cfRule type="colorScale" priority="5">
      <colorScale>
        <cfvo type="min" val="0"/>
        <cfvo type="max" val="0"/>
        <color rgb="FFDAE3F3"/>
        <color rgb="FFFF0000"/>
      </colorScale>
    </cfRule>
    <cfRule type="cellIs" priority="6" operator="equal" aboveAverage="0" equalAverage="0" bottom="0" percent="0" rank="0" text="" dxfId="43">
      <formula>0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4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4" activeCellId="0" sqref="A4"/>
    </sheetView>
  </sheetViews>
  <sheetFormatPr defaultColWidth="9.1796875" defaultRowHeight="14.25" zeroHeight="false" outlineLevelRow="0" outlineLevelCol="0"/>
  <cols>
    <col collapsed="false" customWidth="true" hidden="false" outlineLevel="0" max="1" min="1" style="167" width="35.46"/>
    <col collapsed="false" customWidth="true" hidden="false" outlineLevel="0" max="2" min="2" style="168" width="10.82"/>
    <col collapsed="false" customWidth="false" hidden="false" outlineLevel="0" max="3" min="3" style="168" width="9.18"/>
    <col collapsed="false" customWidth="true" hidden="false" outlineLevel="0" max="4" min="4" style="168" width="17.17"/>
    <col collapsed="false" customWidth="false" hidden="false" outlineLevel="0" max="1024" min="5" style="168" width="9.18"/>
  </cols>
  <sheetData>
    <row r="1" customFormat="false" ht="14.25" hidden="false" customHeight="false" outlineLevel="0" collapsed="false">
      <c r="A1" s="169"/>
      <c r="B1" s="170" t="s">
        <v>204</v>
      </c>
      <c r="C1" s="170" t="s">
        <v>205</v>
      </c>
      <c r="D1" s="170" t="s">
        <v>206</v>
      </c>
    </row>
    <row r="2" customFormat="false" ht="14.25" hidden="false" customHeight="false" outlineLevel="0" collapsed="false">
      <c r="A2" s="169" t="s">
        <v>207</v>
      </c>
      <c r="B2" s="49" t="n">
        <v>0</v>
      </c>
      <c r="C2" s="49" t="n">
        <v>50</v>
      </c>
      <c r="D2" s="49" t="n">
        <v>10</v>
      </c>
    </row>
    <row r="3" customFormat="false" ht="14.25" hidden="false" customHeight="false" outlineLevel="0" collapsed="false">
      <c r="A3" s="169" t="s">
        <v>208</v>
      </c>
      <c r="B3" s="49" t="n">
        <v>0</v>
      </c>
      <c r="C3" s="49" t="n">
        <v>200</v>
      </c>
      <c r="D3" s="49" t="n">
        <v>10</v>
      </c>
    </row>
    <row r="4" customFormat="false" ht="14.25" hidden="false" customHeight="false" outlineLevel="0" collapsed="false">
      <c r="A4" s="169" t="s">
        <v>209</v>
      </c>
      <c r="B4" s="49" t="n">
        <v>0</v>
      </c>
      <c r="C4" s="49" t="n">
        <v>200</v>
      </c>
      <c r="D4" s="49" t="n">
        <v>10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154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2020-08-05T22:20:23Z</dcterms:created>
  <dc:creator>Neveu, Curtis L</dc:creator>
  <dc:description/>
  <dc:language>en-US</dc:language>
  <cp:lastModifiedBy/>
  <dcterms:modified xsi:type="dcterms:W3CDTF">2025-06-23T12:16:10Z</dcterms:modified>
  <cp:revision>34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