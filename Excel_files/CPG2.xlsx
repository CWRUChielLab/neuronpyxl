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_rels/sheet23.xml.rels" ContentType="application/vnd.openxmlformats-package.relationship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0"/>
  </bookViews>
  <sheets>
    <sheet name="Neu" sheetId="1" state="visible" r:id="rId2"/>
    <sheet name="excitability1.smu" sheetId="2" state="visible" r:id="rId3"/>
    <sheet name="excitB52.smu" sheetId="3" state="visible" r:id="rId4"/>
    <sheet name="excitability.smu" sheetId="4" state="visible" r:id="rId5"/>
    <sheet name="B52-B8B52.smu" sheetId="5" state="visible" r:id="rId6"/>
    <sheet name="B52-B4.smu" sheetId="6" state="visible" r:id="rId7"/>
    <sheet name="B65-B8.smu" sheetId="7" state="visible" r:id="rId8"/>
    <sheet name="B65-B52.smu" sheetId="8" state="visible" r:id="rId9"/>
    <sheet name="B35-B52.smu" sheetId="9" state="visible" r:id="rId10"/>
    <sheet name="B20-B8.smu" sheetId="10" state="visible" r:id="rId11"/>
    <sheet name="CBI2-B8.smu" sheetId="11" state="visible" r:id="rId12"/>
    <sheet name="B63.smu" sheetId="12" state="visible" r:id="rId13"/>
    <sheet name="B52.smu" sheetId="13" state="visible" r:id="rId14"/>
    <sheet name="IR.smu" sheetId="14" state="visible" r:id="rId15"/>
    <sheet name="B65.smu" sheetId="15" state="visible" r:id="rId16"/>
    <sheet name="B20.smu" sheetId="16" state="visible" r:id="rId17"/>
    <sheet name="synapse.smu" sheetId="17" state="visible" r:id="rId18"/>
    <sheet name="B64a-B3B6B9.smu" sheetId="18" state="visible" r:id="rId19"/>
    <sheet name="B51-B3B6B9.smu" sheetId="19" state="visible" r:id="rId20"/>
    <sheet name="BMP.smu" sheetId="20" state="visible" r:id="rId21"/>
    <sheet name="cs_g" sheetId="21" state="visible" r:id="rId22"/>
    <sheet name="cs_E" sheetId="22" state="visible" r:id="rId23"/>
    <sheet name="cs_FAT" sheetId="23" state="visible" r:id="rId24"/>
    <sheet name="es" sheetId="24" state="visible" r:id="rId25"/>
    <sheet name="noise" sheetId="25" state="visible" r:id="rId26"/>
    <sheet name="OC_effects" sheetId="26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<sst xmlns="http://schemas.openxmlformats.org/spreadsheetml/2006/main" count="3032" uniqueCount="263">
  <si>
    <t xml:space="preserve">File</t>
  </si>
  <si>
    <t xml:space="preserve">leak</t>
  </si>
  <si>
    <t xml:space="preserve">Na</t>
  </si>
  <si>
    <t xml:space="preserve">K</t>
  </si>
  <si>
    <t xml:space="preserve">KA</t>
  </si>
  <si>
    <t xml:space="preserve">CaL</t>
  </si>
  <si>
    <t xml:space="preserve">CaR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</si>
  <si>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</si>
  <si>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</si>
  <si>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</si>
  <si>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</si>
  <si>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</si>
  <si>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</si>
  <si>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</si>
  <si>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</si>
  <si>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</si>
  <si>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</si>
  <si>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</si>
  <si>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</si>
  <si>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</si>
  <si>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</si>
  <si>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</si>
  <si>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</si>
  <si>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</si>
  <si>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</si>
  <si>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</si>
  <si>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</si>
  <si>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</si>
  <si>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</si>
  <si>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</si>
  <si>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</si>
  <si>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</si>
  <si>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</si>
  <si>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</si>
  <si>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</si>
  <si>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B8</t>
  </si>
  <si>
    <t xml:space="preserve">B20</t>
  </si>
  <si>
    <t xml:space="preserve">B30</t>
  </si>
  <si>
    <t xml:space="preserve">B31s</t>
  </si>
  <si>
    <t xml:space="preserve">B31a</t>
  </si>
  <si>
    <t xml:space="preserve">B34</t>
  </si>
  <si>
    <t xml:space="preserve">B35</t>
  </si>
  <si>
    <t xml:space="preserve">B40</t>
  </si>
  <si>
    <t xml:space="preserve">B51s</t>
  </si>
  <si>
    <t xml:space="preserve">B71</t>
  </si>
  <si>
    <t xml:space="preserve">B52</t>
  </si>
  <si>
    <t xml:space="preserve">B63</t>
  </si>
  <si>
    <t xml:space="preserve">B64s</t>
  </si>
  <si>
    <t xml:space="preserve">B65</t>
  </si>
  <si>
    <t xml:space="preserve">CBI2</t>
  </si>
  <si>
    <t xml:space="preserve">B6</t>
  </si>
  <si>
    <t xml:space="preserve">B9</t>
  </si>
  <si>
    <t xml:space="preserve">B3</t>
  </si>
  <si>
    <t xml:space="preserve">B91</t>
  </si>
  <si>
    <t xml:space="preserve">B52b</t>
  </si>
  <si>
    <t xml:space="preserve">B51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</si>
  <si>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</si>
  <si>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</si>
  <si>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</si>
  <si>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</si>
  <si>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B6O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</si>
  <si>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</si>
  <si>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</si>
  <si>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</si>
  <si>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</si>
  <si>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</si>
  <si>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</si>
  <si>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</si>
  <si>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</si>
  <si>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</si>
  <si>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</si>
  <si>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</si>
  <si>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B9O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</si>
  <si>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</si>
  <si>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</si>
  <si>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</si>
  <si>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</si>
  <si>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</si>
  <si>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</si>
  <si>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</si>
  <si>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</si>
  <si>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</si>
  <si>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</si>
  <si>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</si>
  <si>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</si>
  <si>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</si>
  <si>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</si>
  <si>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</si>
  <si>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</si>
  <si>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</si>
  <si>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</si>
  <si>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</si>
  <si>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</si>
  <si>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</si>
  <si>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</si>
  <si>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</si>
  <si>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</si>
  <si>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</si>
  <si>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</si>
  <si>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</si>
  <si>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</si>
  <si>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</si>
  <si>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</si>
  <si>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</si>
  <si>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</si>
  <si>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excitability1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</si>
  <si>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</si>
  <si>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</si>
  <si>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</si>
  <si>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</si>
  <si>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</si>
  <si>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</si>
  <si>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</si>
  <si>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</si>
  <si>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</si>
  <si>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</si>
  <si>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</si>
  <si>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</si>
  <si>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</si>
  <si>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</si>
  <si>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</si>
  <si>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</si>
  <si>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</si>
  <si>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</si>
  <si>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</si>
  <si>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</si>
  <si>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</si>
  <si>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</si>
  <si>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</si>
  <si>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</si>
  <si>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</si>
  <si>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</si>
  <si>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</si>
  <si>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</si>
  <si>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</si>
  <si>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</si>
  <si>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</si>
  <si>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</si>
  <si>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</si>
  <si>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</si>
  <si>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</si>
  <si>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</si>
  <si>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</si>
  <si>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</si>
  <si>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</si>
  <si>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</si>
  <si>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</si>
  <si>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</si>
  <si>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</si>
  <si>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</si>
  <si>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</si>
  <si>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</si>
  <si>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</si>
  <si>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</si>
  <si>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</si>
  <si>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</si>
  <si>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</si>
  <si>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</si>
  <si>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</si>
  <si>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</si>
  <si>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</si>
  <si>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</si>
  <si>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</si>
  <si>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</si>
  <si>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V.B3</t>
  </si>
  <si>
    <t xml:space="preserve">red</t>
  </si>
  <si>
    <t xml:space="preserve">V.B6</t>
  </si>
  <si>
    <t xml:space="preserve">V.B9</t>
  </si>
  <si>
    <t xml:space="preserve">                         stimulation (.trt)</t>
  </si>
  <si>
    <t xml:space="preserve">Current injection</t>
  </si>
  <si>
    <t xml:space="preserve">Voltage clamp</t>
  </si>
  <si>
    <t xml:space="preserve">output variables</t>
  </si>
  <si>
    <t xml:space="preserve">neuron</t>
  </si>
  <si>
    <t xml:space="preserve">magnitude</t>
  </si>
  <si>
    <t xml:space="preserve">potential</t>
  </si>
  <si>
    <t xml:space="preserve">all</t>
  </si>
  <si>
    <t xml:space="preserve">type "all" in first cell to output all graphed variables or type individual channels</t>
  </si>
  <si>
    <t xml:space="preserve"> 5 to 6, 10 to 11, 15-16,  25-30.</t>
  </si>
  <si>
    <t xml:space="preserve">excitB52</t>
  </si>
  <si>
    <t xml:space="preserve">V.B52</t>
  </si>
  <si>
    <t xml:space="preserve">excitability</t>
  </si>
  <si>
    <t xml:space="preserve">V.B71</t>
  </si>
  <si>
    <t xml:space="preserve">green</t>
  </si>
  <si>
    <t xml:space="preserve">B52-B8B52</t>
  </si>
  <si>
    <t xml:space="preserve">magenta</t>
  </si>
  <si>
    <t xml:space="preserve">V.B52b</t>
  </si>
  <si>
    <t xml:space="preserve">orange</t>
  </si>
  <si>
    <t xml:space="preserve">V.B8</t>
  </si>
  <si>
    <t xml:space="preserve">B52-B4</t>
  </si>
  <si>
    <t xml:space="preserve">V.B4</t>
  </si>
  <si>
    <t xml:space="preserve">B65-B8</t>
  </si>
  <si>
    <t xml:space="preserve">V.B65</t>
  </si>
  <si>
    <t xml:space="preserve">B65-B52</t>
  </si>
  <si>
    <t xml:space="preserve">B35-B52</t>
  </si>
  <si>
    <t xml:space="preserve">V.B35</t>
  </si>
  <si>
    <t xml:space="preserve">B20-B8</t>
  </si>
  <si>
    <t xml:space="preserve">V.B20</t>
  </si>
  <si>
    <t xml:space="preserve">CBI2-B8</t>
  </si>
  <si>
    <t xml:space="preserve">V.CBI2</t>
  </si>
  <si>
    <t xml:space="preserve">V.B63</t>
  </si>
  <si>
    <t xml:space="preserve">V.B51s</t>
  </si>
  <si>
    <t xml:space="preserve">V.B64s</t>
  </si>
  <si>
    <t xml:space="preserve">cyan</t>
  </si>
  <si>
    <t xml:space="preserve">IR</t>
  </si>
  <si>
    <t xml:space="preserve">sIvd_reg</t>
  </si>
  <si>
    <t xml:space="preserve">yellow</t>
  </si>
  <si>
    <t xml:space="preserve">blue</t>
  </si>
  <si>
    <t xml:space="preserve">V.B31s</t>
  </si>
  <si>
    <t xml:space="preserve">V.B34</t>
  </si>
  <si>
    <t xml:space="preserve">V.B40</t>
  </si>
  <si>
    <t xml:space="preserve">V.B30</t>
  </si>
  <si>
    <t xml:space="preserve">B64a-B3B6B9</t>
  </si>
  <si>
    <t xml:space="preserve">V.B64a</t>
  </si>
  <si>
    <t xml:space="preserve">B64a</t>
  </si>
  <si>
    <t xml:space="preserve">B51-B3B6B9</t>
  </si>
  <si>
    <t xml:space="preserve">V.B51a</t>
  </si>
  <si>
    <t xml:space="preserve">B51a</t>
  </si>
  <si>
    <t xml:space="preserve">BMP</t>
  </si>
  <si>
    <t xml:space="preserve">V.B31a</t>
  </si>
  <si>
    <t xml:space="preserve">V.B91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</si>
  <si>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</si>
  <si>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</si>
  <si>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</si>
  <si>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</si>
  <si>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</si>
  <si>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</si>
  <si>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</si>
  <si>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</si>
  <si>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</si>
  <si>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</si>
  <si>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</si>
  <si>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</si>
  <si>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</si>
  <si>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</si>
  <si>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</si>
  <si>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</si>
  <si>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</si>
  <si>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</si>
  <si>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total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</si>
  <si>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</si>
  <si>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</si>
  <si>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</si>
  <si>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</si>
  <si>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</si>
  <si>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</si>
  <si>
    <t xml:space="preserve">Intrinsic</t>
  </si>
  <si>
    <t xml:space="preserve">Electrical</t>
  </si>
  <si>
    <t xml:space="preserve">Chemical</t>
  </si>
  <si>
    <t xml:space="preserve">override</t>
  </si>
  <si>
    <t xml:space="preserve">ck</t>
  </si>
  <si>
    <t xml:space="preserve">Neuron</t>
  </si>
  <si>
    <t xml:space="preserve">Channel</t>
  </si>
  <si>
    <t xml:space="preserve">Y</t>
  </si>
  <si>
    <t xml:space="preserve">O</t>
  </si>
  <si>
    <t xml:space="preserve">N1</t>
  </si>
  <si>
    <t xml:space="preserve">N2</t>
  </si>
  <si>
    <t xml:space="preserve">Pre</t>
  </si>
  <si>
    <t xml:space="preserve">Post</t>
  </si>
  <si>
    <t xml:space="preserve">Group</t>
  </si>
  <si>
    <t xml:space="preserve">Value</t>
  </si>
  <si>
    <t xml:space="preserve">y</t>
  </si>
  <si>
    <t xml:space="preserve">Kca</t>
  </si>
  <si>
    <t xml:space="preserve">Main override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</si>
</sst>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242424"/>
      <name val="Segoe U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1"/>
    </font>
  </fonts>
  <fills count="20">
    <fill>
      <patternFill patternType="none"/>
    </fill>
    <fill>
      <patternFill patternType="gray125"/>
    </fill>
    <fill>
      <patternFill patternType="solid">
        <fgColor rgb="FFDAE3F3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rgb="FFB4C7E7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FC000"/>
        <bgColor rgb="FFFF9B9D"/>
      </patternFill>
    </fill>
    <fill>
      <patternFill patternType="solid">
        <fgColor rgb="FF9DC3E6"/>
        <bgColor rgb="FFB4C7E7"/>
      </patternFill>
    </fill>
    <fill>
      <patternFill patternType="solid">
        <fgColor rgb="FF8FAADC"/>
        <bgColor rgb="FF9DC3E6"/>
      </patternFill>
    </fill>
    <fill>
      <patternFill patternType="solid">
        <fgColor rgb="FFE2F0D9"/>
        <bgColor rgb="FFE2EFD9"/>
      </patternFill>
    </fill>
    <fill>
      <patternFill patternType="solid">
        <fgColor rgb="FF92D050"/>
        <bgColor rgb="FF9DC3E6"/>
      </patternFill>
    </fill>
    <fill>
      <patternFill patternType="solid">
        <fgColor rgb="FFCCECFF"/>
        <bgColor rgb="FFDAE3F3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E2EFD9"/>
      </patternFill>
    </fill>
    <fill>
      <patternFill patternType="solid">
        <fgColor rgb="FFE2EFD9"/>
        <bgColor rgb="FFE2EFDA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242424"/>
      </patternFill>
    </fill>
  </fills>
  <borders count="7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5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1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5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18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2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1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2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14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4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7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9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9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5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2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91"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/>
    <dxf>
      <fill>
        <patternFill>
          <bgColor rgb="FFFF9B9D"/>
        </patternFill>
      </fill>
    </dxf>
    <dxf/>
    <dxf>
      <fill>
        <patternFill>
          <bgColor rgb="FFFF9B9D"/>
        </patternFill>
      </fill>
    </dxf>
    <dxf/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/>
    <dxf>
      <fill>
        <patternFill>
          <bgColor rgb="FFFF9B9D"/>
        </patternFill>
      </fill>
    </dxf>
    <dxf>
      <fill>
        <patternFill>
          <bgColor rgb="FFFF9B9D"/>
        </patternFill>
      </fill>
    </dxf>
    <dxf/>
    <dxf/>
    <dxf>
      <fill>
        <patternFill>
          <bgColor rgb="FFFF9B9D"/>
        </patternFill>
      </fill>
    </dxf>
    <dxf/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/>
    <dxf>
      <fill>
        <patternFill>
          <bgColor rgb="FFFF9B9D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/>
    <dxf/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E2EFD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8FAADC"/>
      <rgbColor rgb="FF993366"/>
      <rgbColor rgb="FFFFF2CC"/>
      <rgbColor rgb="FFCCECFF"/>
      <rgbColor rgb="FF660066"/>
      <rgbColor rgb="FFFF6D6D"/>
      <rgbColor rgb="FF0066CC"/>
      <rgbColor rgb="FFB4C7E7"/>
      <rgbColor rgb="FF000080"/>
      <rgbColor rgb="FFFF00FF"/>
      <rgbColor rgb="FFFCD6D6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BE5D6"/>
      <rgbColor rgb="FF9DC3E6"/>
      <rgbColor rgb="FFFF9B9D"/>
      <rgbColor rgb="FFFFC7CE"/>
      <rgbColor rgb="FFFFCCCC"/>
      <rgbColor rgb="FF3366FF"/>
      <rgbColor rgb="FFDAE3F3"/>
      <rgbColor rgb="FF92D050"/>
      <rgbColor rgb="FFFFC000"/>
      <rgbColor rgb="FFFCD0FA"/>
      <rgbColor rgb="FFFF6600"/>
      <rgbColor rgb="FF666699"/>
      <rgbColor rgb="FFD9D9D9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4680</xdr:rowOff>
    </xdr:from>
    <xdr:to>
      <xdr:col>39</xdr:col>
      <xdr:colOff>55080</xdr:colOff>
      <xdr:row>6</xdr:row>
      <xdr:rowOff>103320</xdr:rowOff>
    </xdr:to>
    <xdr:sp>
      <xdr:nvSpPr>
        <xdr:cNvPr id="0" name="TextBox 1"/>
        <xdr:cNvSpPr/>
      </xdr:nvSpPr>
      <xdr:spPr>
        <a:xfrm>
          <a:off x="20934000" y="947520"/>
          <a:ext cx="2400120" cy="279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Q6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E13" activeCellId="0" sqref="E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7.71"/>
    <col collapsed="false" customWidth="false" hidden="false" outlineLevel="0" max="2" min="2" style="1" width="9.14"/>
    <col collapsed="false" customWidth="true" hidden="false" outlineLevel="0" max="3" min="3" style="1" width="10.43"/>
    <col collapsed="false" customWidth="true" hidden="false" outlineLevel="0" max="4" min="4" style="1" width="8.14"/>
    <col collapsed="false" customWidth="true" hidden="false" outlineLevel="0" max="5" min="5" style="1" width="8.57"/>
    <col collapsed="false" customWidth="true" hidden="false" outlineLevel="0" max="6" min="6" style="1" width="6.28"/>
    <col collapsed="false" customWidth="true" hidden="false" outlineLevel="0" max="13" min="7" style="1" width="6"/>
    <col collapsed="false" customWidth="true" hidden="false" outlineLevel="0" max="14" min="14" style="1" width="8.57"/>
    <col collapsed="false" customWidth="true" hidden="false" outlineLevel="0" max="15" min="15" style="1" width="10.14"/>
    <col collapsed="false" customWidth="true" hidden="false" outlineLevel="0" max="25" min="16" style="1" width="6"/>
    <col collapsed="false" customWidth="true" hidden="false" outlineLevel="0" max="26" min="26" style="1" width="7.14"/>
    <col collapsed="false" customWidth="true" hidden="false" outlineLevel="0" max="27" min="27" style="1" width="8.28"/>
    <col collapsed="false" customWidth="true" hidden="false" outlineLevel="0" max="33" min="28" style="1" width="6"/>
    <col collapsed="false" customWidth="true" hidden="false" outlineLevel="0" max="37" min="34" style="1" width="5.28"/>
    <col collapsed="false" customWidth="true" hidden="false" outlineLevel="0" max="38" min="38" style="1" width="6.43"/>
    <col collapsed="false" customWidth="true" hidden="false" outlineLevel="0" max="39" min="39" style="1" width="5.85"/>
    <col collapsed="false" customWidth="true" hidden="false" outlineLevel="0" max="40" min="40" style="1" width="5.28"/>
    <col collapsed="false" customWidth="true" hidden="false" outlineLevel="0" max="41" min="41" style="1" width="6.57"/>
    <col collapsed="false" customWidth="true" hidden="false" outlineLevel="0" max="42" min="42" style="1" width="8.28"/>
    <col collapsed="false" customWidth="true" hidden="false" outlineLevel="0" max="52" min="43" style="1" width="5.28"/>
    <col collapsed="false" customWidth="true" hidden="false" outlineLevel="0" max="54" min="53" style="1" width="6.57"/>
    <col collapsed="false" customWidth="true" hidden="false" outlineLevel="0" max="55" min="55" style="1" width="5.14"/>
    <col collapsed="false" customWidth="true" hidden="false" outlineLevel="0" max="56" min="56" style="1" width="6.14"/>
    <col collapsed="false" customWidth="true" hidden="false" outlineLevel="0" max="57" min="57" style="1" width="4.71"/>
    <col collapsed="false" customWidth="true" hidden="false" outlineLevel="0" max="59" min="58" style="1" width="5.14"/>
    <col collapsed="false" customWidth="true" hidden="false" outlineLevel="0" max="60" min="60" style="1" width="3.86"/>
    <col collapsed="false" customWidth="true" hidden="false" outlineLevel="0" max="61" min="61" style="1" width="6.14"/>
    <col collapsed="false" customWidth="true" hidden="false" outlineLevel="0" max="62" min="62" style="1" width="4"/>
    <col collapsed="false" customWidth="true" hidden="false" outlineLevel="0" max="66" min="63" style="1" width="6.14"/>
    <col collapsed="false" customWidth="true" hidden="false" outlineLevel="0" max="67" min="67" style="1" width="3.86"/>
    <col collapsed="false" customWidth="true" hidden="false" outlineLevel="0" max="68" min="68" style="1" width="7.28"/>
    <col collapsed="false" customWidth="true" hidden="false" outlineLevel="0" max="69" min="69" style="1" width="7.85"/>
    <col collapsed="false" customWidth="true" hidden="false" outlineLevel="0" max="71" min="70" style="1" width="6.14"/>
    <col collapsed="false" customWidth="true" hidden="false" outlineLevel="0" max="72" min="72" style="1" width="4"/>
    <col collapsed="false" customWidth="true" hidden="false" outlineLevel="0" max="74" min="73" style="1" width="6.14"/>
    <col collapsed="false" customWidth="true" hidden="false" outlineLevel="0" max="75" min="75" style="1" width="3.57"/>
    <col collapsed="false" customWidth="true" hidden="false" outlineLevel="0" max="78" min="76" style="1" width="6.14"/>
    <col collapsed="false" customWidth="true" hidden="false" outlineLevel="0" max="79" min="79" style="1" width="4"/>
    <col collapsed="false" customWidth="true" hidden="false" outlineLevel="0" max="80" min="80" style="1" width="7.14"/>
    <col collapsed="false" customWidth="true" hidden="false" outlineLevel="0" max="81" min="81" style="1" width="7.71"/>
    <col collapsed="false" customWidth="true" hidden="false" outlineLevel="0" max="83" min="82" style="1" width="6.14"/>
    <col collapsed="false" customWidth="true" hidden="false" outlineLevel="0" max="84" min="84" style="1" width="4.57"/>
    <col collapsed="false" customWidth="true" hidden="false" outlineLevel="0" max="86" min="85" style="1" width="6.14"/>
    <col collapsed="false" customWidth="true" hidden="false" outlineLevel="0" max="87" min="87" style="1" width="4.28"/>
    <col collapsed="false" customWidth="true" hidden="false" outlineLevel="0" max="88" min="88" style="1" width="6.43"/>
    <col collapsed="false" customWidth="true" hidden="false" outlineLevel="0" max="89" min="89" style="1" width="2.86"/>
    <col collapsed="false" customWidth="true" hidden="false" outlineLevel="0" max="90" min="90" style="1" width="4.14"/>
    <col collapsed="false" customWidth="true" hidden="false" outlineLevel="0" max="92" min="91" style="1" width="4.57"/>
    <col collapsed="false" customWidth="true" hidden="false" outlineLevel="0" max="93" min="93" style="1" width="5.57"/>
    <col collapsed="false" customWidth="true" hidden="false" outlineLevel="0" max="94" min="94" style="1" width="3"/>
    <col collapsed="false" customWidth="true" hidden="false" outlineLevel="0" max="95" min="95" style="1" width="7.28"/>
    <col collapsed="false" customWidth="true" hidden="false" outlineLevel="0" max="96" min="96" style="1" width="7.57"/>
    <col collapsed="false" customWidth="true" hidden="false" outlineLevel="0" max="97" min="97" style="1" width="5.85"/>
    <col collapsed="false" customWidth="true" hidden="false" outlineLevel="0" max="98" min="98" style="1" width="5.71"/>
    <col collapsed="false" customWidth="true" hidden="false" outlineLevel="0" max="99" min="99" style="1" width="4"/>
    <col collapsed="false" customWidth="true" hidden="false" outlineLevel="0" max="101" min="100" style="1" width="5.28"/>
    <col collapsed="false" customWidth="true" hidden="false" outlineLevel="0" max="102" min="102" style="1" width="4"/>
    <col collapsed="false" customWidth="true" hidden="false" outlineLevel="0" max="103" min="103" style="1" width="4.57"/>
    <col collapsed="false" customWidth="true" hidden="false" outlineLevel="0" max="104" min="104" style="1" width="6.85"/>
    <col collapsed="false" customWidth="true" hidden="false" outlineLevel="0" max="105" min="105" style="1" width="6.43"/>
    <col collapsed="false" customWidth="true" hidden="false" outlineLevel="0" max="106" min="106" style="1" width="3"/>
    <col collapsed="false" customWidth="true" hidden="false" outlineLevel="0" max="107" min="107" style="1" width="7.28"/>
    <col collapsed="false" customWidth="true" hidden="false" outlineLevel="0" max="108" min="108" style="1" width="7.43"/>
    <col collapsed="false" customWidth="true" hidden="false" outlineLevel="0" max="109" min="109" style="1" width="6.28"/>
    <col collapsed="false" customWidth="true" hidden="false" outlineLevel="0" max="110" min="110" style="1" width="5.71"/>
    <col collapsed="false" customWidth="true" hidden="false" outlineLevel="0" max="114" min="111" style="1" width="4"/>
    <col collapsed="false" customWidth="true" hidden="false" outlineLevel="0" max="115" min="115" style="1" width="6.14"/>
    <col collapsed="false" customWidth="true" hidden="false" outlineLevel="0" max="116" min="116" style="1" width="4"/>
    <col collapsed="false" customWidth="true" hidden="false" outlineLevel="0" max="120" min="117" style="1" width="6.14"/>
    <col collapsed="false" customWidth="true" hidden="false" outlineLevel="0" max="121" min="121" style="1" width="4"/>
    <col collapsed="false" customWidth="true" hidden="false" outlineLevel="0" max="122" min="122" style="1" width="8.43"/>
    <col collapsed="false" customWidth="true" hidden="false" outlineLevel="0" max="123" min="123" style="1" width="7.43"/>
    <col collapsed="false" customWidth="true" hidden="false" outlineLevel="0" max="125" min="124" style="1" width="6.14"/>
    <col collapsed="false" customWidth="true" hidden="false" outlineLevel="0" max="126" min="126" style="1" width="4.28"/>
    <col collapsed="false" customWidth="true" hidden="false" outlineLevel="0" max="128" min="127" style="1" width="6.14"/>
    <col collapsed="false" customWidth="true" hidden="false" outlineLevel="0" max="129" min="129" style="1" width="5"/>
    <col collapsed="false" customWidth="true" hidden="false" outlineLevel="0" max="130" min="130" style="1" width="6.14"/>
    <col collapsed="false" customWidth="true" hidden="false" outlineLevel="0" max="131" min="131" style="1" width="7"/>
    <col collapsed="false" customWidth="true" hidden="false" outlineLevel="0" max="132" min="132" style="1" width="6.14"/>
    <col collapsed="false" customWidth="true" hidden="false" outlineLevel="0" max="133" min="133" style="1" width="4.28"/>
    <col collapsed="false" customWidth="true" hidden="false" outlineLevel="0" max="134" min="134" style="1" width="7.14"/>
    <col collapsed="false" customWidth="true" hidden="false" outlineLevel="0" max="135" min="135" style="1" width="8"/>
    <col collapsed="false" customWidth="true" hidden="false" outlineLevel="0" max="137" min="136" style="1" width="6.14"/>
    <col collapsed="false" customWidth="true" hidden="false" outlineLevel="0" max="138" min="138" style="1" width="4.28"/>
    <col collapsed="false" customWidth="true" hidden="false" outlineLevel="0" max="140" min="139" style="1" width="6.14"/>
    <col collapsed="false" customWidth="true" hidden="false" outlineLevel="0" max="141" min="141" style="1" width="4.85"/>
    <col collapsed="false" customWidth="true" hidden="false" outlineLevel="0" max="142" min="142" style="1" width="6.43"/>
    <col collapsed="false" customWidth="true" hidden="false" outlineLevel="0" max="143" min="143" style="1" width="2.86"/>
    <col collapsed="false" customWidth="true" hidden="false" outlineLevel="0" max="144" min="144" style="1" width="4.14"/>
    <col collapsed="false" customWidth="true" hidden="false" outlineLevel="0" max="145" min="145" style="1" width="4.57"/>
    <col collapsed="false" customWidth="true" hidden="false" outlineLevel="0" max="146" min="146" style="1" width="5.28"/>
    <col collapsed="false" customWidth="true" hidden="false" outlineLevel="0" max="147" min="147" style="1" width="5.57"/>
    <col collapsed="false" customWidth="true" hidden="false" outlineLevel="0" max="148" min="148" style="1" width="3"/>
    <col collapsed="false" customWidth="true" hidden="false" outlineLevel="0" max="149" min="149" style="1" width="7.28"/>
    <col collapsed="false" customWidth="true" hidden="false" outlineLevel="0" max="150" min="150" style="1" width="7.57"/>
    <col collapsed="false" customWidth="true" hidden="false" outlineLevel="0" max="151" min="151" style="1" width="5.85"/>
    <col collapsed="false" customWidth="true" hidden="false" outlineLevel="0" max="152" min="152" style="1" width="5.71"/>
    <col collapsed="false" customWidth="true" hidden="false" outlineLevel="0" max="153" min="153" style="1" width="4"/>
    <col collapsed="false" customWidth="true" hidden="false" outlineLevel="0" max="155" min="154" style="1" width="5.28"/>
    <col collapsed="false" customWidth="true" hidden="false" outlineLevel="0" max="156" min="156" style="1" width="4"/>
    <col collapsed="false" customWidth="true" hidden="false" outlineLevel="0" max="157" min="157" style="1" width="4.57"/>
    <col collapsed="false" customWidth="true" hidden="false" outlineLevel="0" max="158" min="158" style="1" width="6.85"/>
    <col collapsed="false" customWidth="true" hidden="false" outlineLevel="0" max="159" min="159" style="1" width="6.43"/>
    <col collapsed="false" customWidth="true" hidden="false" outlineLevel="0" max="160" min="160" style="1" width="3"/>
    <col collapsed="false" customWidth="true" hidden="false" outlineLevel="0" max="161" min="161" style="1" width="7.28"/>
    <col collapsed="false" customWidth="true" hidden="false" outlineLevel="0" max="162" min="162" style="1" width="7.43"/>
    <col collapsed="false" customWidth="true" hidden="false" outlineLevel="0" max="163" min="163" style="1" width="6.28"/>
    <col collapsed="false" customWidth="true" hidden="false" outlineLevel="0" max="164" min="164" style="1" width="5.71"/>
    <col collapsed="false" customWidth="true" hidden="false" outlineLevel="0" max="165" min="165" style="1" width="4"/>
    <col collapsed="false" customWidth="true" hidden="false" outlineLevel="0" max="166" min="166" style="1" width="5.28"/>
    <col collapsed="false" customWidth="true" hidden="false" outlineLevel="0" max="168" min="167" style="1" width="4"/>
    <col collapsed="false" customWidth="true" hidden="false" outlineLevel="0" max="174" min="169" style="1" width="6.14"/>
    <col collapsed="false" customWidth="true" hidden="false" outlineLevel="0" max="175" min="175" style="1" width="3.86"/>
    <col collapsed="false" customWidth="true" hidden="false" outlineLevel="0" max="183" min="176" style="1" width="6.14"/>
    <col collapsed="false" customWidth="true" hidden="false" outlineLevel="0" max="184" min="184" style="1" width="6.85"/>
    <col collapsed="false" customWidth="true" hidden="false" outlineLevel="0" max="186" min="185" style="1" width="6.14"/>
    <col collapsed="false" customWidth="true" hidden="false" outlineLevel="0" max="187" min="187" style="1" width="4"/>
    <col collapsed="false" customWidth="true" hidden="false" outlineLevel="0" max="188" min="188" style="1" width="7.14"/>
    <col collapsed="false" customWidth="true" hidden="false" outlineLevel="0" max="191" min="189" style="1" width="6.14"/>
    <col collapsed="false" customWidth="true" hidden="false" outlineLevel="0" max="192" min="192" style="1" width="4.57"/>
    <col collapsed="false" customWidth="true" hidden="false" outlineLevel="0" max="194" min="193" style="1" width="6.14"/>
    <col collapsed="false" customWidth="true" hidden="false" outlineLevel="0" max="195" min="195" style="1" width="4.28"/>
    <col collapsed="false" customWidth="true" hidden="false" outlineLevel="0" max="201" min="196" style="1" width="6.14"/>
    <col collapsed="false" customWidth="true" hidden="false" outlineLevel="0" max="202" min="202" style="1" width="3.86"/>
    <col collapsed="false" customWidth="true" hidden="false" outlineLevel="0" max="203" min="203" style="1" width="7.14"/>
    <col collapsed="false" customWidth="true" hidden="false" outlineLevel="0" max="210" min="204" style="1" width="6.14"/>
    <col collapsed="false" customWidth="true" hidden="false" outlineLevel="0" max="211" min="211" style="1" width="6.85"/>
    <col collapsed="false" customWidth="true" hidden="false" outlineLevel="0" max="213" min="212" style="1" width="6.14"/>
    <col collapsed="false" customWidth="true" hidden="false" outlineLevel="0" max="214" min="214" style="1" width="4"/>
    <col collapsed="false" customWidth="true" hidden="false" outlineLevel="0" max="215" min="215" style="1" width="7.14"/>
    <col collapsed="false" customWidth="true" hidden="false" outlineLevel="0" max="218" min="216" style="1" width="6.14"/>
    <col collapsed="false" customWidth="true" hidden="false" outlineLevel="0" max="219" min="219" style="1" width="4.57"/>
    <col collapsed="false" customWidth="true" hidden="false" outlineLevel="0" max="221" min="220" style="1" width="6.14"/>
    <col collapsed="false" customWidth="true" hidden="false" outlineLevel="0" max="222" min="222" style="1" width="4.28"/>
    <col collapsed="false" customWidth="true" hidden="false" outlineLevel="0" max="228" min="223" style="1" width="6.14"/>
    <col collapsed="false" customWidth="true" hidden="false" outlineLevel="0" max="229" min="229" style="1" width="3.86"/>
    <col collapsed="false" customWidth="true" hidden="false" outlineLevel="0" max="230" min="230" style="1" width="6.14"/>
    <col collapsed="false" customWidth="true" hidden="false" outlineLevel="0" max="231" min="231" style="1" width="7.57"/>
    <col collapsed="false" customWidth="true" hidden="false" outlineLevel="0" max="240" min="232" style="1" width="6.14"/>
    <col collapsed="false" customWidth="true" hidden="false" outlineLevel="0" max="241" min="241" style="1" width="4"/>
    <col collapsed="false" customWidth="true" hidden="false" outlineLevel="0" max="242" min="242" style="1" width="7.14"/>
    <col collapsed="false" customWidth="true" hidden="false" outlineLevel="0" max="245" min="243" style="1" width="6.14"/>
    <col collapsed="false" customWidth="true" hidden="false" outlineLevel="0" max="246" min="246" style="1" width="4.57"/>
    <col collapsed="false" customWidth="true" hidden="false" outlineLevel="0" max="248" min="247" style="1" width="6.14"/>
    <col collapsed="false" customWidth="true" hidden="false" outlineLevel="0" max="249" min="249" style="1" width="4.28"/>
    <col collapsed="false" customWidth="true" hidden="false" outlineLevel="0" max="250" min="250" style="1" width="6.85"/>
    <col collapsed="false" customWidth="true" hidden="false" outlineLevel="0" max="251" min="251" style="1" width="4.43"/>
    <col collapsed="false" customWidth="true" hidden="false" outlineLevel="0" max="255" min="252" style="1" width="7.57"/>
    <col collapsed="false" customWidth="true" hidden="false" outlineLevel="0" max="256" min="256" style="1" width="4.14"/>
    <col collapsed="false" customWidth="true" hidden="false" outlineLevel="0" max="260" min="257" style="1" width="7.57"/>
    <col collapsed="false" customWidth="true" hidden="false" outlineLevel="0" max="261" min="261" style="1" width="5"/>
    <col collapsed="false" customWidth="true" hidden="false" outlineLevel="0" max="263" min="262" style="1" width="7.57"/>
    <col collapsed="false" customWidth="true" hidden="false" outlineLevel="0" max="264" min="264" style="1" width="5.43"/>
    <col collapsed="false" customWidth="true" hidden="false" outlineLevel="0" max="267" min="265" style="1" width="7.57"/>
    <col collapsed="false" customWidth="true" hidden="false" outlineLevel="0" max="268" min="268" style="1" width="4.85"/>
    <col collapsed="false" customWidth="true" hidden="false" outlineLevel="0" max="272" min="269" style="1" width="7.57"/>
    <col collapsed="false" customWidth="true" hidden="false" outlineLevel="0" max="273" min="273" style="1" width="5.57"/>
    <col collapsed="false" customWidth="true" hidden="false" outlineLevel="0" max="275" min="274" style="1" width="7.57"/>
    <col collapsed="false" customWidth="true" hidden="false" outlineLevel="0" max="276" min="276" style="1" width="5.43"/>
    <col collapsed="false" customWidth="true" hidden="false" outlineLevel="0" max="277" min="277" style="1" width="8"/>
    <col collapsed="false" customWidth="true" hidden="false" outlineLevel="0" max="278" min="278" style="1" width="5.14"/>
    <col collapsed="false" customWidth="true" hidden="false" outlineLevel="0" max="282" min="279" style="1" width="8"/>
    <col collapsed="false" customWidth="true" hidden="false" outlineLevel="0" max="283" min="283" style="1" width="5.14"/>
    <col collapsed="false" customWidth="true" hidden="false" outlineLevel="0" max="287" min="284" style="1" width="8"/>
    <col collapsed="false" customWidth="true" hidden="false" outlineLevel="0" max="288" min="288" style="1" width="5.14"/>
    <col collapsed="false" customWidth="true" hidden="false" outlineLevel="0" max="290" min="289" style="1" width="8"/>
    <col collapsed="false" customWidth="true" hidden="false" outlineLevel="0" max="291" min="291" style="1" width="5.14"/>
    <col collapsed="false" customWidth="true" hidden="false" outlineLevel="0" max="294" min="292" style="1" width="8"/>
    <col collapsed="false" customWidth="true" hidden="false" outlineLevel="0" max="295" min="295" style="1" width="5.14"/>
    <col collapsed="false" customWidth="true" hidden="false" outlineLevel="0" max="299" min="296" style="1" width="8"/>
    <col collapsed="false" customWidth="true" hidden="false" outlineLevel="0" max="300" min="300" style="1" width="5.14"/>
    <col collapsed="false" customWidth="true" hidden="false" outlineLevel="0" max="302" min="301" style="1" width="8"/>
    <col collapsed="false" customWidth="true" hidden="false" outlineLevel="0" max="303" min="303" style="1" width="5.14"/>
    <col collapsed="false" customWidth="false" hidden="false" outlineLevel="0" max="1024" min="304" style="1" width="9.14"/>
  </cols>
  <sheetData>
    <row r="1" customFormat="false" ht="1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3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 t="s">
        <v>4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 t="s">
        <v>5</v>
      </c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8" t="s">
        <v>6</v>
      </c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9" t="s">
        <v>7</v>
      </c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10" t="s">
        <v>8</v>
      </c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1" t="s">
        <v>9</v>
      </c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2" t="s">
        <v>10</v>
      </c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3" t="s">
        <v>11</v>
      </c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4" t="s">
        <v>12</v>
      </c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</row>
    <row r="2" customFormat="false" ht="15.75" hidden="false" customHeight="false" outlineLevel="0" collapsed="false">
      <c r="E2" s="15" t="s">
        <v>13</v>
      </c>
      <c r="F2" s="15"/>
      <c r="G2" s="16" t="s">
        <v>13</v>
      </c>
      <c r="H2" s="16"/>
      <c r="I2" s="16"/>
      <c r="J2" s="17" t="s">
        <v>14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 t="s">
        <v>15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6" t="s">
        <v>13</v>
      </c>
      <c r="AI2" s="16"/>
      <c r="AJ2" s="16"/>
      <c r="AK2" s="17" t="s">
        <v>14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 t="s">
        <v>15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6" t="s">
        <v>13</v>
      </c>
      <c r="BJ2" s="16"/>
      <c r="BK2" s="16"/>
      <c r="BL2" s="17" t="s">
        <v>14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 t="s">
        <v>15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6" t="s">
        <v>13</v>
      </c>
      <c r="CK2" s="16"/>
      <c r="CL2" s="16"/>
      <c r="CM2" s="17" t="s">
        <v>14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 t="s">
        <v>15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6" t="s">
        <v>13</v>
      </c>
      <c r="DL2" s="16"/>
      <c r="DM2" s="16"/>
      <c r="DN2" s="17" t="s">
        <v>14</v>
      </c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8" t="s">
        <v>15</v>
      </c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6" t="s">
        <v>13</v>
      </c>
      <c r="EM2" s="16"/>
      <c r="EN2" s="16"/>
      <c r="EO2" s="17" t="s">
        <v>14</v>
      </c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8" t="s">
        <v>15</v>
      </c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6" t="s">
        <v>13</v>
      </c>
      <c r="FN2" s="16"/>
      <c r="FO2" s="16"/>
      <c r="FP2" s="17" t="s">
        <v>14</v>
      </c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8" t="s">
        <v>15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6" t="s">
        <v>13</v>
      </c>
      <c r="GO2" s="16"/>
      <c r="GP2" s="16"/>
      <c r="GQ2" s="17" t="s">
        <v>14</v>
      </c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8" t="s">
        <v>15</v>
      </c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6" t="s">
        <v>13</v>
      </c>
      <c r="HP2" s="16"/>
      <c r="HQ2" s="16"/>
      <c r="HR2" s="17" t="s">
        <v>14</v>
      </c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8" t="s">
        <v>15</v>
      </c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6" t="s">
        <v>13</v>
      </c>
      <c r="IQ2" s="16"/>
      <c r="IR2" s="16"/>
      <c r="IS2" s="17" t="s">
        <v>14</v>
      </c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8" t="s">
        <v>15</v>
      </c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6" t="s">
        <v>13</v>
      </c>
      <c r="JR2" s="16"/>
      <c r="JS2" s="16"/>
      <c r="JT2" s="17" t="s">
        <v>14</v>
      </c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8" t="s">
        <v>15</v>
      </c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</row>
    <row r="3" customFormat="false" ht="15.75" hidden="false" customHeight="false" outlineLevel="0" collapsed="false">
      <c r="B3" s="19" t="s">
        <v>16</v>
      </c>
      <c r="C3" s="20" t="s">
        <v>17</v>
      </c>
      <c r="D3" s="21" t="s">
        <v>18</v>
      </c>
      <c r="E3" s="22" t="s">
        <v>19</v>
      </c>
      <c r="F3" s="23" t="s">
        <v>20</v>
      </c>
      <c r="G3" s="24" t="s">
        <v>19</v>
      </c>
      <c r="H3" s="25" t="s">
        <v>21</v>
      </c>
      <c r="I3" s="25" t="s">
        <v>20</v>
      </c>
      <c r="J3" s="25" t="s">
        <v>22</v>
      </c>
      <c r="K3" s="25" t="s">
        <v>23</v>
      </c>
      <c r="L3" s="25" t="s">
        <v>24</v>
      </c>
      <c r="M3" s="25" t="s">
        <v>21</v>
      </c>
      <c r="N3" s="25" t="s">
        <v>25</v>
      </c>
      <c r="O3" s="25" t="s">
        <v>26</v>
      </c>
      <c r="P3" s="25" t="s">
        <v>27</v>
      </c>
      <c r="Q3" s="25" t="s">
        <v>28</v>
      </c>
      <c r="R3" s="25" t="s">
        <v>29</v>
      </c>
      <c r="S3" s="25" t="s">
        <v>30</v>
      </c>
      <c r="T3" s="25" t="s">
        <v>31</v>
      </c>
      <c r="U3" s="25" t="s">
        <v>32</v>
      </c>
      <c r="V3" s="25" t="s">
        <v>33</v>
      </c>
      <c r="W3" s="25" t="s">
        <v>23</v>
      </c>
      <c r="X3" s="25" t="s">
        <v>24</v>
      </c>
      <c r="Y3" s="25" t="s">
        <v>21</v>
      </c>
      <c r="Z3" s="25" t="s">
        <v>25</v>
      </c>
      <c r="AA3" s="25" t="s">
        <v>26</v>
      </c>
      <c r="AB3" s="25" t="s">
        <v>27</v>
      </c>
      <c r="AC3" s="25" t="s">
        <v>28</v>
      </c>
      <c r="AD3" s="25" t="s">
        <v>29</v>
      </c>
      <c r="AE3" s="25" t="s">
        <v>30</v>
      </c>
      <c r="AF3" s="25" t="s">
        <v>31</v>
      </c>
      <c r="AG3" s="26" t="s">
        <v>32</v>
      </c>
      <c r="AH3" s="24" t="s">
        <v>19</v>
      </c>
      <c r="AI3" s="25" t="s">
        <v>21</v>
      </c>
      <c r="AJ3" s="25" t="s">
        <v>20</v>
      </c>
      <c r="AK3" s="25" t="s">
        <v>22</v>
      </c>
      <c r="AL3" s="25" t="s">
        <v>23</v>
      </c>
      <c r="AM3" s="25" t="s">
        <v>24</v>
      </c>
      <c r="AN3" s="25" t="s">
        <v>21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5" t="s">
        <v>30</v>
      </c>
      <c r="AU3" s="25" t="s">
        <v>31</v>
      </c>
      <c r="AV3" s="25" t="s">
        <v>32</v>
      </c>
      <c r="AW3" s="25" t="s">
        <v>33</v>
      </c>
      <c r="AX3" s="25" t="s">
        <v>23</v>
      </c>
      <c r="AY3" s="25" t="s">
        <v>24</v>
      </c>
      <c r="AZ3" s="25" t="s">
        <v>21</v>
      </c>
      <c r="BA3" s="25" t="s">
        <v>25</v>
      </c>
      <c r="BB3" s="25" t="s">
        <v>26</v>
      </c>
      <c r="BC3" s="25" t="s">
        <v>27</v>
      </c>
      <c r="BD3" s="25" t="s">
        <v>28</v>
      </c>
      <c r="BE3" s="25" t="s">
        <v>29</v>
      </c>
      <c r="BF3" s="25" t="s">
        <v>30</v>
      </c>
      <c r="BG3" s="25" t="s">
        <v>31</v>
      </c>
      <c r="BH3" s="26" t="s">
        <v>32</v>
      </c>
      <c r="BI3" s="24" t="s">
        <v>19</v>
      </c>
      <c r="BJ3" s="25" t="s">
        <v>21</v>
      </c>
      <c r="BK3" s="25" t="s">
        <v>20</v>
      </c>
      <c r="BL3" s="25" t="s">
        <v>22</v>
      </c>
      <c r="BM3" s="25" t="s">
        <v>23</v>
      </c>
      <c r="BN3" s="25" t="s">
        <v>24</v>
      </c>
      <c r="BO3" s="25" t="s">
        <v>21</v>
      </c>
      <c r="BP3" s="25" t="s">
        <v>25</v>
      </c>
      <c r="BQ3" s="25" t="s">
        <v>26</v>
      </c>
      <c r="BR3" s="25" t="s">
        <v>27</v>
      </c>
      <c r="BS3" s="25" t="s">
        <v>28</v>
      </c>
      <c r="BT3" s="25" t="s">
        <v>29</v>
      </c>
      <c r="BU3" s="25" t="s">
        <v>30</v>
      </c>
      <c r="BV3" s="25" t="s">
        <v>31</v>
      </c>
      <c r="BW3" s="25" t="s">
        <v>32</v>
      </c>
      <c r="BX3" s="25" t="s">
        <v>33</v>
      </c>
      <c r="BY3" s="25" t="s">
        <v>23</v>
      </c>
      <c r="BZ3" s="25" t="s">
        <v>24</v>
      </c>
      <c r="CA3" s="25" t="s">
        <v>21</v>
      </c>
      <c r="CB3" s="25" t="s">
        <v>25</v>
      </c>
      <c r="CC3" s="25" t="s">
        <v>26</v>
      </c>
      <c r="CD3" s="25" t="s">
        <v>27</v>
      </c>
      <c r="CE3" s="25" t="s">
        <v>28</v>
      </c>
      <c r="CF3" s="25" t="s">
        <v>29</v>
      </c>
      <c r="CG3" s="25" t="s">
        <v>30</v>
      </c>
      <c r="CH3" s="25" t="s">
        <v>31</v>
      </c>
      <c r="CI3" s="26" t="s">
        <v>32</v>
      </c>
      <c r="CJ3" s="24" t="s">
        <v>19</v>
      </c>
      <c r="CK3" s="25" t="s">
        <v>21</v>
      </c>
      <c r="CL3" s="25" t="s">
        <v>20</v>
      </c>
      <c r="CM3" s="25" t="s">
        <v>22</v>
      </c>
      <c r="CN3" s="25" t="s">
        <v>23</v>
      </c>
      <c r="CO3" s="25" t="s">
        <v>24</v>
      </c>
      <c r="CP3" s="25" t="s">
        <v>21</v>
      </c>
      <c r="CQ3" s="25" t="s">
        <v>25</v>
      </c>
      <c r="CR3" s="25" t="s">
        <v>26</v>
      </c>
      <c r="CS3" s="25" t="s">
        <v>27</v>
      </c>
      <c r="CT3" s="25" t="s">
        <v>28</v>
      </c>
      <c r="CU3" s="25" t="s">
        <v>29</v>
      </c>
      <c r="CV3" s="25" t="s">
        <v>30</v>
      </c>
      <c r="CW3" s="25" t="s">
        <v>31</v>
      </c>
      <c r="CX3" s="25" t="s">
        <v>32</v>
      </c>
      <c r="CY3" s="25" t="s">
        <v>33</v>
      </c>
      <c r="CZ3" s="25" t="s">
        <v>23</v>
      </c>
      <c r="DA3" s="25" t="s">
        <v>24</v>
      </c>
      <c r="DB3" s="25" t="s">
        <v>21</v>
      </c>
      <c r="DC3" s="25" t="s">
        <v>25</v>
      </c>
      <c r="DD3" s="25" t="s">
        <v>26</v>
      </c>
      <c r="DE3" s="25" t="s">
        <v>27</v>
      </c>
      <c r="DF3" s="25" t="s">
        <v>28</v>
      </c>
      <c r="DG3" s="25" t="s">
        <v>29</v>
      </c>
      <c r="DH3" s="25" t="s">
        <v>30</v>
      </c>
      <c r="DI3" s="25" t="s">
        <v>31</v>
      </c>
      <c r="DJ3" s="26" t="s">
        <v>32</v>
      </c>
      <c r="DK3" s="24" t="s">
        <v>19</v>
      </c>
      <c r="DL3" s="25" t="s">
        <v>21</v>
      </c>
      <c r="DM3" s="25" t="s">
        <v>20</v>
      </c>
      <c r="DN3" s="25" t="s">
        <v>22</v>
      </c>
      <c r="DO3" s="25" t="s">
        <v>23</v>
      </c>
      <c r="DP3" s="25" t="s">
        <v>24</v>
      </c>
      <c r="DQ3" s="25" t="s">
        <v>21</v>
      </c>
      <c r="DR3" s="25" t="s">
        <v>25</v>
      </c>
      <c r="DS3" s="25" t="s">
        <v>26</v>
      </c>
      <c r="DT3" s="25" t="s">
        <v>27</v>
      </c>
      <c r="DU3" s="25" t="s">
        <v>28</v>
      </c>
      <c r="DV3" s="25" t="s">
        <v>29</v>
      </c>
      <c r="DW3" s="25" t="s">
        <v>30</v>
      </c>
      <c r="DX3" s="25" t="s">
        <v>31</v>
      </c>
      <c r="DY3" s="25" t="s">
        <v>32</v>
      </c>
      <c r="DZ3" s="25" t="s">
        <v>33</v>
      </c>
      <c r="EA3" s="25" t="s">
        <v>23</v>
      </c>
      <c r="EB3" s="25" t="s">
        <v>24</v>
      </c>
      <c r="EC3" s="25" t="s">
        <v>21</v>
      </c>
      <c r="ED3" s="25" t="s">
        <v>25</v>
      </c>
      <c r="EE3" s="25" t="s">
        <v>26</v>
      </c>
      <c r="EF3" s="25" t="s">
        <v>27</v>
      </c>
      <c r="EG3" s="25" t="s">
        <v>28</v>
      </c>
      <c r="EH3" s="25" t="s">
        <v>29</v>
      </c>
      <c r="EI3" s="25" t="s">
        <v>30</v>
      </c>
      <c r="EJ3" s="25" t="s">
        <v>31</v>
      </c>
      <c r="EK3" s="26" t="s">
        <v>32</v>
      </c>
      <c r="EL3" s="24" t="s">
        <v>19</v>
      </c>
      <c r="EM3" s="25" t="s">
        <v>21</v>
      </c>
      <c r="EN3" s="25" t="s">
        <v>20</v>
      </c>
      <c r="EO3" s="25" t="s">
        <v>22</v>
      </c>
      <c r="EP3" s="25" t="s">
        <v>23</v>
      </c>
      <c r="EQ3" s="25" t="s">
        <v>24</v>
      </c>
      <c r="ER3" s="25" t="s">
        <v>21</v>
      </c>
      <c r="ES3" s="25" t="s">
        <v>25</v>
      </c>
      <c r="ET3" s="25" t="s">
        <v>26</v>
      </c>
      <c r="EU3" s="25" t="s">
        <v>27</v>
      </c>
      <c r="EV3" s="25" t="s">
        <v>28</v>
      </c>
      <c r="EW3" s="25" t="s">
        <v>29</v>
      </c>
      <c r="EX3" s="25" t="s">
        <v>30</v>
      </c>
      <c r="EY3" s="25" t="s">
        <v>31</v>
      </c>
      <c r="EZ3" s="25" t="s">
        <v>32</v>
      </c>
      <c r="FA3" s="25" t="s">
        <v>33</v>
      </c>
      <c r="FB3" s="25" t="s">
        <v>23</v>
      </c>
      <c r="FC3" s="25" t="s">
        <v>24</v>
      </c>
      <c r="FD3" s="25" t="s">
        <v>21</v>
      </c>
      <c r="FE3" s="25" t="s">
        <v>25</v>
      </c>
      <c r="FF3" s="25" t="s">
        <v>26</v>
      </c>
      <c r="FG3" s="25" t="s">
        <v>27</v>
      </c>
      <c r="FH3" s="25" t="s">
        <v>28</v>
      </c>
      <c r="FI3" s="25" t="s">
        <v>29</v>
      </c>
      <c r="FJ3" s="25" t="s">
        <v>30</v>
      </c>
      <c r="FK3" s="25" t="s">
        <v>31</v>
      </c>
      <c r="FL3" s="26" t="s">
        <v>32</v>
      </c>
      <c r="FM3" s="24" t="s">
        <v>19</v>
      </c>
      <c r="FN3" s="25" t="s">
        <v>21</v>
      </c>
      <c r="FO3" s="25" t="s">
        <v>20</v>
      </c>
      <c r="FP3" s="25" t="s">
        <v>22</v>
      </c>
      <c r="FQ3" s="25" t="s">
        <v>23</v>
      </c>
      <c r="FR3" s="25" t="s">
        <v>24</v>
      </c>
      <c r="FS3" s="25" t="s">
        <v>21</v>
      </c>
      <c r="FT3" s="25" t="s">
        <v>25</v>
      </c>
      <c r="FU3" s="25" t="s">
        <v>26</v>
      </c>
      <c r="FV3" s="25" t="s">
        <v>27</v>
      </c>
      <c r="FW3" s="25" t="s">
        <v>28</v>
      </c>
      <c r="FX3" s="25" t="s">
        <v>29</v>
      </c>
      <c r="FY3" s="25" t="s">
        <v>30</v>
      </c>
      <c r="FZ3" s="25" t="s">
        <v>31</v>
      </c>
      <c r="GA3" s="25" t="s">
        <v>32</v>
      </c>
      <c r="GB3" s="25" t="s">
        <v>33</v>
      </c>
      <c r="GC3" s="25" t="s">
        <v>23</v>
      </c>
      <c r="GD3" s="25" t="s">
        <v>24</v>
      </c>
      <c r="GE3" s="25" t="s">
        <v>21</v>
      </c>
      <c r="GF3" s="25" t="s">
        <v>25</v>
      </c>
      <c r="GG3" s="25" t="s">
        <v>26</v>
      </c>
      <c r="GH3" s="25" t="s">
        <v>27</v>
      </c>
      <c r="GI3" s="25" t="s">
        <v>28</v>
      </c>
      <c r="GJ3" s="25" t="s">
        <v>29</v>
      </c>
      <c r="GK3" s="25" t="s">
        <v>30</v>
      </c>
      <c r="GL3" s="25" t="s">
        <v>31</v>
      </c>
      <c r="GM3" s="26" t="s">
        <v>32</v>
      </c>
      <c r="GN3" s="24" t="s">
        <v>19</v>
      </c>
      <c r="GO3" s="25" t="s">
        <v>21</v>
      </c>
      <c r="GP3" s="25" t="s">
        <v>20</v>
      </c>
      <c r="GQ3" s="25" t="s">
        <v>22</v>
      </c>
      <c r="GR3" s="25" t="s">
        <v>23</v>
      </c>
      <c r="GS3" s="25" t="s">
        <v>24</v>
      </c>
      <c r="GT3" s="25" t="s">
        <v>21</v>
      </c>
      <c r="GU3" s="25" t="s">
        <v>25</v>
      </c>
      <c r="GV3" s="25" t="s">
        <v>26</v>
      </c>
      <c r="GW3" s="25" t="s">
        <v>27</v>
      </c>
      <c r="GX3" s="25" t="s">
        <v>28</v>
      </c>
      <c r="GY3" s="25" t="s">
        <v>29</v>
      </c>
      <c r="GZ3" s="25" t="s">
        <v>30</v>
      </c>
      <c r="HA3" s="25" t="s">
        <v>31</v>
      </c>
      <c r="HB3" s="25" t="s">
        <v>32</v>
      </c>
      <c r="HC3" s="25" t="s">
        <v>33</v>
      </c>
      <c r="HD3" s="25" t="s">
        <v>23</v>
      </c>
      <c r="HE3" s="25" t="s">
        <v>24</v>
      </c>
      <c r="HF3" s="25" t="s">
        <v>21</v>
      </c>
      <c r="HG3" s="25" t="s">
        <v>25</v>
      </c>
      <c r="HH3" s="25" t="s">
        <v>26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6" t="s">
        <v>32</v>
      </c>
      <c r="HO3" s="24" t="s">
        <v>19</v>
      </c>
      <c r="HP3" s="25" t="s">
        <v>21</v>
      </c>
      <c r="HQ3" s="25" t="s">
        <v>20</v>
      </c>
      <c r="HR3" s="25" t="s">
        <v>22</v>
      </c>
      <c r="HS3" s="25" t="s">
        <v>23</v>
      </c>
      <c r="HT3" s="25" t="s">
        <v>24</v>
      </c>
      <c r="HU3" s="25" t="s">
        <v>21</v>
      </c>
      <c r="HV3" s="25" t="s">
        <v>25</v>
      </c>
      <c r="HW3" s="25" t="s">
        <v>26</v>
      </c>
      <c r="HX3" s="25" t="s">
        <v>27</v>
      </c>
      <c r="HY3" s="25" t="s">
        <v>28</v>
      </c>
      <c r="HZ3" s="25" t="s">
        <v>29</v>
      </c>
      <c r="IA3" s="25" t="s">
        <v>30</v>
      </c>
      <c r="IB3" s="25" t="s">
        <v>31</v>
      </c>
      <c r="IC3" s="25" t="s">
        <v>32</v>
      </c>
      <c r="ID3" s="25" t="s">
        <v>33</v>
      </c>
      <c r="IE3" s="25" t="s">
        <v>23</v>
      </c>
      <c r="IF3" s="25" t="s">
        <v>24</v>
      </c>
      <c r="IG3" s="25" t="s">
        <v>21</v>
      </c>
      <c r="IH3" s="25" t="s">
        <v>25</v>
      </c>
      <c r="II3" s="25" t="s">
        <v>26</v>
      </c>
      <c r="IJ3" s="25" t="s">
        <v>27</v>
      </c>
      <c r="IK3" s="25" t="s">
        <v>28</v>
      </c>
      <c r="IL3" s="25" t="s">
        <v>29</v>
      </c>
      <c r="IM3" s="25" t="s">
        <v>30</v>
      </c>
      <c r="IN3" s="25" t="s">
        <v>31</v>
      </c>
      <c r="IO3" s="26" t="s">
        <v>32</v>
      </c>
      <c r="IP3" s="24" t="s">
        <v>19</v>
      </c>
      <c r="IQ3" s="25" t="s">
        <v>21</v>
      </c>
      <c r="IR3" s="25" t="s">
        <v>20</v>
      </c>
      <c r="IS3" s="25" t="s">
        <v>22</v>
      </c>
      <c r="IT3" s="25" t="s">
        <v>23</v>
      </c>
      <c r="IU3" s="25" t="s">
        <v>24</v>
      </c>
      <c r="IV3" s="25" t="s">
        <v>21</v>
      </c>
      <c r="IW3" s="25" t="s">
        <v>25</v>
      </c>
      <c r="IX3" s="25" t="s">
        <v>26</v>
      </c>
      <c r="IY3" s="25" t="s">
        <v>27</v>
      </c>
      <c r="IZ3" s="25" t="s">
        <v>28</v>
      </c>
      <c r="JA3" s="25" t="s">
        <v>29</v>
      </c>
      <c r="JB3" s="25" t="s">
        <v>30</v>
      </c>
      <c r="JC3" s="25" t="s">
        <v>31</v>
      </c>
      <c r="JD3" s="25" t="s">
        <v>32</v>
      </c>
      <c r="JE3" s="25" t="s">
        <v>33</v>
      </c>
      <c r="JF3" s="25" t="s">
        <v>23</v>
      </c>
      <c r="JG3" s="25" t="s">
        <v>24</v>
      </c>
      <c r="JH3" s="25" t="s">
        <v>21</v>
      </c>
      <c r="JI3" s="25" t="s">
        <v>25</v>
      </c>
      <c r="JJ3" s="25" t="s">
        <v>26</v>
      </c>
      <c r="JK3" s="25" t="s">
        <v>27</v>
      </c>
      <c r="JL3" s="25" t="s">
        <v>28</v>
      </c>
      <c r="JM3" s="25" t="s">
        <v>29</v>
      </c>
      <c r="JN3" s="25" t="s">
        <v>30</v>
      </c>
      <c r="JO3" s="25" t="s">
        <v>31</v>
      </c>
      <c r="JP3" s="26" t="s">
        <v>32</v>
      </c>
      <c r="JQ3" s="24" t="s">
        <v>19</v>
      </c>
      <c r="JR3" s="25" t="s">
        <v>21</v>
      </c>
      <c r="JS3" s="25" t="s">
        <v>20</v>
      </c>
      <c r="JT3" s="25" t="s">
        <v>22</v>
      </c>
      <c r="JU3" s="25" t="s">
        <v>23</v>
      </c>
      <c r="JV3" s="25" t="s">
        <v>24</v>
      </c>
      <c r="JW3" s="25" t="s">
        <v>21</v>
      </c>
      <c r="JX3" s="25" t="s">
        <v>25</v>
      </c>
      <c r="JY3" s="25" t="s">
        <v>26</v>
      </c>
      <c r="JZ3" s="25" t="s">
        <v>27</v>
      </c>
      <c r="KA3" s="25" t="s">
        <v>28</v>
      </c>
      <c r="KB3" s="25" t="s">
        <v>29</v>
      </c>
      <c r="KC3" s="25" t="s">
        <v>30</v>
      </c>
      <c r="KD3" s="25" t="s">
        <v>31</v>
      </c>
      <c r="KE3" s="25" t="s">
        <v>32</v>
      </c>
      <c r="KF3" s="25" t="s">
        <v>33</v>
      </c>
      <c r="KG3" s="25" t="s">
        <v>23</v>
      </c>
      <c r="KH3" s="25" t="s">
        <v>24</v>
      </c>
      <c r="KI3" s="25" t="s">
        <v>21</v>
      </c>
      <c r="KJ3" s="25" t="s">
        <v>25</v>
      </c>
      <c r="KK3" s="25" t="s">
        <v>26</v>
      </c>
      <c r="KL3" s="25" t="s">
        <v>27</v>
      </c>
      <c r="KM3" s="25" t="s">
        <v>28</v>
      </c>
      <c r="KN3" s="25" t="s">
        <v>29</v>
      </c>
      <c r="KO3" s="25" t="s">
        <v>30</v>
      </c>
      <c r="KP3" s="25" t="s">
        <v>31</v>
      </c>
      <c r="KQ3" s="26" t="s">
        <v>32</v>
      </c>
    </row>
    <row r="4" customFormat="false" ht="15" hidden="false" customHeight="false" outlineLevel="0" collapsed="false">
      <c r="A4" s="27" t="str">
        <f aca="false">Neu!B4</f>
        <v>B4</v>
      </c>
      <c r="B4" s="28" t="s">
        <v>34</v>
      </c>
      <c r="C4" s="29"/>
      <c r="D4" s="30" t="n">
        <v>0.007</v>
      </c>
      <c r="E4" s="31" t="n">
        <v>0.14</v>
      </c>
      <c r="F4" s="32" t="n">
        <v>-56</v>
      </c>
      <c r="G4" s="33" t="n">
        <v>60</v>
      </c>
      <c r="H4" s="34" t="n">
        <v>3</v>
      </c>
      <c r="I4" s="34" t="n">
        <v>30</v>
      </c>
      <c r="J4" s="34" t="n">
        <v>0</v>
      </c>
      <c r="K4" s="34" t="n">
        <v>-28.5</v>
      </c>
      <c r="L4" s="34" t="n">
        <v>8.6</v>
      </c>
      <c r="M4" s="34" t="n">
        <v>1</v>
      </c>
      <c r="N4" s="34" t="n">
        <v>0.0006</v>
      </c>
      <c r="O4" s="34" t="n">
        <v>0.0001</v>
      </c>
      <c r="P4" s="34" t="n">
        <v>-40.5</v>
      </c>
      <c r="Q4" s="34" t="n">
        <v>6</v>
      </c>
      <c r="R4" s="34" t="n">
        <v>1</v>
      </c>
      <c r="S4" s="34"/>
      <c r="T4" s="34"/>
      <c r="U4" s="34"/>
      <c r="V4" s="34" t="n">
        <v>0</v>
      </c>
      <c r="W4" s="34" t="n">
        <v>-38</v>
      </c>
      <c r="X4" s="34" t="n">
        <v>5</v>
      </c>
      <c r="Y4" s="34" t="n">
        <v>1</v>
      </c>
      <c r="Z4" s="34" t="n">
        <v>0.005</v>
      </c>
      <c r="AA4" s="34" t="n">
        <v>0.0002</v>
      </c>
      <c r="AB4" s="34" t="n">
        <v>-37</v>
      </c>
      <c r="AC4" s="34" t="n">
        <v>11.6</v>
      </c>
      <c r="AD4" s="34" t="n">
        <v>1</v>
      </c>
      <c r="AE4" s="34"/>
      <c r="AF4" s="34"/>
      <c r="AG4" s="35"/>
      <c r="AH4" s="36" t="n">
        <v>100</v>
      </c>
      <c r="AI4" s="34" t="n">
        <v>4</v>
      </c>
      <c r="AJ4" s="34" t="n">
        <v>-80</v>
      </c>
      <c r="AK4" s="34" t="n">
        <v>0</v>
      </c>
      <c r="AL4" s="34" t="n">
        <v>-30</v>
      </c>
      <c r="AM4" s="34" t="n">
        <v>9.8</v>
      </c>
      <c r="AN4" s="34" t="n">
        <v>1</v>
      </c>
      <c r="AO4" s="34" t="n">
        <v>0.025</v>
      </c>
      <c r="AP4" s="34" t="n">
        <v>0.0002</v>
      </c>
      <c r="AQ4" s="34" t="n">
        <v>0</v>
      </c>
      <c r="AR4" s="34" t="n">
        <v>9</v>
      </c>
      <c r="AS4" s="34" t="n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5"/>
      <c r="BI4" s="33" t="n">
        <v>5</v>
      </c>
      <c r="BJ4" s="34" t="n">
        <v>3</v>
      </c>
      <c r="BK4" s="34" t="n">
        <v>-70</v>
      </c>
      <c r="BL4" s="34" t="n">
        <v>0</v>
      </c>
      <c r="BM4" s="34" t="n">
        <v>-55</v>
      </c>
      <c r="BN4" s="34" t="n">
        <v>15</v>
      </c>
      <c r="BO4" s="34" t="n">
        <v>1</v>
      </c>
      <c r="BP4" s="34" t="n">
        <v>0.017</v>
      </c>
      <c r="BQ4" s="34" t="n">
        <v>0.001</v>
      </c>
      <c r="BR4" s="34" t="n">
        <v>-30</v>
      </c>
      <c r="BS4" s="34" t="n">
        <v>20</v>
      </c>
      <c r="BT4" s="34" t="n">
        <v>1</v>
      </c>
      <c r="BU4" s="34" t="n">
        <v>-120</v>
      </c>
      <c r="BV4" s="34" t="n">
        <v>24</v>
      </c>
      <c r="BW4" s="34" t="n">
        <v>1</v>
      </c>
      <c r="BX4" s="34" t="n">
        <v>0</v>
      </c>
      <c r="BY4" s="34" t="n">
        <v>-65</v>
      </c>
      <c r="BZ4" s="34" t="n">
        <v>5</v>
      </c>
      <c r="CA4" s="34" t="n">
        <v>1</v>
      </c>
      <c r="CB4" s="34" t="n">
        <v>0.224</v>
      </c>
      <c r="CC4" s="34" t="n">
        <v>0.0001</v>
      </c>
      <c r="CD4" s="34" t="n">
        <v>-54.4</v>
      </c>
      <c r="CE4" s="34" t="n">
        <v>30.8</v>
      </c>
      <c r="CF4" s="34" t="n">
        <v>1</v>
      </c>
      <c r="CG4" s="34"/>
      <c r="CH4" s="34"/>
      <c r="CI4" s="35"/>
      <c r="CJ4" s="37" t="n">
        <v>0.23</v>
      </c>
      <c r="CK4" s="38" t="n">
        <v>1</v>
      </c>
      <c r="CL4" s="38" t="n">
        <v>60</v>
      </c>
      <c r="CM4" s="38" t="n">
        <v>0</v>
      </c>
      <c r="CN4" s="38" t="n">
        <v>-3</v>
      </c>
      <c r="CO4" s="38" t="n">
        <v>7.89</v>
      </c>
      <c r="CP4" s="38" t="n">
        <v>1</v>
      </c>
      <c r="CQ4" s="38" t="n">
        <v>0.06</v>
      </c>
      <c r="CR4" s="38" t="n">
        <v>0.002</v>
      </c>
      <c r="CS4" s="38" t="n">
        <v>-10</v>
      </c>
      <c r="CT4" s="38" t="n">
        <v>-13</v>
      </c>
      <c r="CU4" s="38" t="n">
        <v>1</v>
      </c>
      <c r="CV4" s="38" t="n">
        <v>10</v>
      </c>
      <c r="CW4" s="38" t="n">
        <v>13</v>
      </c>
      <c r="CX4" s="38" t="n">
        <v>1</v>
      </c>
      <c r="CY4" s="38" t="n">
        <v>0</v>
      </c>
      <c r="CZ4" s="38" t="n">
        <v>-17</v>
      </c>
      <c r="DA4" s="38" t="n">
        <v>0.95</v>
      </c>
      <c r="DB4" s="38" t="n">
        <v>1</v>
      </c>
      <c r="DC4" s="38" t="n">
        <v>0.12</v>
      </c>
      <c r="DD4" s="39"/>
      <c r="DE4" s="39"/>
      <c r="DF4" s="39"/>
      <c r="DG4" s="39"/>
      <c r="DH4" s="39"/>
      <c r="DI4" s="39"/>
      <c r="DJ4" s="40"/>
      <c r="DK4" s="37" t="n">
        <v>0.4</v>
      </c>
      <c r="DL4" s="38" t="n">
        <v>1</v>
      </c>
      <c r="DM4" s="38" t="n">
        <v>60</v>
      </c>
      <c r="DN4" s="38" t="n">
        <v>0</v>
      </c>
      <c r="DO4" s="38" t="n">
        <v>2</v>
      </c>
      <c r="DP4" s="38" t="n">
        <v>7.25</v>
      </c>
      <c r="DQ4" s="38" t="n">
        <v>1</v>
      </c>
      <c r="DR4" s="38" t="n">
        <v>0.03</v>
      </c>
      <c r="DS4" s="38" t="n">
        <v>0.001</v>
      </c>
      <c r="DT4" s="38" t="n">
        <v>-10</v>
      </c>
      <c r="DU4" s="38" t="n">
        <v>-5.3</v>
      </c>
      <c r="DV4" s="38" t="n">
        <v>1</v>
      </c>
      <c r="DW4" s="38" t="n">
        <v>14</v>
      </c>
      <c r="DX4" s="38" t="n">
        <v>5.6</v>
      </c>
      <c r="DY4" s="38" t="n">
        <v>1</v>
      </c>
      <c r="DZ4" s="38" t="n">
        <v>0</v>
      </c>
      <c r="EA4" s="38" t="n">
        <v>-18.2</v>
      </c>
      <c r="EB4" s="38" t="n">
        <v>1.5</v>
      </c>
      <c r="EC4" s="38" t="n">
        <v>1</v>
      </c>
      <c r="ED4" s="38" t="n">
        <v>0.08</v>
      </c>
      <c r="EE4" s="38" t="n">
        <v>0.038</v>
      </c>
      <c r="EF4" s="38" t="n">
        <v>0</v>
      </c>
      <c r="EG4" s="38" t="n">
        <v>5</v>
      </c>
      <c r="EH4" s="38" t="n">
        <v>1</v>
      </c>
      <c r="EI4" s="39"/>
      <c r="EJ4" s="39"/>
      <c r="EK4" s="40"/>
      <c r="EL4" s="33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5"/>
      <c r="FM4" s="37" t="n">
        <v>250</v>
      </c>
      <c r="FN4" s="38" t="n">
        <v>1</v>
      </c>
      <c r="FO4" s="38" t="n">
        <v>-70</v>
      </c>
      <c r="FP4" s="38" t="n">
        <v>0</v>
      </c>
      <c r="FQ4" s="38" t="n">
        <v>-11</v>
      </c>
      <c r="FR4" s="38" t="n">
        <v>8</v>
      </c>
      <c r="FS4" s="38" t="n">
        <v>1</v>
      </c>
      <c r="FT4" s="38" t="n">
        <v>0.03</v>
      </c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30"/>
      <c r="GN4" s="31" t="n">
        <v>0.15</v>
      </c>
      <c r="GO4" s="41" t="n">
        <v>1</v>
      </c>
      <c r="GP4" s="41" t="n">
        <v>-70</v>
      </c>
      <c r="GQ4" s="41" t="n">
        <v>0</v>
      </c>
      <c r="GR4" s="41" t="n">
        <v>12</v>
      </c>
      <c r="GS4" s="41" t="n">
        <v>0.24</v>
      </c>
      <c r="GT4" s="41" t="n">
        <v>1</v>
      </c>
      <c r="GU4" s="41" t="n">
        <v>0.01</v>
      </c>
      <c r="GV4" s="41"/>
      <c r="GW4" s="41"/>
      <c r="GX4" s="41"/>
      <c r="GY4" s="41"/>
      <c r="GZ4" s="41"/>
      <c r="HA4" s="41"/>
      <c r="HB4" s="41"/>
      <c r="HC4" s="41" t="n">
        <v>0.1</v>
      </c>
      <c r="HD4" s="41" t="n">
        <v>-35</v>
      </c>
      <c r="HE4" s="41" t="n">
        <v>5</v>
      </c>
      <c r="HF4" s="41" t="n">
        <v>1</v>
      </c>
      <c r="HG4" s="41" t="n">
        <v>0.8</v>
      </c>
      <c r="HH4" s="41" t="n">
        <v>0.08</v>
      </c>
      <c r="HI4" s="41" t="n">
        <v>18</v>
      </c>
      <c r="HJ4" s="41" t="n">
        <v>-2</v>
      </c>
      <c r="HK4" s="41" t="n">
        <v>1</v>
      </c>
      <c r="HL4" s="41" t="n">
        <v>20</v>
      </c>
      <c r="HM4" s="41" t="n">
        <v>2</v>
      </c>
      <c r="HN4" s="30" t="n">
        <v>1</v>
      </c>
      <c r="HO4" s="33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5"/>
      <c r="IP4" s="36"/>
      <c r="IQ4" s="34"/>
      <c r="IR4" s="34"/>
      <c r="IS4" s="34"/>
      <c r="IT4" s="34"/>
      <c r="IU4" s="34"/>
      <c r="IV4" s="34"/>
      <c r="IW4" s="34"/>
      <c r="IX4" s="34"/>
      <c r="IY4" s="34"/>
      <c r="IZ4" s="34"/>
      <c r="JA4" s="34"/>
      <c r="JB4" s="34"/>
      <c r="JC4" s="34"/>
      <c r="JD4" s="34"/>
      <c r="JE4" s="34"/>
      <c r="JF4" s="34"/>
      <c r="JG4" s="34"/>
      <c r="JH4" s="34"/>
      <c r="JI4" s="34"/>
      <c r="JJ4" s="34"/>
      <c r="JK4" s="34"/>
      <c r="JL4" s="34"/>
      <c r="JM4" s="34"/>
      <c r="JN4" s="34"/>
      <c r="JO4" s="34"/>
      <c r="JP4" s="35"/>
      <c r="JQ4" s="33"/>
      <c r="JR4" s="34"/>
      <c r="JS4" s="34"/>
      <c r="JT4" s="34"/>
      <c r="JU4" s="34"/>
      <c r="JV4" s="34"/>
      <c r="JW4" s="34"/>
      <c r="JX4" s="34"/>
      <c r="JY4" s="34"/>
      <c r="JZ4" s="34"/>
      <c r="KA4" s="34"/>
      <c r="KB4" s="34"/>
      <c r="KC4" s="34"/>
      <c r="KD4" s="34"/>
      <c r="KE4" s="34"/>
      <c r="KF4" s="34"/>
      <c r="KG4" s="34"/>
      <c r="KH4" s="34"/>
      <c r="KI4" s="34"/>
      <c r="KJ4" s="34"/>
      <c r="KK4" s="34"/>
      <c r="KL4" s="34"/>
      <c r="KM4" s="34"/>
      <c r="KN4" s="34"/>
      <c r="KO4" s="34"/>
      <c r="KP4" s="34"/>
      <c r="KQ4" s="35"/>
    </row>
    <row r="5" customFormat="false" ht="15" hidden="false" customHeight="false" outlineLevel="0" collapsed="false">
      <c r="A5" s="42" t="str">
        <f aca="false">Neu!B5</f>
        <v>B8</v>
      </c>
      <c r="B5" s="43" t="s">
        <v>35</v>
      </c>
      <c r="C5" s="29"/>
      <c r="D5" s="30" t="n">
        <v>0.01</v>
      </c>
      <c r="E5" s="31" t="n">
        <v>0.15</v>
      </c>
      <c r="F5" s="32" t="n">
        <v>-64</v>
      </c>
      <c r="G5" s="31" t="n">
        <v>50</v>
      </c>
      <c r="H5" s="41" t="n">
        <v>3</v>
      </c>
      <c r="I5" s="41" t="n">
        <v>60</v>
      </c>
      <c r="J5" s="41" t="n">
        <v>0</v>
      </c>
      <c r="K5" s="41" t="n">
        <v>-16.6</v>
      </c>
      <c r="L5" s="41" t="n">
        <v>6.66</v>
      </c>
      <c r="M5" s="41" t="n">
        <v>1</v>
      </c>
      <c r="N5" s="41" t="n">
        <v>0.035</v>
      </c>
      <c r="O5" s="41" t="n">
        <v>0.00024</v>
      </c>
      <c r="P5" s="41" t="n">
        <v>-30</v>
      </c>
      <c r="Q5" s="41" t="n">
        <v>5.382</v>
      </c>
      <c r="R5" s="41" t="n">
        <v>1</v>
      </c>
      <c r="S5" s="41" t="n">
        <v>-17</v>
      </c>
      <c r="T5" s="41" t="n">
        <v>-9.9</v>
      </c>
      <c r="U5" s="41" t="n">
        <v>1</v>
      </c>
      <c r="V5" s="41" t="n">
        <v>0</v>
      </c>
      <c r="W5" s="41" t="n">
        <v>-24</v>
      </c>
      <c r="X5" s="41" t="n">
        <v>3.807</v>
      </c>
      <c r="Y5" s="41" t="n">
        <v>1</v>
      </c>
      <c r="Z5" s="41" t="n">
        <v>0.042</v>
      </c>
      <c r="AA5" s="41" t="n">
        <v>0.001</v>
      </c>
      <c r="AB5" s="41" t="n">
        <v>-32</v>
      </c>
      <c r="AC5" s="41" t="n">
        <v>14.472</v>
      </c>
      <c r="AD5" s="41" t="n">
        <v>1</v>
      </c>
      <c r="AE5" s="41"/>
      <c r="AF5" s="41"/>
      <c r="AG5" s="32"/>
      <c r="AH5" s="44" t="n">
        <v>3.9</v>
      </c>
      <c r="AI5" s="41" t="n">
        <v>1</v>
      </c>
      <c r="AJ5" s="41" t="n">
        <v>-70</v>
      </c>
      <c r="AK5" s="41" t="n">
        <v>0</v>
      </c>
      <c r="AL5" s="41" t="n">
        <v>2</v>
      </c>
      <c r="AM5" s="41" t="n">
        <v>8</v>
      </c>
      <c r="AN5" s="41" t="n">
        <v>1</v>
      </c>
      <c r="AO5" s="41" t="n">
        <v>0.01</v>
      </c>
      <c r="AP5" s="41"/>
      <c r="AQ5" s="41"/>
      <c r="AR5" s="41"/>
      <c r="AS5" s="41"/>
      <c r="AT5" s="41"/>
      <c r="AU5" s="41"/>
      <c r="AV5" s="41"/>
      <c r="AW5" s="41" t="n">
        <v>0.274</v>
      </c>
      <c r="AX5" s="41" t="n">
        <v>-13</v>
      </c>
      <c r="AY5" s="41" t="n">
        <v>5.7</v>
      </c>
      <c r="AZ5" s="41" t="n">
        <v>1</v>
      </c>
      <c r="BA5" s="41" t="n">
        <v>2</v>
      </c>
      <c r="BB5" s="41" t="n">
        <v>0.15</v>
      </c>
      <c r="BC5" s="41" t="n">
        <v>-14</v>
      </c>
      <c r="BD5" s="41" t="n">
        <v>8</v>
      </c>
      <c r="BE5" s="41" t="n">
        <v>1</v>
      </c>
      <c r="BF5" s="41"/>
      <c r="BG5" s="41"/>
      <c r="BH5" s="41"/>
      <c r="BI5" s="41" t="n">
        <v>3.2</v>
      </c>
      <c r="BJ5" s="41" t="n">
        <v>1</v>
      </c>
      <c r="BK5" s="41" t="n">
        <v>-70</v>
      </c>
      <c r="BL5" s="41" t="n">
        <v>0</v>
      </c>
      <c r="BM5" s="41" t="n">
        <v>-6</v>
      </c>
      <c r="BN5" s="41" t="n">
        <v>10</v>
      </c>
      <c r="BO5" s="41" t="n">
        <v>1</v>
      </c>
      <c r="BP5" s="41" t="n">
        <v>0.025</v>
      </c>
      <c r="BQ5" s="41" t="n">
        <v>0.007</v>
      </c>
      <c r="BR5" s="41" t="n">
        <v>-20</v>
      </c>
      <c r="BS5" s="41" t="n">
        <v>6</v>
      </c>
      <c r="BT5" s="41" t="n">
        <v>1</v>
      </c>
      <c r="BU5" s="41"/>
      <c r="BV5" s="41"/>
      <c r="BW5" s="41"/>
      <c r="BX5" s="41" t="n">
        <v>0</v>
      </c>
      <c r="BY5" s="41" t="n">
        <v>-51</v>
      </c>
      <c r="BZ5" s="41" t="n">
        <v>9.4</v>
      </c>
      <c r="CA5" s="41" t="n">
        <v>1</v>
      </c>
      <c r="CB5" s="41" t="n">
        <v>0.14</v>
      </c>
      <c r="CC5" s="41"/>
      <c r="CD5" s="41"/>
      <c r="CE5" s="41"/>
      <c r="CF5" s="41"/>
      <c r="CG5" s="41"/>
      <c r="CH5" s="41"/>
      <c r="CI5" s="41"/>
      <c r="CJ5" s="41" t="n">
        <v>0.68</v>
      </c>
      <c r="CK5" s="41" t="n">
        <v>1</v>
      </c>
      <c r="CL5" s="41" t="n">
        <v>60</v>
      </c>
      <c r="CM5" s="41" t="n">
        <v>0</v>
      </c>
      <c r="CN5" s="41" t="n">
        <v>-14</v>
      </c>
      <c r="CO5" s="41" t="n">
        <v>6.5</v>
      </c>
      <c r="CP5" s="41" t="n">
        <v>1</v>
      </c>
      <c r="CQ5" s="41" t="n">
        <v>0.08</v>
      </c>
      <c r="CR5" s="41" t="n">
        <v>0.002</v>
      </c>
      <c r="CS5" s="41" t="n">
        <v>-20.5</v>
      </c>
      <c r="CT5" s="41" t="n">
        <v>-13</v>
      </c>
      <c r="CU5" s="41" t="n">
        <v>1</v>
      </c>
      <c r="CV5" s="41" t="n">
        <v>15</v>
      </c>
      <c r="CW5" s="41" t="n">
        <v>13</v>
      </c>
      <c r="CX5" s="41" t="n">
        <v>1</v>
      </c>
      <c r="CY5" s="41" t="n">
        <v>0</v>
      </c>
      <c r="CZ5" s="41" t="n">
        <v>-34.4</v>
      </c>
      <c r="DA5" s="41" t="n">
        <v>6.26</v>
      </c>
      <c r="DB5" s="41" t="n">
        <v>1</v>
      </c>
      <c r="DC5" s="41" t="n">
        <v>0.035</v>
      </c>
      <c r="DD5" s="41"/>
      <c r="DE5" s="41"/>
      <c r="DF5" s="41"/>
      <c r="DG5" s="41"/>
      <c r="DH5" s="41"/>
      <c r="DI5" s="41"/>
      <c r="DJ5" s="41"/>
      <c r="DK5" s="41" t="n">
        <v>2.4</v>
      </c>
      <c r="DL5" s="41" t="n">
        <v>1</v>
      </c>
      <c r="DM5" s="41" t="n">
        <v>60</v>
      </c>
      <c r="DN5" s="41" t="n">
        <v>0</v>
      </c>
      <c r="DO5" s="41" t="n">
        <v>2</v>
      </c>
      <c r="DP5" s="41" t="n">
        <v>5.7</v>
      </c>
      <c r="DQ5" s="41" t="n">
        <v>1</v>
      </c>
      <c r="DR5" s="41" t="n">
        <v>0.076</v>
      </c>
      <c r="DS5" s="41" t="n">
        <v>0.001</v>
      </c>
      <c r="DT5" s="41" t="n">
        <v>-1</v>
      </c>
      <c r="DU5" s="41" t="n">
        <v>-7.2</v>
      </c>
      <c r="DV5" s="41" t="n">
        <v>1</v>
      </c>
      <c r="DW5" s="41" t="n">
        <v>23</v>
      </c>
      <c r="DX5" s="41" t="n">
        <v>7.2</v>
      </c>
      <c r="DY5" s="41" t="n">
        <v>1</v>
      </c>
      <c r="DZ5" s="41" t="n">
        <v>0</v>
      </c>
      <c r="EA5" s="41" t="n">
        <v>-25</v>
      </c>
      <c r="EB5" s="41" t="n">
        <v>5.95</v>
      </c>
      <c r="EC5" s="41" t="n">
        <v>1</v>
      </c>
      <c r="ED5" s="41" t="n">
        <v>0.043</v>
      </c>
      <c r="EE5" s="41" t="n">
        <v>0.025</v>
      </c>
      <c r="EF5" s="41" t="n">
        <v>1</v>
      </c>
      <c r="EG5" s="41" t="n">
        <v>6</v>
      </c>
      <c r="EH5" s="41" t="n">
        <v>1</v>
      </c>
      <c r="EI5" s="41"/>
      <c r="EJ5" s="41"/>
      <c r="EK5" s="30"/>
      <c r="EL5" s="3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32"/>
      <c r="FM5" s="44" t="n">
        <v>1.1</v>
      </c>
      <c r="FN5" s="41" t="n">
        <v>1</v>
      </c>
      <c r="FO5" s="41" t="n">
        <v>-70</v>
      </c>
      <c r="FP5" s="41" t="n">
        <v>0</v>
      </c>
      <c r="FQ5" s="41" t="n">
        <v>5</v>
      </c>
      <c r="FR5" s="41" t="n">
        <v>9</v>
      </c>
      <c r="FS5" s="41" t="n">
        <v>1</v>
      </c>
      <c r="FT5" s="41" t="n">
        <v>0.009</v>
      </c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30"/>
      <c r="GN5" s="31" t="n">
        <v>0.85</v>
      </c>
      <c r="GO5" s="41" t="n">
        <v>1</v>
      </c>
      <c r="GP5" s="41" t="n">
        <v>-70</v>
      </c>
      <c r="GQ5" s="41" t="n">
        <v>0</v>
      </c>
      <c r="GR5" s="41" t="n">
        <v>7</v>
      </c>
      <c r="GS5" s="41" t="n">
        <v>6.1</v>
      </c>
      <c r="GT5" s="41" t="n">
        <v>1</v>
      </c>
      <c r="GU5" s="41" t="n">
        <v>0.01</v>
      </c>
      <c r="GV5" s="41"/>
      <c r="GW5" s="41"/>
      <c r="GX5" s="41"/>
      <c r="GY5" s="41"/>
      <c r="GZ5" s="41"/>
      <c r="HA5" s="41"/>
      <c r="HB5" s="41"/>
      <c r="HC5" s="41" t="n">
        <v>0.4</v>
      </c>
      <c r="HD5" s="41" t="n">
        <v>-5</v>
      </c>
      <c r="HE5" s="41" t="n">
        <v>5</v>
      </c>
      <c r="HF5" s="41" t="n">
        <v>1</v>
      </c>
      <c r="HG5" s="41" t="n">
        <v>1.4</v>
      </c>
      <c r="HH5" s="41" t="n">
        <v>0.2</v>
      </c>
      <c r="HI5" s="41" t="n">
        <v>-2</v>
      </c>
      <c r="HJ5" s="41" t="n">
        <v>-1.5</v>
      </c>
      <c r="HK5" s="41" t="n">
        <v>1</v>
      </c>
      <c r="HL5" s="41" t="n">
        <v>3.5</v>
      </c>
      <c r="HM5" s="41" t="n">
        <v>1.5</v>
      </c>
      <c r="HN5" s="30" t="n">
        <v>1</v>
      </c>
      <c r="HO5" s="31" t="n">
        <v>0.11</v>
      </c>
      <c r="HP5" s="41" t="n">
        <v>1</v>
      </c>
      <c r="HQ5" s="41" t="n">
        <v>60</v>
      </c>
      <c r="HR5" s="41" t="n">
        <v>0</v>
      </c>
      <c r="HS5" s="41" t="n">
        <v>-48</v>
      </c>
      <c r="HT5" s="41" t="n">
        <v>3</v>
      </c>
      <c r="HU5" s="41" t="n">
        <v>1</v>
      </c>
      <c r="HV5" s="41" t="n">
        <v>0.01</v>
      </c>
      <c r="HW5" s="41"/>
      <c r="HX5" s="41"/>
      <c r="HY5" s="41"/>
      <c r="HZ5" s="41"/>
      <c r="IA5" s="41"/>
      <c r="IB5" s="41"/>
      <c r="IC5" s="41"/>
      <c r="ID5" s="41" t="n">
        <v>0.6</v>
      </c>
      <c r="IE5" s="41" t="n">
        <v>-62</v>
      </c>
      <c r="IF5" s="41" t="n">
        <v>1</v>
      </c>
      <c r="IG5" s="41" t="n">
        <v>1</v>
      </c>
      <c r="IH5" s="41" t="n">
        <v>2.5</v>
      </c>
      <c r="II5" s="41" t="n">
        <v>0.25</v>
      </c>
      <c r="IJ5" s="41" t="n">
        <v>-55</v>
      </c>
      <c r="IK5" s="41" t="n">
        <v>-1.5</v>
      </c>
      <c r="IL5" s="41" t="n">
        <v>1</v>
      </c>
      <c r="IM5" s="41" t="n">
        <v>-42</v>
      </c>
      <c r="IN5" s="41" t="n">
        <v>1.5</v>
      </c>
      <c r="IO5" s="32" t="n">
        <v>1</v>
      </c>
      <c r="IP5" s="44" t="n">
        <v>0.085</v>
      </c>
      <c r="IQ5" s="41" t="n">
        <v>1</v>
      </c>
      <c r="IR5" s="41" t="n">
        <v>-40</v>
      </c>
      <c r="IS5" s="41" t="n">
        <v>0</v>
      </c>
      <c r="IT5" s="41" t="n">
        <v>-68</v>
      </c>
      <c r="IU5" s="41" t="n">
        <v>-4.8</v>
      </c>
      <c r="IV5" s="41" t="n">
        <v>1</v>
      </c>
      <c r="IW5" s="41" t="n">
        <v>14</v>
      </c>
      <c r="IX5" s="41" t="n">
        <v>0.9</v>
      </c>
      <c r="IY5" s="41" t="n">
        <v>-73</v>
      </c>
      <c r="IZ5" s="41" t="n">
        <v>-9</v>
      </c>
      <c r="JA5" s="41" t="n">
        <v>1</v>
      </c>
      <c r="JB5" s="41" t="n">
        <v>-75</v>
      </c>
      <c r="JC5" s="41" t="n">
        <v>9</v>
      </c>
      <c r="JD5" s="41" t="n">
        <v>1</v>
      </c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3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32"/>
    </row>
    <row r="6" customFormat="false" ht="15" hidden="false" customHeight="false" outlineLevel="0" collapsed="false">
      <c r="A6" s="42" t="str">
        <f aca="false">Neu!B6</f>
        <v>B20</v>
      </c>
      <c r="B6" s="43" t="s">
        <v>36</v>
      </c>
      <c r="C6" s="29"/>
      <c r="D6" s="30" t="n">
        <v>0.01</v>
      </c>
      <c r="E6" s="31" t="n">
        <v>0.04</v>
      </c>
      <c r="F6" s="32" t="n">
        <v>-60</v>
      </c>
      <c r="G6" s="31" t="n">
        <v>33</v>
      </c>
      <c r="H6" s="41" t="n">
        <v>3</v>
      </c>
      <c r="I6" s="41" t="n">
        <v>30</v>
      </c>
      <c r="J6" s="41" t="n">
        <v>0</v>
      </c>
      <c r="K6" s="41" t="n">
        <v>-43</v>
      </c>
      <c r="L6" s="41" t="n">
        <v>5</v>
      </c>
      <c r="M6" s="41" t="n">
        <v>1</v>
      </c>
      <c r="N6" s="41" t="n">
        <v>0.006</v>
      </c>
      <c r="O6" s="41" t="n">
        <v>0.001</v>
      </c>
      <c r="P6" s="41" t="n">
        <v>-48</v>
      </c>
      <c r="Q6" s="41" t="n">
        <v>4</v>
      </c>
      <c r="R6" s="41" t="n">
        <v>1</v>
      </c>
      <c r="S6" s="41"/>
      <c r="T6" s="41"/>
      <c r="U6" s="41"/>
      <c r="V6" s="41" t="n">
        <v>0</v>
      </c>
      <c r="W6" s="41" t="n">
        <v>-48</v>
      </c>
      <c r="X6" s="41" t="n">
        <v>5</v>
      </c>
      <c r="Y6" s="41" t="n">
        <v>1</v>
      </c>
      <c r="Z6" s="41" t="n">
        <v>0.02</v>
      </c>
      <c r="AA6" s="41" t="n">
        <v>0.005</v>
      </c>
      <c r="AB6" s="41" t="n">
        <v>-43</v>
      </c>
      <c r="AC6" s="41" t="n">
        <v>10</v>
      </c>
      <c r="AD6" s="41" t="n">
        <v>1</v>
      </c>
      <c r="AE6" s="41"/>
      <c r="AF6" s="41"/>
      <c r="AG6" s="30"/>
      <c r="AH6" s="31" t="n">
        <v>38</v>
      </c>
      <c r="AI6" s="41" t="n">
        <v>4</v>
      </c>
      <c r="AJ6" s="41" t="n">
        <v>-70</v>
      </c>
      <c r="AK6" s="41" t="n">
        <v>0</v>
      </c>
      <c r="AL6" s="41" t="n">
        <v>-28</v>
      </c>
      <c r="AM6" s="41" t="n">
        <v>9</v>
      </c>
      <c r="AN6" s="41" t="n">
        <v>1</v>
      </c>
      <c r="AO6" s="41" t="n">
        <v>0.03</v>
      </c>
      <c r="AP6" s="41" t="n">
        <v>0.003</v>
      </c>
      <c r="AQ6" s="41" t="n">
        <v>-10</v>
      </c>
      <c r="AR6" s="41" t="n">
        <v>10</v>
      </c>
      <c r="AS6" s="41" t="n">
        <v>1</v>
      </c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30"/>
      <c r="BI6" s="31" t="n">
        <v>1.25</v>
      </c>
      <c r="BJ6" s="41" t="n">
        <v>2</v>
      </c>
      <c r="BK6" s="41" t="n">
        <v>-60</v>
      </c>
      <c r="BL6" s="41" t="n">
        <v>0</v>
      </c>
      <c r="BM6" s="41" t="n">
        <v>-60</v>
      </c>
      <c r="BN6" s="41" t="n">
        <v>1</v>
      </c>
      <c r="BO6" s="41" t="n">
        <v>1</v>
      </c>
      <c r="BP6" s="41" t="n">
        <v>0.2</v>
      </c>
      <c r="BQ6" s="41" t="n">
        <v>0.02</v>
      </c>
      <c r="BR6" s="41" t="n">
        <v>-56</v>
      </c>
      <c r="BS6" s="41" t="n">
        <v>1</v>
      </c>
      <c r="BT6" s="41" t="n">
        <v>2</v>
      </c>
      <c r="BU6" s="41"/>
      <c r="BV6" s="41"/>
      <c r="BW6" s="41"/>
      <c r="BX6" s="41" t="n">
        <v>0</v>
      </c>
      <c r="BY6" s="41" t="n">
        <v>-55</v>
      </c>
      <c r="BZ6" s="41" t="n">
        <v>1</v>
      </c>
      <c r="CA6" s="41" t="n">
        <v>2</v>
      </c>
      <c r="CB6" s="41" t="n">
        <v>0.5</v>
      </c>
      <c r="CC6" s="41"/>
      <c r="CD6" s="41"/>
      <c r="CE6" s="41"/>
      <c r="CF6" s="41"/>
      <c r="CG6" s="41"/>
      <c r="CH6" s="41"/>
      <c r="CI6" s="30"/>
      <c r="CJ6" s="3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30"/>
      <c r="DK6" s="3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30"/>
      <c r="EL6" s="3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30"/>
      <c r="FM6" s="3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30"/>
      <c r="GN6" s="3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30"/>
      <c r="HO6" s="3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30"/>
      <c r="IP6" s="3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30"/>
      <c r="JQ6" s="3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32"/>
    </row>
    <row r="7" customFormat="false" ht="15" hidden="false" customHeight="false" outlineLevel="0" collapsed="false">
      <c r="A7" s="42" t="str">
        <f aca="false">Neu!B7</f>
        <v>B30</v>
      </c>
      <c r="B7" s="43" t="s">
        <v>37</v>
      </c>
      <c r="C7" s="29"/>
      <c r="D7" s="30" t="n">
        <v>0.01</v>
      </c>
      <c r="E7" s="45" t="n">
        <f aca="false">OC_effects!X5</f>
        <v>0.04</v>
      </c>
      <c r="F7" s="32" t="n">
        <v>-55</v>
      </c>
      <c r="G7" s="45" t="n">
        <v>25</v>
      </c>
      <c r="H7" s="41" t="n">
        <v>3</v>
      </c>
      <c r="I7" s="41" t="n">
        <v>30</v>
      </c>
      <c r="J7" s="41" t="n">
        <v>0</v>
      </c>
      <c r="K7" s="41" t="n">
        <v>-37</v>
      </c>
      <c r="L7" s="41" t="n">
        <v>5</v>
      </c>
      <c r="M7" s="41" t="n">
        <v>1</v>
      </c>
      <c r="N7" s="41" t="n">
        <v>0.006</v>
      </c>
      <c r="O7" s="41" t="n">
        <v>0.001</v>
      </c>
      <c r="P7" s="41" t="n">
        <v>-43</v>
      </c>
      <c r="Q7" s="41" t="n">
        <v>4</v>
      </c>
      <c r="R7" s="41" t="n">
        <v>1</v>
      </c>
      <c r="S7" s="41"/>
      <c r="T7" s="41"/>
      <c r="U7" s="41"/>
      <c r="V7" s="41" t="n">
        <v>0</v>
      </c>
      <c r="W7" s="41" t="n">
        <v>-43</v>
      </c>
      <c r="X7" s="41" t="n">
        <v>5</v>
      </c>
      <c r="Y7" s="41" t="n">
        <v>1</v>
      </c>
      <c r="Z7" s="41" t="n">
        <v>0.02</v>
      </c>
      <c r="AA7" s="41" t="n">
        <v>0.005</v>
      </c>
      <c r="AB7" s="41" t="n">
        <v>-38</v>
      </c>
      <c r="AC7" s="41" t="n">
        <v>10</v>
      </c>
      <c r="AD7" s="41" t="n">
        <v>1</v>
      </c>
      <c r="AE7" s="41"/>
      <c r="AF7" s="41"/>
      <c r="AG7" s="30"/>
      <c r="AH7" s="45" t="n">
        <v>16</v>
      </c>
      <c r="AI7" s="41" t="n">
        <v>4</v>
      </c>
      <c r="AJ7" s="41" t="n">
        <v>-70</v>
      </c>
      <c r="AK7" s="41" t="n">
        <v>0</v>
      </c>
      <c r="AL7" s="41" t="n">
        <v>-23</v>
      </c>
      <c r="AM7" s="41" t="n">
        <v>9</v>
      </c>
      <c r="AN7" s="41" t="n">
        <v>1</v>
      </c>
      <c r="AO7" s="41" t="n">
        <v>0.04</v>
      </c>
      <c r="AP7" s="41" t="n">
        <v>0.004</v>
      </c>
      <c r="AQ7" s="41" t="n">
        <v>-8</v>
      </c>
      <c r="AR7" s="41" t="n">
        <v>10</v>
      </c>
      <c r="AS7" s="41" t="n">
        <v>1</v>
      </c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30"/>
      <c r="BI7" s="3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30"/>
      <c r="CJ7" s="45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30"/>
      <c r="DK7" s="3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30"/>
      <c r="EL7" s="3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30"/>
      <c r="FM7" s="3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30"/>
      <c r="GN7" s="3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30"/>
      <c r="HO7" s="3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30"/>
      <c r="IP7" s="3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30"/>
      <c r="JQ7" s="3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32"/>
    </row>
    <row r="8" customFormat="false" ht="15" hidden="false" customHeight="false" outlineLevel="0" collapsed="false">
      <c r="A8" s="42" t="str">
        <f aca="false">Neu!B8</f>
        <v>B31s</v>
      </c>
      <c r="B8" s="43" t="s">
        <v>38</v>
      </c>
      <c r="C8" s="29"/>
      <c r="D8" s="30" t="n">
        <v>0.01</v>
      </c>
      <c r="E8" s="45" t="n">
        <v>0.05</v>
      </c>
      <c r="F8" s="32" t="n">
        <v>-60</v>
      </c>
      <c r="G8" s="45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30"/>
      <c r="AH8" s="45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30"/>
      <c r="BI8" s="3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30"/>
      <c r="CJ8" s="45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30"/>
      <c r="DK8" s="3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30"/>
      <c r="EL8" s="3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30"/>
      <c r="FM8" s="3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30"/>
      <c r="GN8" s="3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30"/>
      <c r="HO8" s="3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30"/>
      <c r="IP8" s="3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30"/>
      <c r="JQ8" s="3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32"/>
    </row>
    <row r="9" customFormat="false" ht="15" hidden="false" customHeight="false" outlineLevel="0" collapsed="false">
      <c r="A9" s="42" t="str">
        <f aca="false">Neu!B9</f>
        <v>B31a</v>
      </c>
      <c r="B9" s="43" t="s">
        <v>39</v>
      </c>
      <c r="C9" s="29"/>
      <c r="D9" s="30" t="n">
        <v>0.01</v>
      </c>
      <c r="E9" s="45" t="n">
        <v>0.04</v>
      </c>
      <c r="F9" s="32" t="n">
        <v>-57</v>
      </c>
      <c r="G9" s="45" t="n">
        <v>25</v>
      </c>
      <c r="H9" s="41" t="n">
        <v>3</v>
      </c>
      <c r="I9" s="41" t="n">
        <v>30</v>
      </c>
      <c r="J9" s="41" t="n">
        <v>0</v>
      </c>
      <c r="K9" s="41" t="n">
        <v>-37</v>
      </c>
      <c r="L9" s="41" t="n">
        <v>5</v>
      </c>
      <c r="M9" s="41" t="n">
        <v>1</v>
      </c>
      <c r="N9" s="41" t="n">
        <v>0.006</v>
      </c>
      <c r="O9" s="41" t="n">
        <v>0.001</v>
      </c>
      <c r="P9" s="41" t="n">
        <v>-43</v>
      </c>
      <c r="Q9" s="41" t="n">
        <v>4</v>
      </c>
      <c r="R9" s="41" t="n">
        <v>1</v>
      </c>
      <c r="S9" s="41"/>
      <c r="T9" s="41"/>
      <c r="U9" s="41"/>
      <c r="V9" s="41" t="n">
        <v>0</v>
      </c>
      <c r="W9" s="41" t="n">
        <v>-43</v>
      </c>
      <c r="X9" s="41" t="n">
        <v>5</v>
      </c>
      <c r="Y9" s="41" t="n">
        <v>1</v>
      </c>
      <c r="Z9" s="41" t="n">
        <v>0.02</v>
      </c>
      <c r="AA9" s="41" t="n">
        <v>0.005</v>
      </c>
      <c r="AB9" s="41" t="n">
        <v>-38</v>
      </c>
      <c r="AC9" s="41" t="n">
        <v>10</v>
      </c>
      <c r="AD9" s="41" t="n">
        <v>1</v>
      </c>
      <c r="AE9" s="41"/>
      <c r="AF9" s="41"/>
      <c r="AG9" s="30"/>
      <c r="AH9" s="45" t="n">
        <v>12</v>
      </c>
      <c r="AI9" s="41" t="n">
        <v>4</v>
      </c>
      <c r="AJ9" s="41" t="n">
        <v>-70</v>
      </c>
      <c r="AK9" s="41" t="n">
        <v>0</v>
      </c>
      <c r="AL9" s="41" t="n">
        <v>-23</v>
      </c>
      <c r="AM9" s="41" t="n">
        <v>9</v>
      </c>
      <c r="AN9" s="41" t="n">
        <v>1</v>
      </c>
      <c r="AO9" s="41" t="n">
        <v>0.04</v>
      </c>
      <c r="AP9" s="41" t="n">
        <v>0.004</v>
      </c>
      <c r="AQ9" s="41" t="n">
        <v>-8</v>
      </c>
      <c r="AR9" s="41" t="n">
        <v>10</v>
      </c>
      <c r="AS9" s="41" t="n">
        <v>1</v>
      </c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30"/>
      <c r="BI9" s="3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30"/>
      <c r="CJ9" s="45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30"/>
      <c r="DK9" s="45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30"/>
      <c r="EL9" s="3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30"/>
      <c r="FM9" s="3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30"/>
      <c r="GN9" s="3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30"/>
      <c r="HO9" s="3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30"/>
      <c r="IP9" s="3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30"/>
      <c r="JQ9" s="3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32"/>
    </row>
    <row r="10" customFormat="false" ht="15" hidden="false" customHeight="false" outlineLevel="0" collapsed="false">
      <c r="A10" s="42" t="str">
        <f aca="false">Neu!B10</f>
        <v>B34</v>
      </c>
      <c r="B10" s="43" t="s">
        <v>40</v>
      </c>
      <c r="C10" s="29"/>
      <c r="D10" s="30" t="n">
        <v>0.01</v>
      </c>
      <c r="E10" s="45" t="n">
        <v>0.09</v>
      </c>
      <c r="F10" s="32" t="n">
        <v>-59</v>
      </c>
      <c r="G10" s="45" t="n">
        <v>25</v>
      </c>
      <c r="H10" s="41" t="n">
        <v>3</v>
      </c>
      <c r="I10" s="41" t="n">
        <v>30</v>
      </c>
      <c r="J10" s="41" t="n">
        <v>0</v>
      </c>
      <c r="K10" s="41" t="n">
        <v>-39</v>
      </c>
      <c r="L10" s="41" t="n">
        <v>5</v>
      </c>
      <c r="M10" s="41" t="n">
        <v>1</v>
      </c>
      <c r="N10" s="41" t="n">
        <v>0.006</v>
      </c>
      <c r="O10" s="41" t="n">
        <v>0.001</v>
      </c>
      <c r="P10" s="41" t="n">
        <v>-45</v>
      </c>
      <c r="Q10" s="41" t="n">
        <v>4</v>
      </c>
      <c r="R10" s="41" t="n">
        <v>1</v>
      </c>
      <c r="S10" s="41"/>
      <c r="T10" s="41"/>
      <c r="U10" s="41"/>
      <c r="V10" s="41" t="n">
        <v>0</v>
      </c>
      <c r="W10" s="41" t="n">
        <v>-45</v>
      </c>
      <c r="X10" s="41" t="n">
        <v>5</v>
      </c>
      <c r="Y10" s="41" t="n">
        <v>1</v>
      </c>
      <c r="Z10" s="41" t="n">
        <v>0.02</v>
      </c>
      <c r="AA10" s="41" t="n">
        <v>0.005</v>
      </c>
      <c r="AB10" s="41" t="n">
        <v>-40</v>
      </c>
      <c r="AC10" s="41" t="n">
        <v>10</v>
      </c>
      <c r="AD10" s="41" t="n">
        <v>1</v>
      </c>
      <c r="AE10" s="41"/>
      <c r="AF10" s="41"/>
      <c r="AG10" s="30"/>
      <c r="AH10" s="45" t="n">
        <v>19</v>
      </c>
      <c r="AI10" s="41" t="n">
        <v>4</v>
      </c>
      <c r="AJ10" s="41" t="n">
        <v>-70</v>
      </c>
      <c r="AK10" s="41" t="n">
        <v>0</v>
      </c>
      <c r="AL10" s="41" t="n">
        <v>-25</v>
      </c>
      <c r="AM10" s="41" t="n">
        <v>9</v>
      </c>
      <c r="AN10" s="41" t="n">
        <v>1</v>
      </c>
      <c r="AO10" s="41" t="n">
        <v>0.04</v>
      </c>
      <c r="AP10" s="41" t="n">
        <v>0.004</v>
      </c>
      <c r="AQ10" s="41" t="n">
        <v>-10</v>
      </c>
      <c r="AR10" s="41" t="n">
        <v>10</v>
      </c>
      <c r="AS10" s="41" t="n">
        <v>1</v>
      </c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30"/>
      <c r="BI10" s="31" t="n">
        <v>1.25</v>
      </c>
      <c r="BJ10" s="41" t="n">
        <v>2</v>
      </c>
      <c r="BK10" s="41" t="n">
        <v>-60</v>
      </c>
      <c r="BL10" s="41" t="n">
        <v>0</v>
      </c>
      <c r="BM10" s="41" t="n">
        <v>-60</v>
      </c>
      <c r="BN10" s="41" t="n">
        <v>1</v>
      </c>
      <c r="BO10" s="41" t="n">
        <v>1</v>
      </c>
      <c r="BP10" s="41" t="n">
        <v>0.2</v>
      </c>
      <c r="BQ10" s="41" t="n">
        <v>0.02</v>
      </c>
      <c r="BR10" s="41" t="n">
        <v>-56</v>
      </c>
      <c r="BS10" s="41" t="n">
        <v>1</v>
      </c>
      <c r="BT10" s="41" t="n">
        <v>2</v>
      </c>
      <c r="BU10" s="41"/>
      <c r="BV10" s="41"/>
      <c r="BW10" s="41"/>
      <c r="BX10" s="41" t="n">
        <v>0</v>
      </c>
      <c r="BY10" s="41" t="n">
        <v>-55</v>
      </c>
      <c r="BZ10" s="41" t="n">
        <v>1</v>
      </c>
      <c r="CA10" s="41" t="n">
        <v>2</v>
      </c>
      <c r="CB10" s="41" t="n">
        <v>0.5</v>
      </c>
      <c r="CC10" s="41"/>
      <c r="CD10" s="41"/>
      <c r="CE10" s="41"/>
      <c r="CF10" s="41"/>
      <c r="CG10" s="41"/>
      <c r="CH10" s="41"/>
      <c r="CI10" s="30"/>
      <c r="CJ10" s="45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30"/>
      <c r="DK10" s="45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30"/>
      <c r="EL10" s="3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30"/>
      <c r="FM10" s="3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30"/>
      <c r="GN10" s="3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30"/>
      <c r="HO10" s="3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30"/>
      <c r="IP10" s="3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30"/>
      <c r="JQ10" s="3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32"/>
    </row>
    <row r="11" customFormat="false" ht="15" hidden="false" customHeight="false" outlineLevel="0" collapsed="false">
      <c r="A11" s="42" t="str">
        <f aca="false">Neu!B11</f>
        <v>B35</v>
      </c>
      <c r="B11" s="43" t="s">
        <v>41</v>
      </c>
      <c r="C11" s="29"/>
      <c r="D11" s="30" t="n">
        <v>0.0005</v>
      </c>
      <c r="E11" s="45" t="n">
        <v>0.1</v>
      </c>
      <c r="F11" s="32" t="n">
        <v>-60</v>
      </c>
      <c r="G11" s="45" t="n">
        <v>20</v>
      </c>
      <c r="H11" s="41" t="n">
        <v>3</v>
      </c>
      <c r="I11" s="41" t="n">
        <v>50</v>
      </c>
      <c r="J11" s="41" t="n">
        <v>0</v>
      </c>
      <c r="K11" s="41" t="n">
        <v>-39</v>
      </c>
      <c r="L11" s="41" t="n">
        <v>5</v>
      </c>
      <c r="M11" s="41" t="n">
        <v>1</v>
      </c>
      <c r="N11" s="41" t="n">
        <v>0.003</v>
      </c>
      <c r="O11" s="41" t="n">
        <v>0.0009</v>
      </c>
      <c r="P11" s="41" t="n">
        <v>-40</v>
      </c>
      <c r="Q11" s="41" t="n">
        <v>2</v>
      </c>
      <c r="R11" s="41" t="n">
        <v>1</v>
      </c>
      <c r="S11" s="41"/>
      <c r="T11" s="41"/>
      <c r="U11" s="41"/>
      <c r="V11" s="41" t="n">
        <v>0</v>
      </c>
      <c r="W11" s="41" t="n">
        <v>-49</v>
      </c>
      <c r="X11" s="41" t="n">
        <v>9</v>
      </c>
      <c r="Y11" s="41" t="n">
        <v>1</v>
      </c>
      <c r="Z11" s="41" t="n">
        <v>0.02</v>
      </c>
      <c r="AA11" s="41" t="n">
        <v>0.0048</v>
      </c>
      <c r="AB11" s="41" t="n">
        <v>-36</v>
      </c>
      <c r="AC11" s="41" t="n">
        <v>3.5</v>
      </c>
      <c r="AD11" s="41" t="n">
        <v>1</v>
      </c>
      <c r="AE11" s="41"/>
      <c r="AF11" s="41"/>
      <c r="AG11" s="30"/>
      <c r="AH11" s="45" t="n">
        <v>45</v>
      </c>
      <c r="AI11" s="41" t="n">
        <v>4</v>
      </c>
      <c r="AJ11" s="41" t="n">
        <v>-70</v>
      </c>
      <c r="AK11" s="41" t="n">
        <v>0</v>
      </c>
      <c r="AL11" s="41" t="n">
        <v>-23.5</v>
      </c>
      <c r="AM11" s="41" t="n">
        <v>9</v>
      </c>
      <c r="AN11" s="41" t="n">
        <v>1</v>
      </c>
      <c r="AO11" s="41" t="n">
        <v>0.034</v>
      </c>
      <c r="AP11" s="41" t="n">
        <v>0.003</v>
      </c>
      <c r="AQ11" s="41" t="n">
        <v>-10</v>
      </c>
      <c r="AR11" s="41" t="n">
        <v>10</v>
      </c>
      <c r="AS11" s="41" t="n">
        <v>1</v>
      </c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30"/>
      <c r="BI11" s="3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30"/>
      <c r="CJ11" s="45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30"/>
      <c r="DK11" s="45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30"/>
      <c r="EL11" s="3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30"/>
      <c r="FM11" s="3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30"/>
      <c r="GN11" s="3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30"/>
      <c r="HO11" s="31" t="n">
        <v>0.12</v>
      </c>
      <c r="HP11" s="41" t="n">
        <v>1</v>
      </c>
      <c r="HQ11" s="41" t="n">
        <v>-28</v>
      </c>
      <c r="HR11" s="41" t="n">
        <v>0</v>
      </c>
      <c r="HS11" s="41" t="n">
        <v>-48</v>
      </c>
      <c r="HT11" s="41" t="n">
        <v>2.5</v>
      </c>
      <c r="HU11" s="41" t="n">
        <v>1</v>
      </c>
      <c r="HV11" s="41" t="n">
        <v>0.2</v>
      </c>
      <c r="HW11" s="41"/>
      <c r="HX11" s="41"/>
      <c r="HY11" s="41"/>
      <c r="HZ11" s="41"/>
      <c r="IA11" s="41"/>
      <c r="IB11" s="41"/>
      <c r="IC11" s="41"/>
      <c r="ID11" s="41" t="n">
        <v>0</v>
      </c>
      <c r="IE11" s="41" t="n">
        <v>-48</v>
      </c>
      <c r="IF11" s="41" t="n">
        <v>0.5</v>
      </c>
      <c r="IG11" s="41" t="n">
        <v>1</v>
      </c>
      <c r="IH11" s="41" t="n">
        <v>9.5</v>
      </c>
      <c r="II11" s="41"/>
      <c r="IJ11" s="41"/>
      <c r="IK11" s="41"/>
      <c r="IL11" s="41"/>
      <c r="IM11" s="41"/>
      <c r="IN11" s="41"/>
      <c r="IO11" s="30"/>
      <c r="IP11" s="3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30"/>
      <c r="JQ11" s="3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32"/>
    </row>
    <row r="12" customFormat="false" ht="15" hidden="false" customHeight="false" outlineLevel="0" collapsed="false">
      <c r="A12" s="42" t="str">
        <f aca="false">Neu!B12</f>
        <v>B40</v>
      </c>
      <c r="B12" s="43" t="s">
        <v>42</v>
      </c>
      <c r="C12" s="29"/>
      <c r="D12" s="30" t="n">
        <v>0.01</v>
      </c>
      <c r="E12" s="45" t="n">
        <v>0.1</v>
      </c>
      <c r="F12" s="32" t="n">
        <v>-57</v>
      </c>
      <c r="G12" s="45" t="n">
        <v>25</v>
      </c>
      <c r="H12" s="41" t="n">
        <v>3</v>
      </c>
      <c r="I12" s="41" t="n">
        <v>30</v>
      </c>
      <c r="J12" s="41" t="n">
        <v>0</v>
      </c>
      <c r="K12" s="41" t="n">
        <v>-37</v>
      </c>
      <c r="L12" s="41" t="n">
        <v>5</v>
      </c>
      <c r="M12" s="41" t="n">
        <v>1</v>
      </c>
      <c r="N12" s="41" t="n">
        <v>0.006</v>
      </c>
      <c r="O12" s="41" t="n">
        <v>0.001</v>
      </c>
      <c r="P12" s="41" t="n">
        <v>-43</v>
      </c>
      <c r="Q12" s="41" t="n">
        <v>4</v>
      </c>
      <c r="R12" s="41" t="n">
        <v>1</v>
      </c>
      <c r="S12" s="41"/>
      <c r="T12" s="41"/>
      <c r="U12" s="41"/>
      <c r="V12" s="41" t="n">
        <v>0</v>
      </c>
      <c r="W12" s="41" t="n">
        <v>-43</v>
      </c>
      <c r="X12" s="41" t="n">
        <v>5</v>
      </c>
      <c r="Y12" s="41" t="n">
        <v>1</v>
      </c>
      <c r="Z12" s="41" t="n">
        <v>0.02</v>
      </c>
      <c r="AA12" s="41" t="n">
        <v>0.005</v>
      </c>
      <c r="AB12" s="41" t="n">
        <v>-38</v>
      </c>
      <c r="AC12" s="41" t="n">
        <v>10</v>
      </c>
      <c r="AD12" s="41" t="n">
        <v>1</v>
      </c>
      <c r="AE12" s="41"/>
      <c r="AF12" s="41"/>
      <c r="AG12" s="30"/>
      <c r="AH12" s="45" t="n">
        <v>16</v>
      </c>
      <c r="AI12" s="41" t="n">
        <v>4</v>
      </c>
      <c r="AJ12" s="41" t="n">
        <v>-70</v>
      </c>
      <c r="AK12" s="41" t="n">
        <v>0</v>
      </c>
      <c r="AL12" s="41" t="n">
        <v>-23</v>
      </c>
      <c r="AM12" s="41" t="n">
        <v>9</v>
      </c>
      <c r="AN12" s="41" t="n">
        <v>1</v>
      </c>
      <c r="AO12" s="41" t="n">
        <v>0.04</v>
      </c>
      <c r="AP12" s="41" t="n">
        <v>0.004</v>
      </c>
      <c r="AQ12" s="41" t="n">
        <v>-8</v>
      </c>
      <c r="AR12" s="41" t="n">
        <v>10</v>
      </c>
      <c r="AS12" s="41" t="n">
        <v>1</v>
      </c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30"/>
      <c r="BI12" s="3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30"/>
      <c r="CJ12" s="45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30"/>
      <c r="DK12" s="45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30"/>
      <c r="EL12" s="3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30"/>
      <c r="FM12" s="3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30"/>
      <c r="GN12" s="3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30"/>
      <c r="HO12" s="3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30"/>
      <c r="IP12" s="3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30"/>
      <c r="JQ12" s="3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32"/>
    </row>
    <row r="13" customFormat="false" ht="15" hidden="false" customHeight="false" outlineLevel="0" collapsed="false">
      <c r="A13" s="42" t="str">
        <f aca="false">Neu!B13</f>
        <v>B51s</v>
      </c>
      <c r="B13" s="43" t="s">
        <v>43</v>
      </c>
      <c r="C13" s="29"/>
      <c r="D13" s="30" t="n">
        <v>0.002</v>
      </c>
      <c r="E13" s="45" t="n">
        <v>0.155</v>
      </c>
      <c r="F13" s="32" t="n">
        <v>-72</v>
      </c>
      <c r="G13" s="45" t="n">
        <v>70</v>
      </c>
      <c r="H13" s="41" t="n">
        <v>3</v>
      </c>
      <c r="I13" s="41" t="n">
        <v>60</v>
      </c>
      <c r="J13" s="41" t="n">
        <v>0</v>
      </c>
      <c r="K13" s="41" t="n">
        <v>-16.6</v>
      </c>
      <c r="L13" s="41" t="n">
        <v>6.66</v>
      </c>
      <c r="M13" s="41" t="n">
        <v>1</v>
      </c>
      <c r="N13" s="41" t="n">
        <v>0.035</v>
      </c>
      <c r="O13" s="41" t="n">
        <v>0.00024</v>
      </c>
      <c r="P13" s="41" t="n">
        <v>-30</v>
      </c>
      <c r="Q13" s="41" t="n">
        <v>5.382</v>
      </c>
      <c r="R13" s="41" t="n">
        <v>1</v>
      </c>
      <c r="S13" s="41" t="n">
        <v>-17</v>
      </c>
      <c r="T13" s="41" t="n">
        <v>-9.9</v>
      </c>
      <c r="U13" s="41" t="n">
        <v>1</v>
      </c>
      <c r="V13" s="41" t="n">
        <v>0</v>
      </c>
      <c r="W13" s="41" t="n">
        <v>-24</v>
      </c>
      <c r="X13" s="41" t="n">
        <v>3.807</v>
      </c>
      <c r="Y13" s="41" t="n">
        <v>1</v>
      </c>
      <c r="Z13" s="41" t="n">
        <v>0.042</v>
      </c>
      <c r="AA13" s="41" t="n">
        <v>0.001</v>
      </c>
      <c r="AB13" s="41" t="n">
        <v>-32</v>
      </c>
      <c r="AC13" s="41" t="n">
        <v>14.472</v>
      </c>
      <c r="AD13" s="41" t="n">
        <v>1</v>
      </c>
      <c r="AE13" s="41"/>
      <c r="AF13" s="41"/>
      <c r="AG13" s="30"/>
      <c r="AH13" s="45" t="n">
        <v>1.9</v>
      </c>
      <c r="AI13" s="41" t="n">
        <v>1</v>
      </c>
      <c r="AJ13" s="41" t="n">
        <v>-70</v>
      </c>
      <c r="AK13" s="41" t="n">
        <v>0</v>
      </c>
      <c r="AL13" s="41" t="n">
        <v>2</v>
      </c>
      <c r="AM13" s="41" t="n">
        <v>8</v>
      </c>
      <c r="AN13" s="41" t="n">
        <v>1</v>
      </c>
      <c r="AO13" s="41" t="n">
        <v>0.01</v>
      </c>
      <c r="AP13" s="41"/>
      <c r="AQ13" s="41"/>
      <c r="AR13" s="41"/>
      <c r="AS13" s="41"/>
      <c r="AT13" s="41"/>
      <c r="AU13" s="41"/>
      <c r="AV13" s="41"/>
      <c r="AW13" s="41" t="n">
        <v>0.364</v>
      </c>
      <c r="AX13" s="41" t="n">
        <v>-10.5</v>
      </c>
      <c r="AY13" s="41" t="n">
        <v>4.6</v>
      </c>
      <c r="AZ13" s="41" t="n">
        <v>1</v>
      </c>
      <c r="BA13" s="41" t="n">
        <v>3</v>
      </c>
      <c r="BB13" s="41" t="n">
        <v>0.26</v>
      </c>
      <c r="BC13" s="41" t="n">
        <v>-14</v>
      </c>
      <c r="BD13" s="41" t="n">
        <v>7</v>
      </c>
      <c r="BE13" s="41" t="n">
        <v>1</v>
      </c>
      <c r="BF13" s="41"/>
      <c r="BG13" s="41"/>
      <c r="BH13" s="30"/>
      <c r="BI13" s="31" t="n">
        <v>1.4</v>
      </c>
      <c r="BJ13" s="41" t="n">
        <v>1</v>
      </c>
      <c r="BK13" s="41" t="n">
        <v>-70</v>
      </c>
      <c r="BL13" s="41" t="n">
        <v>0</v>
      </c>
      <c r="BM13" s="41" t="n">
        <v>-29</v>
      </c>
      <c r="BN13" s="41" t="n">
        <v>5.6</v>
      </c>
      <c r="BO13" s="41" t="n">
        <v>1</v>
      </c>
      <c r="BP13" s="41" t="n">
        <v>0.03</v>
      </c>
      <c r="BQ13" s="41" t="n">
        <v>0.001</v>
      </c>
      <c r="BR13" s="41" t="n">
        <v>-30</v>
      </c>
      <c r="BS13" s="41" t="n">
        <v>5.7</v>
      </c>
      <c r="BT13" s="41" t="n">
        <v>1</v>
      </c>
      <c r="BU13" s="41"/>
      <c r="BV13" s="41"/>
      <c r="BW13" s="41"/>
      <c r="BX13" s="41" t="n">
        <v>0</v>
      </c>
      <c r="BY13" s="41" t="n">
        <v>-56</v>
      </c>
      <c r="BZ13" s="41" t="n">
        <v>4.3</v>
      </c>
      <c r="CA13" s="41" t="n">
        <v>1</v>
      </c>
      <c r="CB13" s="41" t="n">
        <v>0.06</v>
      </c>
      <c r="CC13" s="41"/>
      <c r="CD13" s="41"/>
      <c r="CE13" s="41"/>
      <c r="CF13" s="41"/>
      <c r="CG13" s="41"/>
      <c r="CH13" s="41"/>
      <c r="CI13" s="30"/>
      <c r="CJ13" s="45" t="n">
        <v>0.23</v>
      </c>
      <c r="CK13" s="41" t="n">
        <v>1</v>
      </c>
      <c r="CL13" s="41" t="n">
        <v>60</v>
      </c>
      <c r="CM13" s="41" t="n">
        <v>0</v>
      </c>
      <c r="CN13" s="41" t="n">
        <v>-8</v>
      </c>
      <c r="CO13" s="41" t="n">
        <v>7.89</v>
      </c>
      <c r="CP13" s="41" t="n">
        <v>1</v>
      </c>
      <c r="CQ13" s="41" t="n">
        <v>0.06</v>
      </c>
      <c r="CR13" s="41" t="n">
        <v>0.002</v>
      </c>
      <c r="CS13" s="41" t="n">
        <v>-15</v>
      </c>
      <c r="CT13" s="41" t="n">
        <v>-13</v>
      </c>
      <c r="CU13" s="41" t="n">
        <v>1</v>
      </c>
      <c r="CV13" s="41" t="n">
        <v>5</v>
      </c>
      <c r="CW13" s="41" t="n">
        <v>13</v>
      </c>
      <c r="CX13" s="41" t="n">
        <v>1</v>
      </c>
      <c r="CY13" s="41" t="n">
        <v>0</v>
      </c>
      <c r="CZ13" s="41" t="n">
        <v>-22</v>
      </c>
      <c r="DA13" s="41" t="n">
        <v>0.95</v>
      </c>
      <c r="DB13" s="41" t="n">
        <v>1</v>
      </c>
      <c r="DC13" s="41" t="n">
        <v>0.12</v>
      </c>
      <c r="DD13" s="41"/>
      <c r="DE13" s="41"/>
      <c r="DF13" s="41"/>
      <c r="DG13" s="41"/>
      <c r="DH13" s="41"/>
      <c r="DI13" s="41"/>
      <c r="DJ13" s="30"/>
      <c r="DK13" s="45" t="n">
        <v>0.4</v>
      </c>
      <c r="DL13" s="41" t="n">
        <v>1</v>
      </c>
      <c r="DM13" s="41" t="n">
        <v>60</v>
      </c>
      <c r="DN13" s="41" t="n">
        <v>0</v>
      </c>
      <c r="DO13" s="41" t="n">
        <v>2</v>
      </c>
      <c r="DP13" s="41" t="n">
        <v>7.25</v>
      </c>
      <c r="DQ13" s="41" t="n">
        <v>1</v>
      </c>
      <c r="DR13" s="41" t="n">
        <v>0.03</v>
      </c>
      <c r="DS13" s="41" t="n">
        <v>0.001</v>
      </c>
      <c r="DT13" s="41" t="n">
        <v>-10</v>
      </c>
      <c r="DU13" s="41" t="n">
        <v>-5.3</v>
      </c>
      <c r="DV13" s="41" t="n">
        <v>1</v>
      </c>
      <c r="DW13" s="41" t="n">
        <v>14</v>
      </c>
      <c r="DX13" s="41" t="n">
        <v>5.6</v>
      </c>
      <c r="DY13" s="41" t="n">
        <v>1</v>
      </c>
      <c r="DZ13" s="41" t="n">
        <v>0</v>
      </c>
      <c r="EA13" s="41" t="n">
        <v>-18.2</v>
      </c>
      <c r="EB13" s="41" t="n">
        <v>1.5</v>
      </c>
      <c r="EC13" s="41" t="n">
        <v>1</v>
      </c>
      <c r="ED13" s="41" t="n">
        <v>0.08</v>
      </c>
      <c r="EE13" s="41" t="n">
        <v>0.038</v>
      </c>
      <c r="EF13" s="41" t="n">
        <v>0</v>
      </c>
      <c r="EG13" s="41" t="n">
        <v>5</v>
      </c>
      <c r="EH13" s="41" t="n">
        <v>1</v>
      </c>
      <c r="EI13" s="41"/>
      <c r="EJ13" s="41"/>
      <c r="EK13" s="30"/>
      <c r="EL13" s="3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30"/>
      <c r="FM13" s="31" t="n">
        <v>0.8</v>
      </c>
      <c r="FN13" s="41" t="n">
        <v>1</v>
      </c>
      <c r="FO13" s="41" t="n">
        <v>-70</v>
      </c>
      <c r="FP13" s="41" t="n">
        <v>0</v>
      </c>
      <c r="FQ13" s="41" t="n">
        <v>-8</v>
      </c>
      <c r="FR13" s="41" t="n">
        <v>8</v>
      </c>
      <c r="FS13" s="41" t="n">
        <v>1</v>
      </c>
      <c r="FT13" s="41" t="n">
        <v>0.009</v>
      </c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30"/>
      <c r="GN13" s="31" t="n">
        <v>0.15</v>
      </c>
      <c r="GO13" s="41" t="n">
        <v>1</v>
      </c>
      <c r="GP13" s="41" t="n">
        <v>-70</v>
      </c>
      <c r="GQ13" s="41" t="n">
        <v>0</v>
      </c>
      <c r="GR13" s="41" t="n">
        <v>12</v>
      </c>
      <c r="GS13" s="41" t="n">
        <v>0.24</v>
      </c>
      <c r="GT13" s="41" t="n">
        <v>1</v>
      </c>
      <c r="GU13" s="41" t="n">
        <v>0.01</v>
      </c>
      <c r="GV13" s="41"/>
      <c r="GW13" s="41"/>
      <c r="GX13" s="41"/>
      <c r="GY13" s="41"/>
      <c r="GZ13" s="41"/>
      <c r="HA13" s="41"/>
      <c r="HB13" s="41"/>
      <c r="HC13" s="41" t="n">
        <v>0.1</v>
      </c>
      <c r="HD13" s="41" t="n">
        <v>-35</v>
      </c>
      <c r="HE13" s="41" t="n">
        <v>5</v>
      </c>
      <c r="HF13" s="41" t="n">
        <v>1</v>
      </c>
      <c r="HG13" s="41" t="n">
        <v>0.8</v>
      </c>
      <c r="HH13" s="41" t="n">
        <v>0.08</v>
      </c>
      <c r="HI13" s="41" t="n">
        <v>18</v>
      </c>
      <c r="HJ13" s="41" t="n">
        <v>-2</v>
      </c>
      <c r="HK13" s="41" t="n">
        <v>1</v>
      </c>
      <c r="HL13" s="41" t="n">
        <v>20</v>
      </c>
      <c r="HM13" s="41" t="n">
        <v>2</v>
      </c>
      <c r="HN13" s="30" t="n">
        <v>1</v>
      </c>
      <c r="HO13" s="31" t="n">
        <v>0.1</v>
      </c>
      <c r="HP13" s="41" t="n">
        <v>1</v>
      </c>
      <c r="HQ13" s="41" t="n">
        <v>60</v>
      </c>
      <c r="HR13" s="41" t="n">
        <v>0</v>
      </c>
      <c r="HS13" s="41" t="n">
        <v>-48</v>
      </c>
      <c r="HT13" s="41" t="n">
        <v>3</v>
      </c>
      <c r="HU13" s="41" t="n">
        <v>1</v>
      </c>
      <c r="HV13" s="41" t="n">
        <v>0.01</v>
      </c>
      <c r="HW13" s="41"/>
      <c r="HX13" s="41"/>
      <c r="HY13" s="41"/>
      <c r="HZ13" s="41"/>
      <c r="IA13" s="41"/>
      <c r="IB13" s="41"/>
      <c r="IC13" s="41"/>
      <c r="ID13" s="41" t="n">
        <v>0.6</v>
      </c>
      <c r="IE13" s="41" t="n">
        <v>-62</v>
      </c>
      <c r="IF13" s="41" t="n">
        <v>1</v>
      </c>
      <c r="IG13" s="41" t="n">
        <v>1</v>
      </c>
      <c r="IH13" s="41" t="n">
        <v>2.5</v>
      </c>
      <c r="II13" s="41" t="n">
        <v>0.25</v>
      </c>
      <c r="IJ13" s="41" t="n">
        <v>-55</v>
      </c>
      <c r="IK13" s="41" t="n">
        <v>-1.5</v>
      </c>
      <c r="IL13" s="41" t="n">
        <v>1</v>
      </c>
      <c r="IM13" s="41" t="n">
        <v>-42</v>
      </c>
      <c r="IN13" s="41" t="n">
        <v>1.5</v>
      </c>
      <c r="IO13" s="30" t="n">
        <v>1</v>
      </c>
      <c r="IP13" s="3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30"/>
      <c r="JQ13" s="3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32"/>
    </row>
    <row r="14" customFormat="false" ht="15" hidden="false" customHeight="false" outlineLevel="0" collapsed="false">
      <c r="A14" s="42" t="str">
        <f aca="false">Neu!B14</f>
        <v>B71</v>
      </c>
      <c r="B14" s="43" t="s">
        <v>44</v>
      </c>
      <c r="C14" s="29"/>
      <c r="D14" s="30" t="n">
        <v>0.002</v>
      </c>
      <c r="E14" s="31"/>
      <c r="F14" s="32"/>
      <c r="G14" s="31" t="n">
        <v>20</v>
      </c>
      <c r="H14" s="41" t="n">
        <v>3</v>
      </c>
      <c r="I14" s="41" t="n">
        <v>30</v>
      </c>
      <c r="J14" s="41" t="n">
        <v>0</v>
      </c>
      <c r="K14" s="41" t="n">
        <v>-20</v>
      </c>
      <c r="L14" s="41" t="n">
        <v>5</v>
      </c>
      <c r="M14" s="41" t="n">
        <v>1</v>
      </c>
      <c r="N14" s="41" t="n">
        <v>0.006</v>
      </c>
      <c r="O14" s="41" t="n">
        <v>0.001</v>
      </c>
      <c r="P14" s="41" t="n">
        <v>-26</v>
      </c>
      <c r="Q14" s="41" t="n">
        <v>4</v>
      </c>
      <c r="R14" s="41" t="n">
        <v>1</v>
      </c>
      <c r="S14" s="41"/>
      <c r="T14" s="41"/>
      <c r="U14" s="41"/>
      <c r="V14" s="41" t="n">
        <v>0</v>
      </c>
      <c r="W14" s="41" t="n">
        <v>-26</v>
      </c>
      <c r="X14" s="41" t="n">
        <v>5</v>
      </c>
      <c r="Y14" s="41" t="n">
        <v>1</v>
      </c>
      <c r="Z14" s="41" t="n">
        <v>0.02</v>
      </c>
      <c r="AA14" s="41" t="n">
        <v>0.005</v>
      </c>
      <c r="AB14" s="41" t="n">
        <v>-21</v>
      </c>
      <c r="AC14" s="41" t="n">
        <v>10</v>
      </c>
      <c r="AD14" s="41" t="n">
        <v>1</v>
      </c>
      <c r="AE14" s="41"/>
      <c r="AF14" s="41"/>
      <c r="AG14" s="30"/>
      <c r="AH14" s="31" t="n">
        <v>10</v>
      </c>
      <c r="AI14" s="41" t="n">
        <v>4</v>
      </c>
      <c r="AJ14" s="41" t="n">
        <v>-70</v>
      </c>
      <c r="AK14" s="41" t="n">
        <v>0</v>
      </c>
      <c r="AL14" s="41" t="n">
        <v>-23</v>
      </c>
      <c r="AM14" s="41" t="n">
        <v>9</v>
      </c>
      <c r="AN14" s="41" t="n">
        <v>1</v>
      </c>
      <c r="AO14" s="41" t="n">
        <v>0.04</v>
      </c>
      <c r="AP14" s="41" t="n">
        <v>0.004</v>
      </c>
      <c r="AQ14" s="41" t="n">
        <v>-8</v>
      </c>
      <c r="AR14" s="41" t="n">
        <v>10</v>
      </c>
      <c r="AS14" s="41" t="n">
        <v>1</v>
      </c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30"/>
      <c r="BI14" s="46" t="n">
        <v>5</v>
      </c>
      <c r="BJ14" s="47" t="n">
        <v>1</v>
      </c>
      <c r="BK14" s="47" t="n">
        <v>-70</v>
      </c>
      <c r="BL14" s="47" t="n">
        <v>0</v>
      </c>
      <c r="BM14" s="47" t="n">
        <v>-45</v>
      </c>
      <c r="BN14" s="47" t="n">
        <v>5.6</v>
      </c>
      <c r="BO14" s="47" t="n">
        <v>1</v>
      </c>
      <c r="BP14" s="47" t="n">
        <v>0.03</v>
      </c>
      <c r="BQ14" s="47" t="n">
        <v>0.001</v>
      </c>
      <c r="BR14" s="47" t="n">
        <v>-35</v>
      </c>
      <c r="BS14" s="47" t="n">
        <v>5.7</v>
      </c>
      <c r="BT14" s="47" t="n">
        <v>1</v>
      </c>
      <c r="BU14" s="48"/>
      <c r="BV14" s="48"/>
      <c r="BW14" s="48"/>
      <c r="BX14" s="47" t="n">
        <v>0</v>
      </c>
      <c r="BY14" s="47" t="n">
        <v>-68</v>
      </c>
      <c r="BZ14" s="47" t="n">
        <v>4.3</v>
      </c>
      <c r="CA14" s="47" t="n">
        <v>1</v>
      </c>
      <c r="CB14" s="47" t="n">
        <v>0.2</v>
      </c>
      <c r="CC14" s="41"/>
      <c r="CD14" s="41"/>
      <c r="CE14" s="41"/>
      <c r="CF14" s="41"/>
      <c r="CG14" s="41"/>
      <c r="CH14" s="41"/>
      <c r="CI14" s="30"/>
      <c r="CJ14" s="3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30"/>
      <c r="DK14" s="3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30"/>
      <c r="EL14" s="3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30"/>
      <c r="FM14" s="3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30"/>
      <c r="GN14" s="3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30"/>
      <c r="HO14" s="3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30"/>
      <c r="IP14" s="3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30"/>
      <c r="JQ14" s="3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32"/>
    </row>
    <row r="15" customFormat="false" ht="15.75" hidden="false" customHeight="false" outlineLevel="0" collapsed="false">
      <c r="A15" s="42" t="str">
        <f aca="false">Neu!B15</f>
        <v>B52</v>
      </c>
      <c r="B15" s="43" t="s">
        <v>45</v>
      </c>
      <c r="C15" s="29"/>
      <c r="D15" s="49" t="n">
        <v>0.0047</v>
      </c>
      <c r="E15" s="50" t="n">
        <v>0.0487</v>
      </c>
      <c r="F15" s="32" t="n">
        <v>-62</v>
      </c>
      <c r="G15" s="31" t="n">
        <v>25</v>
      </c>
      <c r="H15" s="41" t="n">
        <v>3</v>
      </c>
      <c r="I15" s="41" t="n">
        <v>30</v>
      </c>
      <c r="J15" s="41" t="n">
        <v>0</v>
      </c>
      <c r="K15" s="41" t="n">
        <v>-35.75</v>
      </c>
      <c r="L15" s="41" t="n">
        <v>4</v>
      </c>
      <c r="M15" s="41" t="n">
        <v>1</v>
      </c>
      <c r="N15" s="41" t="n">
        <v>0.006</v>
      </c>
      <c r="O15" s="41" t="n">
        <v>0.001</v>
      </c>
      <c r="P15" s="41" t="n">
        <v>-41.75</v>
      </c>
      <c r="Q15" s="41" t="n">
        <v>3</v>
      </c>
      <c r="R15" s="41" t="n">
        <v>1</v>
      </c>
      <c r="S15" s="41"/>
      <c r="T15" s="41"/>
      <c r="U15" s="41"/>
      <c r="V15" s="41" t="n">
        <v>0</v>
      </c>
      <c r="W15" s="41" t="n">
        <v>-41.75</v>
      </c>
      <c r="X15" s="41" t="n">
        <v>4</v>
      </c>
      <c r="Y15" s="41" t="n">
        <v>1</v>
      </c>
      <c r="Z15" s="41" t="n">
        <v>0.02</v>
      </c>
      <c r="AA15" s="41" t="n">
        <v>0.005</v>
      </c>
      <c r="AB15" s="41" t="n">
        <v>-36.75</v>
      </c>
      <c r="AC15" s="41" t="n">
        <v>9</v>
      </c>
      <c r="AD15" s="41" t="n">
        <v>1</v>
      </c>
      <c r="AE15" s="51"/>
      <c r="AF15" s="51"/>
      <c r="AG15" s="52"/>
      <c r="AH15" s="31" t="n">
        <v>18</v>
      </c>
      <c r="AI15" s="41" t="n">
        <v>4</v>
      </c>
      <c r="AJ15" s="41" t="n">
        <v>-70</v>
      </c>
      <c r="AK15" s="41" t="n">
        <v>0</v>
      </c>
      <c r="AL15" s="41" t="n">
        <v>-21.75</v>
      </c>
      <c r="AM15" s="41" t="n">
        <v>8</v>
      </c>
      <c r="AN15" s="41" t="n">
        <v>1</v>
      </c>
      <c r="AO15" s="41" t="n">
        <v>0.04</v>
      </c>
      <c r="AP15" s="41" t="n">
        <v>0.004</v>
      </c>
      <c r="AQ15" s="41" t="n">
        <v>-6.75</v>
      </c>
      <c r="AR15" s="41" t="n">
        <v>9</v>
      </c>
      <c r="AS15" s="41" t="n">
        <v>1</v>
      </c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  <c r="BI15" s="55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7"/>
      <c r="BV15" s="57"/>
      <c r="BW15" s="57"/>
      <c r="BX15" s="56"/>
      <c r="BY15" s="56"/>
      <c r="BZ15" s="56"/>
      <c r="CA15" s="56"/>
      <c r="CB15" s="56"/>
      <c r="CC15" s="53"/>
      <c r="CD15" s="53"/>
      <c r="CE15" s="53"/>
      <c r="CF15" s="53"/>
      <c r="CG15" s="53"/>
      <c r="CH15" s="53"/>
      <c r="CI15" s="54"/>
      <c r="CJ15" s="58" t="n">
        <v>0.23</v>
      </c>
      <c r="CK15" s="58" t="n">
        <v>1</v>
      </c>
      <c r="CL15" s="58" t="n">
        <v>60</v>
      </c>
      <c r="CM15" s="58" t="n">
        <v>0</v>
      </c>
      <c r="CN15" s="58" t="n">
        <v>-3</v>
      </c>
      <c r="CO15" s="58" t="n">
        <v>7.89</v>
      </c>
      <c r="CP15" s="58" t="n">
        <v>1</v>
      </c>
      <c r="CQ15" s="58" t="n">
        <v>0.06</v>
      </c>
      <c r="CR15" s="58" t="n">
        <v>0.002</v>
      </c>
      <c r="CS15" s="58" t="n">
        <v>-10</v>
      </c>
      <c r="CT15" s="58" t="n">
        <v>-13</v>
      </c>
      <c r="CU15" s="58" t="n">
        <v>1</v>
      </c>
      <c r="CV15" s="58" t="n">
        <v>10</v>
      </c>
      <c r="CW15" s="58" t="n">
        <v>13</v>
      </c>
      <c r="CX15" s="58" t="n">
        <v>1</v>
      </c>
      <c r="CY15" s="58" t="n">
        <v>0</v>
      </c>
      <c r="CZ15" s="58" t="n">
        <v>-17</v>
      </c>
      <c r="DA15" s="58" t="n">
        <v>0.95</v>
      </c>
      <c r="DB15" s="58" t="n">
        <v>1</v>
      </c>
      <c r="DC15" s="58" t="n">
        <v>0.12</v>
      </c>
      <c r="DD15" s="53"/>
      <c r="DE15" s="53"/>
      <c r="DF15" s="53"/>
      <c r="DG15" s="53"/>
      <c r="DH15" s="53"/>
      <c r="DI15" s="53"/>
      <c r="DJ15" s="54"/>
      <c r="DK15" s="58" t="n">
        <v>0.4</v>
      </c>
      <c r="DL15" s="58" t="n">
        <v>1</v>
      </c>
      <c r="DM15" s="58" t="n">
        <v>60</v>
      </c>
      <c r="DN15" s="58" t="n">
        <v>0</v>
      </c>
      <c r="DO15" s="58" t="n">
        <v>2</v>
      </c>
      <c r="DP15" s="58" t="n">
        <v>7.25</v>
      </c>
      <c r="DQ15" s="58" t="n">
        <v>1</v>
      </c>
      <c r="DR15" s="58" t="n">
        <v>0.03</v>
      </c>
      <c r="DS15" s="58" t="n">
        <v>0.001</v>
      </c>
      <c r="DT15" s="58" t="n">
        <v>-10</v>
      </c>
      <c r="DU15" s="58" t="n">
        <v>-5.3</v>
      </c>
      <c r="DV15" s="58" t="n">
        <v>1</v>
      </c>
      <c r="DW15" s="58" t="n">
        <v>14</v>
      </c>
      <c r="DX15" s="58" t="n">
        <v>5.6</v>
      </c>
      <c r="DY15" s="58" t="n">
        <v>1</v>
      </c>
      <c r="DZ15" s="58" t="n">
        <v>0</v>
      </c>
      <c r="EA15" s="58" t="n">
        <v>-18.2</v>
      </c>
      <c r="EB15" s="58" t="n">
        <v>1.5</v>
      </c>
      <c r="EC15" s="58" t="n">
        <v>1</v>
      </c>
      <c r="ED15" s="58" t="n">
        <v>0.08</v>
      </c>
      <c r="EE15" s="58" t="n">
        <v>0.038</v>
      </c>
      <c r="EF15" s="58" t="n">
        <v>0</v>
      </c>
      <c r="EG15" s="58" t="n">
        <v>5</v>
      </c>
      <c r="EH15" s="58" t="n">
        <v>1</v>
      </c>
      <c r="EI15" s="53"/>
      <c r="EJ15" s="53"/>
      <c r="EK15" s="54"/>
      <c r="EL15" s="59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4"/>
      <c r="FM15" s="60" t="n">
        <v>5</v>
      </c>
      <c r="FN15" s="58" t="n">
        <v>1</v>
      </c>
      <c r="FO15" s="58" t="n">
        <v>-70</v>
      </c>
      <c r="FP15" s="58" t="n">
        <v>0</v>
      </c>
      <c r="FQ15" s="58" t="n">
        <v>-11</v>
      </c>
      <c r="FR15" s="58" t="n">
        <v>8</v>
      </c>
      <c r="FS15" s="58" t="n">
        <v>1</v>
      </c>
      <c r="FT15" s="58" t="n">
        <v>0.009</v>
      </c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32"/>
      <c r="GN15" s="3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32"/>
      <c r="HO15" s="3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32"/>
      <c r="IP15" s="44" t="n">
        <v>0.0465</v>
      </c>
      <c r="IQ15" s="41" t="n">
        <v>1</v>
      </c>
      <c r="IR15" s="41" t="n">
        <v>-40</v>
      </c>
      <c r="IS15" s="41" t="n">
        <v>0</v>
      </c>
      <c r="IT15" s="41" t="n">
        <v>-64</v>
      </c>
      <c r="IU15" s="41" t="n">
        <v>-4.8</v>
      </c>
      <c r="IV15" s="41" t="n">
        <v>1</v>
      </c>
      <c r="IW15" s="41" t="n">
        <v>45</v>
      </c>
      <c r="IX15" s="41" t="n">
        <v>6</v>
      </c>
      <c r="IY15" s="41" t="n">
        <v>-73</v>
      </c>
      <c r="IZ15" s="41" t="n">
        <v>-9</v>
      </c>
      <c r="JA15" s="41" t="n">
        <v>1</v>
      </c>
      <c r="JB15" s="41" t="n">
        <v>-75</v>
      </c>
      <c r="JC15" s="41" t="n">
        <v>9</v>
      </c>
      <c r="JD15" s="41" t="n">
        <v>1</v>
      </c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32"/>
      <c r="JQ15" s="3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32"/>
    </row>
    <row r="16" customFormat="false" ht="14.35" hidden="false" customHeight="false" outlineLevel="0" collapsed="false">
      <c r="A16" s="42" t="str">
        <f aca="false">Neu!B16</f>
        <v>B63</v>
      </c>
      <c r="B16" s="28" t="s">
        <v>46</v>
      </c>
      <c r="C16" s="29"/>
      <c r="D16" s="32" t="n">
        <v>0.01</v>
      </c>
      <c r="E16" s="31" t="n">
        <v>0.04</v>
      </c>
      <c r="F16" s="32" t="n">
        <v>-60</v>
      </c>
      <c r="G16" s="31" t="n">
        <v>25</v>
      </c>
      <c r="H16" s="41" t="n">
        <v>3</v>
      </c>
      <c r="I16" s="41" t="n">
        <v>30</v>
      </c>
      <c r="J16" s="41" t="n">
        <v>0</v>
      </c>
      <c r="K16" s="41" t="n">
        <v>-37</v>
      </c>
      <c r="L16" s="41" t="n">
        <v>5</v>
      </c>
      <c r="M16" s="41" t="n">
        <v>1</v>
      </c>
      <c r="N16" s="41" t="n">
        <v>0.006</v>
      </c>
      <c r="O16" s="41" t="n">
        <v>0.001</v>
      </c>
      <c r="P16" s="41" t="n">
        <v>-43</v>
      </c>
      <c r="Q16" s="41" t="n">
        <v>4</v>
      </c>
      <c r="R16" s="41" t="n">
        <v>1</v>
      </c>
      <c r="S16" s="41"/>
      <c r="T16" s="41"/>
      <c r="U16" s="41"/>
      <c r="V16" s="41" t="n">
        <v>0</v>
      </c>
      <c r="W16" s="41" t="n">
        <v>-43</v>
      </c>
      <c r="X16" s="41" t="n">
        <v>5</v>
      </c>
      <c r="Y16" s="41" t="n">
        <v>1</v>
      </c>
      <c r="Z16" s="41" t="n">
        <v>0.02</v>
      </c>
      <c r="AA16" s="41" t="n">
        <v>0.005</v>
      </c>
      <c r="AB16" s="41" t="n">
        <v>-38</v>
      </c>
      <c r="AC16" s="41" t="n">
        <v>10</v>
      </c>
      <c r="AD16" s="41" t="n">
        <v>1</v>
      </c>
      <c r="AE16" s="41"/>
      <c r="AF16" s="41"/>
      <c r="AG16" s="32"/>
      <c r="AH16" s="31" t="n">
        <v>20</v>
      </c>
      <c r="AI16" s="41" t="n">
        <v>4</v>
      </c>
      <c r="AJ16" s="41" t="n">
        <v>-70</v>
      </c>
      <c r="AK16" s="41" t="n">
        <v>0</v>
      </c>
      <c r="AL16" s="41" t="n">
        <v>-23</v>
      </c>
      <c r="AM16" s="41" t="n">
        <v>9</v>
      </c>
      <c r="AN16" s="41" t="n">
        <v>1</v>
      </c>
      <c r="AO16" s="41" t="n">
        <v>0.04</v>
      </c>
      <c r="AP16" s="41" t="n">
        <v>0.004</v>
      </c>
      <c r="AQ16" s="41" t="n">
        <v>-8</v>
      </c>
      <c r="AR16" s="41" t="n">
        <v>10</v>
      </c>
      <c r="AS16" s="41" t="n">
        <v>1</v>
      </c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32"/>
      <c r="BI16" s="3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32"/>
      <c r="CJ16" s="3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32"/>
      <c r="DK16" s="3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32"/>
      <c r="EL16" s="3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32"/>
      <c r="FM16" s="3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32"/>
      <c r="GN16" s="3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32"/>
      <c r="HO16" s="3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32"/>
      <c r="IP16" s="3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32"/>
      <c r="JQ16" s="3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32"/>
    </row>
    <row r="17" customFormat="false" ht="14.35" hidden="false" customHeight="false" outlineLevel="0" collapsed="false">
      <c r="A17" s="42" t="str">
        <f aca="false">Neu!B17</f>
        <v>B64s</v>
      </c>
      <c r="B17" s="43" t="s">
        <v>47</v>
      </c>
      <c r="C17" s="29"/>
      <c r="D17" s="30" t="n">
        <v>0.0023</v>
      </c>
      <c r="E17" s="31" t="n">
        <v>0.12</v>
      </c>
      <c r="F17" s="32" t="n">
        <v>-60</v>
      </c>
      <c r="G17" s="31" t="n">
        <v>60</v>
      </c>
      <c r="H17" s="41" t="n">
        <v>3</v>
      </c>
      <c r="I17" s="41" t="n">
        <v>60</v>
      </c>
      <c r="J17" s="41" t="n">
        <v>0</v>
      </c>
      <c r="K17" s="41" t="n">
        <v>-16.6</v>
      </c>
      <c r="L17" s="41" t="n">
        <v>6.66</v>
      </c>
      <c r="M17" s="41" t="n">
        <v>1</v>
      </c>
      <c r="N17" s="41" t="n">
        <v>0.035</v>
      </c>
      <c r="O17" s="41" t="n">
        <v>0.00024</v>
      </c>
      <c r="P17" s="41" t="n">
        <v>-30</v>
      </c>
      <c r="Q17" s="41" t="n">
        <v>5.382</v>
      </c>
      <c r="R17" s="41" t="n">
        <v>1</v>
      </c>
      <c r="S17" s="41" t="n">
        <v>-17</v>
      </c>
      <c r="T17" s="41" t="n">
        <v>-9.9</v>
      </c>
      <c r="U17" s="41" t="n">
        <v>1</v>
      </c>
      <c r="V17" s="41" t="n">
        <v>0</v>
      </c>
      <c r="W17" s="41" t="n">
        <v>-24</v>
      </c>
      <c r="X17" s="41" t="n">
        <v>3.807</v>
      </c>
      <c r="Y17" s="41" t="n">
        <v>1</v>
      </c>
      <c r="Z17" s="41" t="n">
        <v>0.042</v>
      </c>
      <c r="AA17" s="41" t="n">
        <v>0.001</v>
      </c>
      <c r="AB17" s="41" t="n">
        <v>-32</v>
      </c>
      <c r="AC17" s="41" t="n">
        <v>14.472</v>
      </c>
      <c r="AD17" s="41" t="n">
        <v>1</v>
      </c>
      <c r="AE17" s="41"/>
      <c r="AF17" s="41"/>
      <c r="AG17" s="32"/>
      <c r="AH17" s="44" t="n">
        <v>3.1</v>
      </c>
      <c r="AI17" s="41" t="n">
        <v>1</v>
      </c>
      <c r="AJ17" s="41" t="n">
        <v>-70</v>
      </c>
      <c r="AK17" s="41" t="n">
        <v>0</v>
      </c>
      <c r="AL17" s="41" t="n">
        <v>2</v>
      </c>
      <c r="AM17" s="41" t="n">
        <v>8</v>
      </c>
      <c r="AN17" s="41" t="n">
        <v>1</v>
      </c>
      <c r="AO17" s="41" t="n">
        <v>0.01</v>
      </c>
      <c r="AP17" s="41"/>
      <c r="AQ17" s="41"/>
      <c r="AR17" s="41"/>
      <c r="AS17" s="41"/>
      <c r="AT17" s="41"/>
      <c r="AU17" s="41"/>
      <c r="AV17" s="41"/>
      <c r="AW17" s="41" t="n">
        <v>0.4</v>
      </c>
      <c r="AX17" s="41" t="n">
        <v>-10.5</v>
      </c>
      <c r="AY17" s="41" t="n">
        <v>4.5</v>
      </c>
      <c r="AZ17" s="41" t="n">
        <v>1</v>
      </c>
      <c r="BA17" s="41" t="n">
        <v>5.8</v>
      </c>
      <c r="BB17" s="41" t="n">
        <v>0.18</v>
      </c>
      <c r="BC17" s="41" t="n">
        <v>-60</v>
      </c>
      <c r="BD17" s="41" t="n">
        <v>15</v>
      </c>
      <c r="BE17" s="41" t="n">
        <v>1</v>
      </c>
      <c r="BF17" s="41"/>
      <c r="BG17" s="41"/>
      <c r="BH17" s="41"/>
      <c r="BI17" s="41" t="n">
        <v>0.9</v>
      </c>
      <c r="BJ17" s="41" t="n">
        <v>1</v>
      </c>
      <c r="BK17" s="41" t="n">
        <v>-70</v>
      </c>
      <c r="BL17" s="41" t="n">
        <v>0</v>
      </c>
      <c r="BM17" s="41" t="n">
        <v>-11</v>
      </c>
      <c r="BN17" s="41" t="n">
        <v>11.2</v>
      </c>
      <c r="BO17" s="41" t="n">
        <v>1</v>
      </c>
      <c r="BP17" s="41" t="n">
        <v>0.02</v>
      </c>
      <c r="BQ17" s="41" t="n">
        <v>0.002</v>
      </c>
      <c r="BR17" s="41" t="n">
        <v>-20</v>
      </c>
      <c r="BS17" s="41" t="n">
        <v>5.7</v>
      </c>
      <c r="BT17" s="41" t="n">
        <v>1</v>
      </c>
      <c r="BU17" s="41"/>
      <c r="BV17" s="41"/>
      <c r="BW17" s="41"/>
      <c r="BX17" s="41" t="n">
        <v>0</v>
      </c>
      <c r="BY17" s="41" t="n">
        <v>-46.3</v>
      </c>
      <c r="BZ17" s="41" t="n">
        <v>7.38</v>
      </c>
      <c r="CA17" s="41" t="n">
        <v>1</v>
      </c>
      <c r="CB17" s="41" t="n">
        <v>0.035</v>
      </c>
      <c r="CC17" s="41"/>
      <c r="CD17" s="41"/>
      <c r="CE17" s="41"/>
      <c r="CF17" s="41"/>
      <c r="CG17" s="41"/>
      <c r="CH17" s="41"/>
      <c r="CI17" s="41"/>
      <c r="CJ17" s="41" t="n">
        <v>0.178</v>
      </c>
      <c r="CK17" s="41" t="n">
        <v>1</v>
      </c>
      <c r="CL17" s="41" t="n">
        <v>60</v>
      </c>
      <c r="CM17" s="41" t="n">
        <v>0</v>
      </c>
      <c r="CN17" s="41" t="n">
        <v>-5</v>
      </c>
      <c r="CO17" s="41" t="n">
        <v>12.1</v>
      </c>
      <c r="CP17" s="41" t="n">
        <v>1</v>
      </c>
      <c r="CQ17" s="41" t="n">
        <v>0.0088</v>
      </c>
      <c r="CR17" s="41" t="n">
        <v>0.002</v>
      </c>
      <c r="CS17" s="41" t="n">
        <v>0</v>
      </c>
      <c r="CT17" s="41" t="n">
        <v>-4</v>
      </c>
      <c r="CU17" s="41" t="n">
        <v>1</v>
      </c>
      <c r="CV17" s="41" t="n">
        <v>35</v>
      </c>
      <c r="CW17" s="41" t="n">
        <v>4</v>
      </c>
      <c r="CX17" s="41" t="n">
        <v>1</v>
      </c>
      <c r="CY17" s="41" t="n">
        <v>0</v>
      </c>
      <c r="CZ17" s="41" t="n">
        <v>-26.5</v>
      </c>
      <c r="DA17" s="41" t="n">
        <v>7.47</v>
      </c>
      <c r="DB17" s="41" t="n">
        <v>1</v>
      </c>
      <c r="DC17" s="41" t="n">
        <v>0.14</v>
      </c>
      <c r="DD17" s="41"/>
      <c r="DE17" s="41"/>
      <c r="DF17" s="41"/>
      <c r="DG17" s="41"/>
      <c r="DH17" s="41"/>
      <c r="DI17" s="41"/>
      <c r="DJ17" s="41"/>
      <c r="DK17" s="41" t="n">
        <v>0.7</v>
      </c>
      <c r="DL17" s="41" t="n">
        <v>1</v>
      </c>
      <c r="DM17" s="41" t="n">
        <v>60</v>
      </c>
      <c r="DN17" s="41" t="n">
        <v>0</v>
      </c>
      <c r="DO17" s="41" t="n">
        <v>2</v>
      </c>
      <c r="DP17" s="41" t="n">
        <v>8.2</v>
      </c>
      <c r="DQ17" s="41" t="n">
        <v>1</v>
      </c>
      <c r="DR17" s="41" t="n">
        <v>0.02</v>
      </c>
      <c r="DS17" s="41" t="n">
        <v>0.001</v>
      </c>
      <c r="DT17" s="41" t="n">
        <v>13</v>
      </c>
      <c r="DU17" s="41" t="n">
        <v>-12.7</v>
      </c>
      <c r="DV17" s="41" t="n">
        <v>1</v>
      </c>
      <c r="DW17" s="41" t="n">
        <v>25</v>
      </c>
      <c r="DX17" s="41" t="n">
        <v>13</v>
      </c>
      <c r="DY17" s="41" t="n">
        <v>1</v>
      </c>
      <c r="DZ17" s="41" t="n">
        <v>0</v>
      </c>
      <c r="EA17" s="41" t="n">
        <v>-25</v>
      </c>
      <c r="EB17" s="41" t="n">
        <v>6.71</v>
      </c>
      <c r="EC17" s="41" t="n">
        <v>1</v>
      </c>
      <c r="ED17" s="41" t="n">
        <v>0.036</v>
      </c>
      <c r="EE17" s="41" t="n">
        <v>0.025</v>
      </c>
      <c r="EF17" s="41" t="n">
        <v>0</v>
      </c>
      <c r="EG17" s="41" t="n">
        <v>0.46</v>
      </c>
      <c r="EH17" s="41" t="n">
        <v>1</v>
      </c>
      <c r="EI17" s="41"/>
      <c r="EJ17" s="41"/>
      <c r="EK17" s="30"/>
      <c r="EL17" s="3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32"/>
      <c r="FM17" s="44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30"/>
      <c r="GN17" s="31" t="n">
        <v>0.26</v>
      </c>
      <c r="GO17" s="41" t="n">
        <v>1</v>
      </c>
      <c r="GP17" s="41" t="n">
        <v>-70</v>
      </c>
      <c r="GQ17" s="41" t="n">
        <v>0</v>
      </c>
      <c r="GR17" s="41" t="n">
        <v>9</v>
      </c>
      <c r="GS17" s="41" t="n">
        <v>4.6</v>
      </c>
      <c r="GT17" s="41" t="n">
        <v>1</v>
      </c>
      <c r="GU17" s="41" t="n">
        <v>0.01</v>
      </c>
      <c r="GV17" s="41"/>
      <c r="GW17" s="41"/>
      <c r="GX17" s="41"/>
      <c r="GY17" s="41"/>
      <c r="GZ17" s="41"/>
      <c r="HA17" s="41"/>
      <c r="HB17" s="41"/>
      <c r="HC17" s="41" t="n">
        <v>0</v>
      </c>
      <c r="HD17" s="41" t="n">
        <v>-5</v>
      </c>
      <c r="HE17" s="41" t="n">
        <v>5</v>
      </c>
      <c r="HF17" s="41" t="n">
        <v>1</v>
      </c>
      <c r="HG17" s="41" t="n">
        <v>1.1</v>
      </c>
      <c r="HH17" s="41" t="n">
        <v>0.2</v>
      </c>
      <c r="HI17" s="41" t="n">
        <v>-13</v>
      </c>
      <c r="HJ17" s="41" t="n">
        <v>-2</v>
      </c>
      <c r="HK17" s="41" t="n">
        <v>1</v>
      </c>
      <c r="HL17" s="41" t="n">
        <v>-6</v>
      </c>
      <c r="HM17" s="41" t="n">
        <v>2</v>
      </c>
      <c r="HN17" s="30" t="n">
        <v>1</v>
      </c>
      <c r="HO17" s="31" t="n">
        <v>0.12</v>
      </c>
      <c r="HP17" s="41" t="n">
        <v>1</v>
      </c>
      <c r="HQ17" s="41" t="n">
        <v>60</v>
      </c>
      <c r="HR17" s="41" t="n">
        <v>0</v>
      </c>
      <c r="HS17" s="41" t="n">
        <v>-37</v>
      </c>
      <c r="HT17" s="41" t="n">
        <v>4.5</v>
      </c>
      <c r="HU17" s="41" t="n">
        <v>1</v>
      </c>
      <c r="HV17" s="41" t="n">
        <v>0.01</v>
      </c>
      <c r="HW17" s="41"/>
      <c r="HX17" s="41"/>
      <c r="HY17" s="41"/>
      <c r="HZ17" s="41"/>
      <c r="IA17" s="41"/>
      <c r="IB17" s="41"/>
      <c r="IC17" s="41"/>
      <c r="ID17" s="41" t="n">
        <v>0.6</v>
      </c>
      <c r="IE17" s="41" t="n">
        <v>-62</v>
      </c>
      <c r="IF17" s="41" t="n">
        <v>1</v>
      </c>
      <c r="IG17" s="41" t="n">
        <v>1</v>
      </c>
      <c r="IH17" s="41" t="n">
        <v>2.5</v>
      </c>
      <c r="II17" s="41" t="n">
        <v>0.25</v>
      </c>
      <c r="IJ17" s="41" t="n">
        <v>-55</v>
      </c>
      <c r="IK17" s="41" t="n">
        <v>-1.5</v>
      </c>
      <c r="IL17" s="41" t="n">
        <v>1</v>
      </c>
      <c r="IM17" s="41" t="n">
        <v>-42</v>
      </c>
      <c r="IN17" s="41" t="n">
        <v>1.5</v>
      </c>
      <c r="IO17" s="32" t="n">
        <v>1</v>
      </c>
      <c r="IP17" s="44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3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32"/>
    </row>
    <row r="18" customFormat="false" ht="15" hidden="false" customHeight="false" outlineLevel="0" collapsed="false">
      <c r="A18" s="42" t="str">
        <f aca="false">Neu!B18</f>
        <v>B65</v>
      </c>
      <c r="B18" s="28" t="s">
        <v>48</v>
      </c>
      <c r="C18" s="29"/>
      <c r="D18" s="32" t="n">
        <v>0.005</v>
      </c>
      <c r="E18" s="31" t="n">
        <v>0.08</v>
      </c>
      <c r="F18" s="32" t="n">
        <v>-50</v>
      </c>
      <c r="G18" s="31" t="n">
        <v>28</v>
      </c>
      <c r="H18" s="41" t="n">
        <v>3</v>
      </c>
      <c r="I18" s="41" t="n">
        <v>30</v>
      </c>
      <c r="J18" s="41" t="n">
        <v>0</v>
      </c>
      <c r="K18" s="41" t="n">
        <v>-38</v>
      </c>
      <c r="L18" s="41" t="n">
        <v>5</v>
      </c>
      <c r="M18" s="41" t="n">
        <v>1</v>
      </c>
      <c r="N18" s="41" t="n">
        <v>0.006</v>
      </c>
      <c r="O18" s="41" t="n">
        <v>0.001</v>
      </c>
      <c r="P18" s="41" t="n">
        <v>-44</v>
      </c>
      <c r="Q18" s="41" t="n">
        <v>4</v>
      </c>
      <c r="R18" s="41" t="n">
        <v>1</v>
      </c>
      <c r="S18" s="41"/>
      <c r="T18" s="41"/>
      <c r="U18" s="41"/>
      <c r="V18" s="41" t="n">
        <v>0</v>
      </c>
      <c r="W18" s="41" t="n">
        <v>-44</v>
      </c>
      <c r="X18" s="41" t="n">
        <v>5</v>
      </c>
      <c r="Y18" s="41" t="n">
        <v>1</v>
      </c>
      <c r="Z18" s="41" t="n">
        <v>0.02</v>
      </c>
      <c r="AA18" s="41" t="n">
        <v>0.005</v>
      </c>
      <c r="AB18" s="41" t="n">
        <v>-39</v>
      </c>
      <c r="AC18" s="41" t="n">
        <v>10</v>
      </c>
      <c r="AD18" s="41" t="n">
        <v>1</v>
      </c>
      <c r="AE18" s="41"/>
      <c r="AF18" s="41"/>
      <c r="AG18" s="32"/>
      <c r="AH18" s="31" t="n">
        <v>35</v>
      </c>
      <c r="AI18" s="41" t="n">
        <v>4</v>
      </c>
      <c r="AJ18" s="41" t="n">
        <v>-70</v>
      </c>
      <c r="AK18" s="41" t="n">
        <v>0</v>
      </c>
      <c r="AL18" s="41" t="n">
        <v>-23</v>
      </c>
      <c r="AM18" s="41" t="n">
        <v>9</v>
      </c>
      <c r="AN18" s="41" t="n">
        <v>1</v>
      </c>
      <c r="AO18" s="41" t="n">
        <v>0.2</v>
      </c>
      <c r="AP18" s="41" t="n">
        <v>0.004</v>
      </c>
      <c r="AQ18" s="41" t="n">
        <v>-8</v>
      </c>
      <c r="AR18" s="41" t="n">
        <v>10</v>
      </c>
      <c r="AS18" s="41" t="n">
        <v>1</v>
      </c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32"/>
      <c r="BI18" s="31" t="n">
        <v>1.5</v>
      </c>
      <c r="BJ18" s="41" t="n">
        <v>2</v>
      </c>
      <c r="BK18" s="41" t="n">
        <v>-60</v>
      </c>
      <c r="BL18" s="41" t="n">
        <v>0</v>
      </c>
      <c r="BM18" s="41" t="n">
        <v>-60</v>
      </c>
      <c r="BN18" s="41" t="n">
        <v>1</v>
      </c>
      <c r="BO18" s="41" t="n">
        <v>1</v>
      </c>
      <c r="BP18" s="41" t="n">
        <v>0.2</v>
      </c>
      <c r="BQ18" s="41" t="n">
        <v>0.02</v>
      </c>
      <c r="BR18" s="41" t="n">
        <v>-56</v>
      </c>
      <c r="BS18" s="41" t="n">
        <v>1</v>
      </c>
      <c r="BT18" s="41" t="n">
        <v>2</v>
      </c>
      <c r="BU18" s="41"/>
      <c r="BV18" s="41"/>
      <c r="BW18" s="41"/>
      <c r="BX18" s="41" t="n">
        <v>0</v>
      </c>
      <c r="BY18" s="41" t="n">
        <v>-55</v>
      </c>
      <c r="BZ18" s="41" t="n">
        <v>1</v>
      </c>
      <c r="CA18" s="41" t="n">
        <v>2</v>
      </c>
      <c r="CB18" s="41" t="n">
        <v>0.5</v>
      </c>
      <c r="CC18" s="41"/>
      <c r="CD18" s="41"/>
      <c r="CE18" s="41"/>
      <c r="CF18" s="41"/>
      <c r="CG18" s="41"/>
      <c r="CH18" s="41"/>
      <c r="CI18" s="32"/>
      <c r="CJ18" s="3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32"/>
      <c r="DK18" s="3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32"/>
      <c r="EL18" s="3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32"/>
      <c r="FM18" s="3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32"/>
      <c r="GN18" s="3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32"/>
      <c r="HO18" s="31" t="n">
        <v>0.3</v>
      </c>
      <c r="HP18" s="41" t="n">
        <v>1</v>
      </c>
      <c r="HQ18" s="41" t="n">
        <v>-40</v>
      </c>
      <c r="HR18" s="41" t="n">
        <v>0</v>
      </c>
      <c r="HS18" s="41" t="n">
        <v>-45</v>
      </c>
      <c r="HT18" s="41" t="n">
        <v>5</v>
      </c>
      <c r="HU18" s="41" t="n">
        <v>3</v>
      </c>
      <c r="HV18" s="41" t="n">
        <v>2</v>
      </c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32"/>
      <c r="IP18" s="3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32"/>
      <c r="JQ18" s="31" t="n">
        <v>0.01</v>
      </c>
      <c r="JR18" s="41" t="n">
        <v>1</v>
      </c>
      <c r="JS18" s="41" t="n">
        <v>-60</v>
      </c>
      <c r="JT18" s="41" t="n">
        <v>0</v>
      </c>
      <c r="JU18" s="41" t="n">
        <v>-40</v>
      </c>
      <c r="JV18" s="41" t="n">
        <v>-5</v>
      </c>
      <c r="JW18" s="41" t="n">
        <v>4</v>
      </c>
      <c r="JX18" s="41" t="n">
        <v>1</v>
      </c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32"/>
    </row>
    <row r="19" customFormat="false" ht="14.35" hidden="false" customHeight="false" outlineLevel="0" collapsed="false">
      <c r="A19" s="42" t="str">
        <f aca="false">Neu!B19</f>
        <v>CBI2</v>
      </c>
      <c r="B19" s="43" t="s">
        <v>49</v>
      </c>
      <c r="C19" s="29"/>
      <c r="D19" s="30" t="n">
        <v>0.01</v>
      </c>
      <c r="E19" s="31" t="n">
        <v>0.1</v>
      </c>
      <c r="F19" s="32" t="n">
        <v>-60</v>
      </c>
      <c r="G19" s="31" t="n">
        <v>25</v>
      </c>
      <c r="H19" s="41" t="n">
        <v>3</v>
      </c>
      <c r="I19" s="41" t="n">
        <v>30</v>
      </c>
      <c r="J19" s="41" t="n">
        <v>0</v>
      </c>
      <c r="K19" s="41" t="n">
        <v>-37</v>
      </c>
      <c r="L19" s="41" t="n">
        <v>5</v>
      </c>
      <c r="M19" s="41" t="n">
        <v>1</v>
      </c>
      <c r="N19" s="41" t="n">
        <v>0.006</v>
      </c>
      <c r="O19" s="41" t="n">
        <v>0.001</v>
      </c>
      <c r="P19" s="41" t="n">
        <v>-43</v>
      </c>
      <c r="Q19" s="41" t="n">
        <v>4</v>
      </c>
      <c r="R19" s="41" t="n">
        <v>1</v>
      </c>
      <c r="S19" s="44"/>
      <c r="T19" s="41"/>
      <c r="U19" s="41"/>
      <c r="V19" s="41" t="n">
        <v>0</v>
      </c>
      <c r="W19" s="41" t="n">
        <v>-43</v>
      </c>
      <c r="X19" s="41" t="n">
        <v>5</v>
      </c>
      <c r="Y19" s="41" t="n">
        <v>1</v>
      </c>
      <c r="Z19" s="41" t="n">
        <v>0.02</v>
      </c>
      <c r="AA19" s="41" t="n">
        <v>0.005</v>
      </c>
      <c r="AB19" s="41" t="n">
        <v>-38</v>
      </c>
      <c r="AC19" s="41" t="n">
        <v>10</v>
      </c>
      <c r="AD19" s="41" t="n">
        <v>1</v>
      </c>
      <c r="AE19" s="41"/>
      <c r="AF19" s="41"/>
      <c r="AG19" s="30"/>
      <c r="AH19" s="31" t="n">
        <v>20</v>
      </c>
      <c r="AI19" s="41" t="n">
        <v>4</v>
      </c>
      <c r="AJ19" s="41" t="n">
        <v>-70</v>
      </c>
      <c r="AK19" s="41" t="n">
        <v>0</v>
      </c>
      <c r="AL19" s="41" t="n">
        <v>-23</v>
      </c>
      <c r="AM19" s="41" t="n">
        <v>9</v>
      </c>
      <c r="AN19" s="41" t="n">
        <v>1</v>
      </c>
      <c r="AO19" s="41" t="n">
        <v>0.04</v>
      </c>
      <c r="AP19" s="41" t="n">
        <v>0.004</v>
      </c>
      <c r="AQ19" s="41" t="n">
        <v>-8</v>
      </c>
      <c r="AR19" s="41" t="n">
        <v>10</v>
      </c>
      <c r="AS19" s="41" t="n">
        <v>1</v>
      </c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30"/>
      <c r="BI19" s="3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30"/>
      <c r="CJ19" s="3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30"/>
      <c r="DK19" s="3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30"/>
      <c r="EL19" s="3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30"/>
      <c r="FM19" s="3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30"/>
      <c r="GN19" s="3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30"/>
      <c r="HO19" s="3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30"/>
      <c r="IP19" s="3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30"/>
      <c r="JQ19" s="3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32"/>
    </row>
    <row r="20" customFormat="false" ht="14.35" hidden="false" customHeight="false" outlineLevel="0" collapsed="false">
      <c r="A20" s="42" t="str">
        <f aca="false">Neu!B20</f>
        <v>B6</v>
      </c>
      <c r="B20" s="43" t="s">
        <v>50</v>
      </c>
      <c r="C20" s="39"/>
      <c r="D20" s="61" t="n">
        <v>0.01386</v>
      </c>
      <c r="E20" s="62" t="n">
        <v>0.45</v>
      </c>
      <c r="F20" s="63" t="n">
        <v>-64</v>
      </c>
      <c r="G20" s="62" t="n">
        <v>85</v>
      </c>
      <c r="H20" s="64" t="n">
        <v>3</v>
      </c>
      <c r="I20" s="64" t="n">
        <v>30</v>
      </c>
      <c r="J20" s="64" t="n">
        <v>0</v>
      </c>
      <c r="K20" s="64" t="n">
        <v>-19.4</v>
      </c>
      <c r="L20" s="64" t="n">
        <v>15</v>
      </c>
      <c r="M20" s="64" t="n">
        <v>1</v>
      </c>
      <c r="N20" s="64" t="n">
        <v>0.006</v>
      </c>
      <c r="O20" s="64" t="n">
        <v>0.001</v>
      </c>
      <c r="P20" s="64" t="n">
        <v>-25.4</v>
      </c>
      <c r="Q20" s="64" t="n">
        <v>12</v>
      </c>
      <c r="R20" s="64" t="n">
        <v>1</v>
      </c>
      <c r="S20" s="44"/>
      <c r="T20" s="41"/>
      <c r="U20" s="41"/>
      <c r="V20" s="64" t="n">
        <v>0</v>
      </c>
      <c r="W20" s="64" t="n">
        <v>-14</v>
      </c>
      <c r="X20" s="64" t="n">
        <v>15</v>
      </c>
      <c r="Y20" s="64" t="n">
        <v>1</v>
      </c>
      <c r="Z20" s="64" t="n">
        <v>0.02</v>
      </c>
      <c r="AA20" s="64" t="n">
        <v>0.005</v>
      </c>
      <c r="AB20" s="64" t="n">
        <v>-9</v>
      </c>
      <c r="AC20" s="64" t="n">
        <v>30</v>
      </c>
      <c r="AD20" s="64" t="n">
        <v>1</v>
      </c>
      <c r="AE20" s="41"/>
      <c r="AF20" s="41"/>
      <c r="AG20" s="30"/>
      <c r="AH20" s="37" t="n">
        <v>60</v>
      </c>
      <c r="AI20" s="38" t="n">
        <v>4</v>
      </c>
      <c r="AJ20" s="64" t="n">
        <v>-70</v>
      </c>
      <c r="AK20" s="64" t="n">
        <v>0</v>
      </c>
      <c r="AL20" s="64" t="n">
        <v>-19</v>
      </c>
      <c r="AM20" s="64" t="n">
        <v>9</v>
      </c>
      <c r="AN20" s="64" t="n">
        <v>1</v>
      </c>
      <c r="AO20" s="64" t="n">
        <v>0.05</v>
      </c>
      <c r="AP20" s="64" t="n">
        <v>0.004</v>
      </c>
      <c r="AQ20" s="64" t="n">
        <v>-4</v>
      </c>
      <c r="AR20" s="64" t="n">
        <v>10</v>
      </c>
      <c r="AS20" s="64" t="n">
        <v>1</v>
      </c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40"/>
      <c r="BI20" s="46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8"/>
      <c r="BV20" s="48"/>
      <c r="BW20" s="48"/>
      <c r="BX20" s="47"/>
      <c r="BY20" s="47"/>
      <c r="BZ20" s="47"/>
      <c r="CA20" s="47"/>
      <c r="CB20" s="47"/>
      <c r="CC20" s="39"/>
      <c r="CD20" s="39"/>
      <c r="CE20" s="39"/>
      <c r="CF20" s="39"/>
      <c r="CG20" s="39"/>
      <c r="CH20" s="39"/>
      <c r="CI20" s="40"/>
      <c r="CJ20" s="37" t="n">
        <v>0.23</v>
      </c>
      <c r="CK20" s="38" t="n">
        <v>1</v>
      </c>
      <c r="CL20" s="38" t="n">
        <v>60</v>
      </c>
      <c r="CM20" s="38" t="n">
        <v>0</v>
      </c>
      <c r="CN20" s="38" t="n">
        <v>-3</v>
      </c>
      <c r="CO20" s="38" t="n">
        <v>7.89</v>
      </c>
      <c r="CP20" s="38" t="n">
        <v>1</v>
      </c>
      <c r="CQ20" s="38" t="n">
        <v>0.06</v>
      </c>
      <c r="CR20" s="38" t="n">
        <v>0.002</v>
      </c>
      <c r="CS20" s="38" t="n">
        <v>-10</v>
      </c>
      <c r="CT20" s="38" t="n">
        <v>-13</v>
      </c>
      <c r="CU20" s="38" t="n">
        <v>1</v>
      </c>
      <c r="CV20" s="38" t="n">
        <v>10</v>
      </c>
      <c r="CW20" s="38" t="n">
        <v>13</v>
      </c>
      <c r="CX20" s="38" t="n">
        <v>1</v>
      </c>
      <c r="CY20" s="38" t="n">
        <v>0</v>
      </c>
      <c r="CZ20" s="38" t="n">
        <v>-17</v>
      </c>
      <c r="DA20" s="38" t="n">
        <v>0.95</v>
      </c>
      <c r="DB20" s="38" t="n">
        <v>1</v>
      </c>
      <c r="DC20" s="38" t="n">
        <v>0.12</v>
      </c>
      <c r="DD20" s="39"/>
      <c r="DE20" s="39"/>
      <c r="DF20" s="39"/>
      <c r="DG20" s="39"/>
      <c r="DH20" s="39"/>
      <c r="DI20" s="39"/>
      <c r="DJ20" s="40"/>
      <c r="DK20" s="37" t="n">
        <v>0.4</v>
      </c>
      <c r="DL20" s="38" t="n">
        <v>1</v>
      </c>
      <c r="DM20" s="38" t="n">
        <v>60</v>
      </c>
      <c r="DN20" s="38" t="n">
        <v>0</v>
      </c>
      <c r="DO20" s="38" t="n">
        <v>2</v>
      </c>
      <c r="DP20" s="38" t="n">
        <v>7.25</v>
      </c>
      <c r="DQ20" s="38" t="n">
        <v>1</v>
      </c>
      <c r="DR20" s="38" t="n">
        <v>0.03</v>
      </c>
      <c r="DS20" s="38" t="n">
        <v>0.001</v>
      </c>
      <c r="DT20" s="38" t="n">
        <v>-10</v>
      </c>
      <c r="DU20" s="38" t="n">
        <v>-5.3</v>
      </c>
      <c r="DV20" s="38" t="n">
        <v>1</v>
      </c>
      <c r="DW20" s="38" t="n">
        <v>14</v>
      </c>
      <c r="DX20" s="38" t="n">
        <v>5.6</v>
      </c>
      <c r="DY20" s="38" t="n">
        <v>1</v>
      </c>
      <c r="DZ20" s="38" t="n">
        <v>0</v>
      </c>
      <c r="EA20" s="38" t="n">
        <v>-18.2</v>
      </c>
      <c r="EB20" s="38" t="n">
        <v>1.5</v>
      </c>
      <c r="EC20" s="38" t="n">
        <v>1</v>
      </c>
      <c r="ED20" s="38" t="n">
        <v>0.08</v>
      </c>
      <c r="EE20" s="38" t="n">
        <v>0.038</v>
      </c>
      <c r="EF20" s="38" t="n">
        <v>0</v>
      </c>
      <c r="EG20" s="38" t="n">
        <v>5</v>
      </c>
      <c r="EH20" s="38" t="n">
        <v>1</v>
      </c>
      <c r="EI20" s="39"/>
      <c r="EJ20" s="39"/>
      <c r="EK20" s="40"/>
      <c r="EL20" s="65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40"/>
      <c r="FM20" s="37" t="n">
        <v>47</v>
      </c>
      <c r="FN20" s="38" t="n">
        <v>1</v>
      </c>
      <c r="FO20" s="38" t="n">
        <v>-70</v>
      </c>
      <c r="FP20" s="38" t="n">
        <v>0</v>
      </c>
      <c r="FQ20" s="38" t="n">
        <v>-11</v>
      </c>
      <c r="FR20" s="38" t="n">
        <v>8</v>
      </c>
      <c r="FS20" s="38" t="n">
        <v>1</v>
      </c>
      <c r="FT20" s="38" t="n">
        <v>0.03</v>
      </c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40"/>
      <c r="GN20" s="65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40"/>
      <c r="HO20" s="65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40"/>
      <c r="IP20" s="65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40"/>
      <c r="JQ20" s="65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66"/>
    </row>
    <row r="21" s="67" customFormat="true" ht="15" hidden="false" customHeight="false" outlineLevel="0" collapsed="false">
      <c r="A21" s="42" t="str">
        <f aca="false">Neu!B21</f>
        <v>B9</v>
      </c>
      <c r="B21" s="43" t="s">
        <v>51</v>
      </c>
      <c r="C21" s="39"/>
      <c r="D21" s="61" t="n">
        <v>0.0114</v>
      </c>
      <c r="E21" s="62" t="n">
        <v>0.45</v>
      </c>
      <c r="F21" s="63" t="n">
        <v>-67</v>
      </c>
      <c r="G21" s="62" t="n">
        <v>85</v>
      </c>
      <c r="H21" s="64" t="n">
        <v>3</v>
      </c>
      <c r="I21" s="64" t="n">
        <v>30</v>
      </c>
      <c r="J21" s="64" t="n">
        <v>0</v>
      </c>
      <c r="K21" s="64" t="n">
        <v>-22.2</v>
      </c>
      <c r="L21" s="64" t="n">
        <v>15</v>
      </c>
      <c r="M21" s="64" t="n">
        <v>1</v>
      </c>
      <c r="N21" s="64" t="n">
        <v>0.006</v>
      </c>
      <c r="O21" s="64" t="n">
        <v>0.001</v>
      </c>
      <c r="P21" s="64" t="n">
        <v>-28.2</v>
      </c>
      <c r="Q21" s="64" t="n">
        <v>12</v>
      </c>
      <c r="R21" s="64" t="n">
        <v>1</v>
      </c>
      <c r="S21" s="44"/>
      <c r="T21" s="41"/>
      <c r="U21" s="41"/>
      <c r="V21" s="64" t="n">
        <v>0</v>
      </c>
      <c r="W21" s="64" t="n">
        <v>-12</v>
      </c>
      <c r="X21" s="64" t="n">
        <v>15</v>
      </c>
      <c r="Y21" s="64" t="n">
        <v>1</v>
      </c>
      <c r="Z21" s="64" t="n">
        <v>0.02</v>
      </c>
      <c r="AA21" s="64" t="n">
        <v>0.005</v>
      </c>
      <c r="AB21" s="64" t="n">
        <v>-7</v>
      </c>
      <c r="AC21" s="64" t="n">
        <v>30</v>
      </c>
      <c r="AD21" s="64" t="n">
        <v>1</v>
      </c>
      <c r="AE21" s="41"/>
      <c r="AF21" s="41"/>
      <c r="AG21" s="30"/>
      <c r="AH21" s="37" t="n">
        <v>60</v>
      </c>
      <c r="AI21" s="38" t="n">
        <v>4</v>
      </c>
      <c r="AJ21" s="64" t="n">
        <v>-70</v>
      </c>
      <c r="AK21" s="64" t="n">
        <v>0</v>
      </c>
      <c r="AL21" s="64" t="n">
        <v>-19</v>
      </c>
      <c r="AM21" s="64" t="n">
        <v>9</v>
      </c>
      <c r="AN21" s="64" t="n">
        <v>1</v>
      </c>
      <c r="AO21" s="64" t="n">
        <v>0.05</v>
      </c>
      <c r="AP21" s="64" t="n">
        <v>0.004</v>
      </c>
      <c r="AQ21" s="64" t="n">
        <v>-4</v>
      </c>
      <c r="AR21" s="64" t="n">
        <v>10</v>
      </c>
      <c r="AS21" s="64" t="n">
        <v>1</v>
      </c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40"/>
      <c r="BI21" s="46" t="n">
        <v>3.3</v>
      </c>
      <c r="BJ21" s="47" t="n">
        <v>1</v>
      </c>
      <c r="BK21" s="47" t="n">
        <v>-70</v>
      </c>
      <c r="BL21" s="47" t="n">
        <v>0</v>
      </c>
      <c r="BM21" s="47" t="n">
        <v>-54</v>
      </c>
      <c r="BN21" s="47" t="n">
        <v>5.6</v>
      </c>
      <c r="BO21" s="47" t="n">
        <v>1</v>
      </c>
      <c r="BP21" s="47" t="n">
        <v>0.03</v>
      </c>
      <c r="BQ21" s="47" t="n">
        <v>0.001</v>
      </c>
      <c r="BR21" s="47" t="n">
        <v>-40</v>
      </c>
      <c r="BS21" s="47" t="n">
        <v>5.7</v>
      </c>
      <c r="BT21" s="47" t="n">
        <v>1</v>
      </c>
      <c r="BU21" s="48"/>
      <c r="BV21" s="48"/>
      <c r="BW21" s="48"/>
      <c r="BX21" s="47" t="n">
        <v>0</v>
      </c>
      <c r="BY21" s="47" t="n">
        <v>-76</v>
      </c>
      <c r="BZ21" s="47" t="n">
        <v>4.3</v>
      </c>
      <c r="CA21" s="47" t="n">
        <v>1</v>
      </c>
      <c r="CB21" s="47" t="n">
        <v>0.03</v>
      </c>
      <c r="CC21" s="39"/>
      <c r="CD21" s="39"/>
      <c r="CE21" s="39"/>
      <c r="CF21" s="39"/>
      <c r="CG21" s="39"/>
      <c r="CH21" s="39"/>
      <c r="CI21" s="40"/>
      <c r="CJ21" s="37" t="n">
        <v>0.23</v>
      </c>
      <c r="CK21" s="38" t="n">
        <v>1</v>
      </c>
      <c r="CL21" s="38" t="n">
        <v>60</v>
      </c>
      <c r="CM21" s="38" t="n">
        <v>0</v>
      </c>
      <c r="CN21" s="38" t="n">
        <v>-3</v>
      </c>
      <c r="CO21" s="38" t="n">
        <v>7.89</v>
      </c>
      <c r="CP21" s="38" t="n">
        <v>1</v>
      </c>
      <c r="CQ21" s="38" t="n">
        <v>0.06</v>
      </c>
      <c r="CR21" s="38" t="n">
        <v>0.002</v>
      </c>
      <c r="CS21" s="38" t="n">
        <v>-10</v>
      </c>
      <c r="CT21" s="38" t="n">
        <v>-13</v>
      </c>
      <c r="CU21" s="38" t="n">
        <v>1</v>
      </c>
      <c r="CV21" s="38" t="n">
        <v>10</v>
      </c>
      <c r="CW21" s="38" t="n">
        <v>13</v>
      </c>
      <c r="CX21" s="38" t="n">
        <v>1</v>
      </c>
      <c r="CY21" s="38" t="n">
        <v>0</v>
      </c>
      <c r="CZ21" s="38" t="n">
        <v>-17</v>
      </c>
      <c r="DA21" s="38" t="n">
        <v>0.95</v>
      </c>
      <c r="DB21" s="38" t="n">
        <v>1</v>
      </c>
      <c r="DC21" s="38" t="n">
        <v>0.12</v>
      </c>
      <c r="DD21" s="39"/>
      <c r="DE21" s="39"/>
      <c r="DF21" s="39"/>
      <c r="DG21" s="39"/>
      <c r="DH21" s="39"/>
      <c r="DI21" s="39"/>
      <c r="DJ21" s="40"/>
      <c r="DK21" s="37" t="n">
        <v>0.4</v>
      </c>
      <c r="DL21" s="38" t="n">
        <v>1</v>
      </c>
      <c r="DM21" s="38" t="n">
        <v>60</v>
      </c>
      <c r="DN21" s="38" t="n">
        <v>0</v>
      </c>
      <c r="DO21" s="38" t="n">
        <v>2</v>
      </c>
      <c r="DP21" s="38" t="n">
        <v>7.25</v>
      </c>
      <c r="DQ21" s="38" t="n">
        <v>1</v>
      </c>
      <c r="DR21" s="38" t="n">
        <v>0.03</v>
      </c>
      <c r="DS21" s="38" t="n">
        <v>0.001</v>
      </c>
      <c r="DT21" s="38" t="n">
        <v>-10</v>
      </c>
      <c r="DU21" s="38" t="n">
        <v>-5.3</v>
      </c>
      <c r="DV21" s="38" t="n">
        <v>1</v>
      </c>
      <c r="DW21" s="38" t="n">
        <v>14</v>
      </c>
      <c r="DX21" s="38" t="n">
        <v>5.6</v>
      </c>
      <c r="DY21" s="38" t="n">
        <v>1</v>
      </c>
      <c r="DZ21" s="38" t="n">
        <v>0</v>
      </c>
      <c r="EA21" s="38" t="n">
        <v>-18.2</v>
      </c>
      <c r="EB21" s="38" t="n">
        <v>1.5</v>
      </c>
      <c r="EC21" s="38" t="n">
        <v>1</v>
      </c>
      <c r="ED21" s="38" t="n">
        <v>0.08</v>
      </c>
      <c r="EE21" s="38" t="n">
        <v>0.038</v>
      </c>
      <c r="EF21" s="38" t="n">
        <v>0</v>
      </c>
      <c r="EG21" s="38" t="n">
        <v>5</v>
      </c>
      <c r="EH21" s="38" t="n">
        <v>1</v>
      </c>
      <c r="EI21" s="39"/>
      <c r="EJ21" s="39"/>
      <c r="EK21" s="40"/>
      <c r="EL21" s="65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40"/>
      <c r="FM21" s="37" t="n">
        <v>70</v>
      </c>
      <c r="FN21" s="38" t="n">
        <v>1</v>
      </c>
      <c r="FO21" s="38" t="n">
        <v>-70</v>
      </c>
      <c r="FP21" s="38" t="n">
        <v>0</v>
      </c>
      <c r="FQ21" s="38" t="n">
        <v>-11</v>
      </c>
      <c r="FR21" s="38" t="n">
        <v>8</v>
      </c>
      <c r="FS21" s="38" t="n">
        <v>1</v>
      </c>
      <c r="FT21" s="38" t="n">
        <v>0.03</v>
      </c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40"/>
      <c r="GN21" s="65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40"/>
      <c r="HO21" s="65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40"/>
      <c r="IP21" s="65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40"/>
      <c r="JQ21" s="65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66"/>
    </row>
    <row r="22" s="67" customFormat="true" ht="15" hidden="false" customHeight="false" outlineLevel="0" collapsed="false">
      <c r="A22" s="42" t="str">
        <f aca="false">Neu!B22</f>
        <v>B3</v>
      </c>
      <c r="B22" s="43" t="s">
        <v>52</v>
      </c>
      <c r="C22" s="29"/>
      <c r="D22" s="30" t="n">
        <v>0.0165</v>
      </c>
      <c r="E22" s="31"/>
      <c r="F22" s="63"/>
      <c r="G22" s="68" t="n">
        <v>60</v>
      </c>
      <c r="H22" s="69" t="n">
        <v>3</v>
      </c>
      <c r="I22" s="69" t="n">
        <v>30</v>
      </c>
      <c r="J22" s="69" t="n">
        <v>0</v>
      </c>
      <c r="K22" s="69" t="n">
        <v>-39.5</v>
      </c>
      <c r="L22" s="69" t="n">
        <v>5</v>
      </c>
      <c r="M22" s="69" t="n">
        <v>1</v>
      </c>
      <c r="N22" s="69" t="n">
        <v>0.006</v>
      </c>
      <c r="O22" s="69" t="n">
        <v>0.001</v>
      </c>
      <c r="P22" s="69" t="n">
        <v>-45.5</v>
      </c>
      <c r="Q22" s="69" t="n">
        <v>4</v>
      </c>
      <c r="R22" s="69" t="n">
        <v>1</v>
      </c>
      <c r="S22" s="39"/>
      <c r="T22" s="39"/>
      <c r="U22" s="39"/>
      <c r="V22" s="64" t="n">
        <v>0</v>
      </c>
      <c r="W22" s="64" t="n">
        <v>-45.5</v>
      </c>
      <c r="X22" s="64" t="n">
        <v>5</v>
      </c>
      <c r="Y22" s="64" t="n">
        <v>1</v>
      </c>
      <c r="Z22" s="64" t="n">
        <v>0.02</v>
      </c>
      <c r="AA22" s="64" t="n">
        <v>0.005</v>
      </c>
      <c r="AB22" s="64" t="n">
        <v>-40.5</v>
      </c>
      <c r="AC22" s="64" t="n">
        <v>10</v>
      </c>
      <c r="AD22" s="64" t="n">
        <v>1</v>
      </c>
      <c r="AE22" s="41"/>
      <c r="AF22" s="41"/>
      <c r="AG22" s="30"/>
      <c r="AH22" s="37" t="n">
        <v>100</v>
      </c>
      <c r="AI22" s="38" t="n">
        <v>4</v>
      </c>
      <c r="AJ22" s="64" t="n">
        <v>-70</v>
      </c>
      <c r="AK22" s="64" t="n">
        <v>0</v>
      </c>
      <c r="AL22" s="64" t="n">
        <v>-19</v>
      </c>
      <c r="AM22" s="64" t="n">
        <v>9</v>
      </c>
      <c r="AN22" s="64" t="n">
        <v>1</v>
      </c>
      <c r="AO22" s="64" t="n">
        <v>0.05</v>
      </c>
      <c r="AP22" s="69" t="n">
        <v>0.004</v>
      </c>
      <c r="AQ22" s="69" t="n">
        <v>-4</v>
      </c>
      <c r="AR22" s="70" t="n">
        <v>10</v>
      </c>
      <c r="AS22" s="69" t="n">
        <v>1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2"/>
      <c r="BI22" s="46" t="n">
        <v>25</v>
      </c>
      <c r="BJ22" s="47" t="n">
        <v>1</v>
      </c>
      <c r="BK22" s="47" t="n">
        <v>-70</v>
      </c>
      <c r="BL22" s="47" t="n">
        <v>0</v>
      </c>
      <c r="BM22" s="47" t="n">
        <v>-54</v>
      </c>
      <c r="BN22" s="47" t="n">
        <v>5.6</v>
      </c>
      <c r="BO22" s="47" t="n">
        <v>1</v>
      </c>
      <c r="BP22" s="47" t="n">
        <v>0.03</v>
      </c>
      <c r="BQ22" s="47" t="n">
        <v>0.001</v>
      </c>
      <c r="BR22" s="47" t="n">
        <v>-40</v>
      </c>
      <c r="BS22" s="47" t="n">
        <v>5.7</v>
      </c>
      <c r="BT22" s="47" t="n">
        <v>1</v>
      </c>
      <c r="BU22" s="48"/>
      <c r="BV22" s="48"/>
      <c r="BW22" s="48"/>
      <c r="BX22" s="47" t="n">
        <v>0</v>
      </c>
      <c r="BY22" s="47" t="n">
        <v>-76</v>
      </c>
      <c r="BZ22" s="47" t="n">
        <v>4.3</v>
      </c>
      <c r="CA22" s="47" t="n">
        <v>1</v>
      </c>
      <c r="CB22" s="47" t="n">
        <v>0.03</v>
      </c>
      <c r="CC22" s="39"/>
      <c r="CD22" s="39"/>
      <c r="CE22" s="39"/>
      <c r="CF22" s="39"/>
      <c r="CG22" s="39"/>
      <c r="CH22" s="39"/>
      <c r="CI22" s="40"/>
      <c r="CJ22" s="37" t="n">
        <v>0.23</v>
      </c>
      <c r="CK22" s="38" t="n">
        <v>1</v>
      </c>
      <c r="CL22" s="38" t="n">
        <v>60</v>
      </c>
      <c r="CM22" s="38" t="n">
        <v>0</v>
      </c>
      <c r="CN22" s="38" t="n">
        <v>-3</v>
      </c>
      <c r="CO22" s="38" t="n">
        <v>7.89</v>
      </c>
      <c r="CP22" s="38" t="n">
        <v>1</v>
      </c>
      <c r="CQ22" s="38" t="n">
        <v>0.06</v>
      </c>
      <c r="CR22" s="38" t="n">
        <v>0.002</v>
      </c>
      <c r="CS22" s="38" t="n">
        <v>-10</v>
      </c>
      <c r="CT22" s="38" t="n">
        <v>-13</v>
      </c>
      <c r="CU22" s="38" t="n">
        <v>1</v>
      </c>
      <c r="CV22" s="38" t="n">
        <v>10</v>
      </c>
      <c r="CW22" s="38" t="n">
        <v>13</v>
      </c>
      <c r="CX22" s="38" t="n">
        <v>1</v>
      </c>
      <c r="CY22" s="38" t="n">
        <v>0</v>
      </c>
      <c r="CZ22" s="38" t="n">
        <v>-17</v>
      </c>
      <c r="DA22" s="38" t="n">
        <v>0.95</v>
      </c>
      <c r="DB22" s="38" t="n">
        <v>1</v>
      </c>
      <c r="DC22" s="38" t="n">
        <v>0.12</v>
      </c>
      <c r="DD22" s="39"/>
      <c r="DE22" s="39"/>
      <c r="DF22" s="39"/>
      <c r="DG22" s="39"/>
      <c r="DH22" s="39"/>
      <c r="DI22" s="39"/>
      <c r="DJ22" s="40"/>
      <c r="DK22" s="37" t="n">
        <v>0.4</v>
      </c>
      <c r="DL22" s="38" t="n">
        <v>1</v>
      </c>
      <c r="DM22" s="38" t="n">
        <v>60</v>
      </c>
      <c r="DN22" s="38" t="n">
        <v>0</v>
      </c>
      <c r="DO22" s="38" t="n">
        <v>2</v>
      </c>
      <c r="DP22" s="38" t="n">
        <v>7.25</v>
      </c>
      <c r="DQ22" s="38" t="n">
        <v>1</v>
      </c>
      <c r="DR22" s="38" t="n">
        <v>0.03</v>
      </c>
      <c r="DS22" s="38" t="n">
        <v>0.001</v>
      </c>
      <c r="DT22" s="38" t="n">
        <v>-10</v>
      </c>
      <c r="DU22" s="38" t="n">
        <v>-5.3</v>
      </c>
      <c r="DV22" s="38" t="n">
        <v>1</v>
      </c>
      <c r="DW22" s="38" t="n">
        <v>14</v>
      </c>
      <c r="DX22" s="38" t="n">
        <v>5.6</v>
      </c>
      <c r="DY22" s="38" t="n">
        <v>1</v>
      </c>
      <c r="DZ22" s="38" t="n">
        <v>0</v>
      </c>
      <c r="EA22" s="38" t="n">
        <v>-18.2</v>
      </c>
      <c r="EB22" s="38" t="n">
        <v>1.5</v>
      </c>
      <c r="EC22" s="38" t="n">
        <v>1</v>
      </c>
      <c r="ED22" s="38" t="n">
        <v>0.08</v>
      </c>
      <c r="EE22" s="38" t="n">
        <v>0.038</v>
      </c>
      <c r="EF22" s="38" t="n">
        <v>0</v>
      </c>
      <c r="EG22" s="38" t="n">
        <v>5</v>
      </c>
      <c r="EH22" s="38" t="n">
        <v>1</v>
      </c>
      <c r="EI22" s="39"/>
      <c r="EJ22" s="39"/>
      <c r="EK22" s="40"/>
      <c r="EL22" s="65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40"/>
      <c r="FM22" s="37" t="n">
        <v>70</v>
      </c>
      <c r="FN22" s="38" t="n">
        <v>1</v>
      </c>
      <c r="FO22" s="38" t="n">
        <v>-70</v>
      </c>
      <c r="FP22" s="38" t="n">
        <v>0</v>
      </c>
      <c r="FQ22" s="38" t="n">
        <v>-11</v>
      </c>
      <c r="FR22" s="38" t="n">
        <v>8</v>
      </c>
      <c r="FS22" s="38" t="n">
        <v>1</v>
      </c>
      <c r="FT22" s="38" t="n">
        <v>0.009</v>
      </c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41"/>
      <c r="GM22" s="30"/>
      <c r="GN22" s="3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30"/>
      <c r="HO22" s="3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30"/>
      <c r="IP22" s="3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30"/>
      <c r="JQ22" s="3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32"/>
    </row>
    <row r="23" s="67" customFormat="true" ht="15" hidden="false" customHeight="false" outlineLevel="0" collapsed="false">
      <c r="A23" s="42" t="str">
        <f aca="false">Neu!B23</f>
        <v>B91</v>
      </c>
      <c r="B23" s="43" t="s">
        <v>53</v>
      </c>
      <c r="C23" s="29"/>
      <c r="D23" s="30" t="n">
        <v>0.002</v>
      </c>
      <c r="E23" s="31" t="n">
        <v>0.3</v>
      </c>
      <c r="F23" s="32" t="n">
        <v>-72</v>
      </c>
      <c r="G23" s="31" t="n">
        <v>70</v>
      </c>
      <c r="H23" s="41" t="n">
        <v>3</v>
      </c>
      <c r="I23" s="41" t="n">
        <v>60</v>
      </c>
      <c r="J23" s="41" t="n">
        <v>0</v>
      </c>
      <c r="K23" s="41" t="n">
        <v>-16.6</v>
      </c>
      <c r="L23" s="41" t="n">
        <v>6.66</v>
      </c>
      <c r="M23" s="41" t="n">
        <v>1</v>
      </c>
      <c r="N23" s="41" t="n">
        <v>0.035</v>
      </c>
      <c r="O23" s="41" t="n">
        <v>0.00024</v>
      </c>
      <c r="P23" s="41" t="n">
        <v>-30</v>
      </c>
      <c r="Q23" s="41" t="n">
        <v>5.382</v>
      </c>
      <c r="R23" s="41" t="n">
        <v>1</v>
      </c>
      <c r="S23" s="41" t="n">
        <v>-17</v>
      </c>
      <c r="T23" s="41" t="n">
        <v>-9.9</v>
      </c>
      <c r="U23" s="41" t="n">
        <v>1</v>
      </c>
      <c r="V23" s="41" t="n">
        <v>0</v>
      </c>
      <c r="W23" s="41" t="n">
        <v>-24</v>
      </c>
      <c r="X23" s="41" t="n">
        <v>3.807</v>
      </c>
      <c r="Y23" s="41" t="n">
        <v>1</v>
      </c>
      <c r="Z23" s="41" t="n">
        <v>0.042</v>
      </c>
      <c r="AA23" s="41" t="n">
        <v>0.001</v>
      </c>
      <c r="AB23" s="41" t="n">
        <v>-32</v>
      </c>
      <c r="AC23" s="41" t="n">
        <v>14.472</v>
      </c>
      <c r="AD23" s="41" t="n">
        <v>1</v>
      </c>
      <c r="AE23" s="41"/>
      <c r="AF23" s="41"/>
      <c r="AG23" s="30"/>
      <c r="AH23" s="31" t="n">
        <v>3</v>
      </c>
      <c r="AI23" s="41" t="n">
        <v>1</v>
      </c>
      <c r="AJ23" s="41" t="n">
        <v>-70</v>
      </c>
      <c r="AK23" s="41" t="n">
        <v>0</v>
      </c>
      <c r="AL23" s="41" t="n">
        <v>2</v>
      </c>
      <c r="AM23" s="41" t="n">
        <v>8</v>
      </c>
      <c r="AN23" s="41" t="n">
        <v>1</v>
      </c>
      <c r="AO23" s="41" t="n">
        <v>0.01</v>
      </c>
      <c r="AP23" s="41"/>
      <c r="AQ23" s="41"/>
      <c r="AR23" s="41"/>
      <c r="AS23" s="41"/>
      <c r="AT23" s="41"/>
      <c r="AU23" s="41"/>
      <c r="AV23" s="41"/>
      <c r="AW23" s="41" t="n">
        <v>0.364</v>
      </c>
      <c r="AX23" s="41" t="n">
        <v>-10.5</v>
      </c>
      <c r="AY23" s="41" t="n">
        <v>4.6</v>
      </c>
      <c r="AZ23" s="41" t="n">
        <v>1</v>
      </c>
      <c r="BA23" s="41" t="n">
        <v>3</v>
      </c>
      <c r="BB23" s="41" t="n">
        <v>0.26</v>
      </c>
      <c r="BC23" s="41" t="n">
        <v>-14</v>
      </c>
      <c r="BD23" s="41" t="n">
        <v>7</v>
      </c>
      <c r="BE23" s="41" t="n">
        <v>1</v>
      </c>
      <c r="BF23" s="41"/>
      <c r="BG23" s="41"/>
      <c r="BH23" s="30"/>
      <c r="BI23" s="31" t="n">
        <v>1.4</v>
      </c>
      <c r="BJ23" s="41" t="n">
        <v>1</v>
      </c>
      <c r="BK23" s="41" t="n">
        <v>-70</v>
      </c>
      <c r="BL23" s="41" t="n">
        <v>0</v>
      </c>
      <c r="BM23" s="41" t="n">
        <v>-29</v>
      </c>
      <c r="BN23" s="41" t="n">
        <v>5.6</v>
      </c>
      <c r="BO23" s="41" t="n">
        <v>1</v>
      </c>
      <c r="BP23" s="41" t="n">
        <v>0.03</v>
      </c>
      <c r="BQ23" s="41" t="n">
        <v>0.001</v>
      </c>
      <c r="BR23" s="41" t="n">
        <v>-30</v>
      </c>
      <c r="BS23" s="41" t="n">
        <v>5.7</v>
      </c>
      <c r="BT23" s="41" t="n">
        <v>1</v>
      </c>
      <c r="BU23" s="41"/>
      <c r="BV23" s="41"/>
      <c r="BW23" s="41"/>
      <c r="BX23" s="41" t="n">
        <v>0</v>
      </c>
      <c r="BY23" s="41" t="n">
        <v>-56</v>
      </c>
      <c r="BZ23" s="41" t="n">
        <v>4.3</v>
      </c>
      <c r="CA23" s="41" t="n">
        <v>1</v>
      </c>
      <c r="CB23" s="41" t="n">
        <v>0.06</v>
      </c>
      <c r="CC23" s="41"/>
      <c r="CD23" s="41"/>
      <c r="CE23" s="41"/>
      <c r="CF23" s="41"/>
      <c r="CG23" s="41"/>
      <c r="CH23" s="41"/>
      <c r="CI23" s="30"/>
      <c r="CJ23" s="31" t="n">
        <v>0.23</v>
      </c>
      <c r="CK23" s="41" t="n">
        <v>1</v>
      </c>
      <c r="CL23" s="41" t="n">
        <v>60</v>
      </c>
      <c r="CM23" s="41" t="n">
        <v>0</v>
      </c>
      <c r="CN23" s="41" t="n">
        <v>-8</v>
      </c>
      <c r="CO23" s="41" t="n">
        <v>7.89</v>
      </c>
      <c r="CP23" s="41" t="n">
        <v>1</v>
      </c>
      <c r="CQ23" s="41" t="n">
        <v>0.06</v>
      </c>
      <c r="CR23" s="41" t="n">
        <v>0.002</v>
      </c>
      <c r="CS23" s="41" t="n">
        <v>-15</v>
      </c>
      <c r="CT23" s="41" t="n">
        <v>-13</v>
      </c>
      <c r="CU23" s="41" t="n">
        <v>1</v>
      </c>
      <c r="CV23" s="41" t="n">
        <v>5</v>
      </c>
      <c r="CW23" s="41" t="n">
        <v>13</v>
      </c>
      <c r="CX23" s="41" t="n">
        <v>1</v>
      </c>
      <c r="CY23" s="41" t="n">
        <v>0</v>
      </c>
      <c r="CZ23" s="41" t="n">
        <v>-22</v>
      </c>
      <c r="DA23" s="41" t="n">
        <v>0.95</v>
      </c>
      <c r="DB23" s="41" t="n">
        <v>1</v>
      </c>
      <c r="DC23" s="41" t="n">
        <v>0.12</v>
      </c>
      <c r="DD23" s="41"/>
      <c r="DE23" s="41"/>
      <c r="DF23" s="41"/>
      <c r="DG23" s="41"/>
      <c r="DH23" s="41"/>
      <c r="DI23" s="41"/>
      <c r="DJ23" s="30"/>
      <c r="DK23" s="31" t="n">
        <v>0.4</v>
      </c>
      <c r="DL23" s="41" t="n">
        <v>1</v>
      </c>
      <c r="DM23" s="41" t="n">
        <v>60</v>
      </c>
      <c r="DN23" s="41" t="n">
        <v>0</v>
      </c>
      <c r="DO23" s="41" t="n">
        <v>2</v>
      </c>
      <c r="DP23" s="41" t="n">
        <v>7.25</v>
      </c>
      <c r="DQ23" s="41" t="n">
        <v>1</v>
      </c>
      <c r="DR23" s="41" t="n">
        <v>0.03</v>
      </c>
      <c r="DS23" s="41" t="n">
        <v>0.001</v>
      </c>
      <c r="DT23" s="41" t="n">
        <v>-10</v>
      </c>
      <c r="DU23" s="41" t="n">
        <v>-5.3</v>
      </c>
      <c r="DV23" s="41" t="n">
        <v>1</v>
      </c>
      <c r="DW23" s="41" t="n">
        <v>14</v>
      </c>
      <c r="DX23" s="41" t="n">
        <v>5.6</v>
      </c>
      <c r="DY23" s="41" t="n">
        <v>1</v>
      </c>
      <c r="DZ23" s="41" t="n">
        <v>0</v>
      </c>
      <c r="EA23" s="41" t="n">
        <v>-18.2</v>
      </c>
      <c r="EB23" s="41" t="n">
        <v>1.5</v>
      </c>
      <c r="EC23" s="41" t="n">
        <v>1</v>
      </c>
      <c r="ED23" s="41" t="n">
        <v>0.08</v>
      </c>
      <c r="EE23" s="41" t="n">
        <v>0.038</v>
      </c>
      <c r="EF23" s="41" t="n">
        <v>0</v>
      </c>
      <c r="EG23" s="41" t="n">
        <v>5</v>
      </c>
      <c r="EH23" s="41" t="n">
        <v>1</v>
      </c>
      <c r="EI23" s="41"/>
      <c r="EJ23" s="41"/>
      <c r="EK23" s="30"/>
      <c r="EL23" s="3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30"/>
      <c r="FM23" s="31" t="n">
        <v>1</v>
      </c>
      <c r="FN23" s="41" t="n">
        <v>1</v>
      </c>
      <c r="FO23" s="41" t="n">
        <v>-70</v>
      </c>
      <c r="FP23" s="41" t="n">
        <v>0</v>
      </c>
      <c r="FQ23" s="41" t="n">
        <v>-8</v>
      </c>
      <c r="FR23" s="41" t="n">
        <v>8</v>
      </c>
      <c r="FS23" s="41" t="n">
        <v>1</v>
      </c>
      <c r="FT23" s="41" t="n">
        <v>0.009</v>
      </c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30"/>
      <c r="GN23" s="31" t="n">
        <v>0.15</v>
      </c>
      <c r="GO23" s="41" t="n">
        <v>1</v>
      </c>
      <c r="GP23" s="41" t="n">
        <v>-70</v>
      </c>
      <c r="GQ23" s="41" t="n">
        <v>0</v>
      </c>
      <c r="GR23" s="41" t="n">
        <v>12</v>
      </c>
      <c r="GS23" s="41" t="n">
        <v>0.24</v>
      </c>
      <c r="GT23" s="41" t="n">
        <v>1</v>
      </c>
      <c r="GU23" s="41" t="n">
        <v>0.01</v>
      </c>
      <c r="GV23" s="41"/>
      <c r="GW23" s="41"/>
      <c r="GX23" s="41"/>
      <c r="GY23" s="41"/>
      <c r="GZ23" s="41"/>
      <c r="HA23" s="41"/>
      <c r="HB23" s="41"/>
      <c r="HC23" s="41" t="n">
        <v>0.1</v>
      </c>
      <c r="HD23" s="41" t="n">
        <v>-35</v>
      </c>
      <c r="HE23" s="41" t="n">
        <v>5</v>
      </c>
      <c r="HF23" s="41" t="n">
        <v>1</v>
      </c>
      <c r="HG23" s="41" t="n">
        <v>0.8</v>
      </c>
      <c r="HH23" s="41" t="n">
        <v>0.08</v>
      </c>
      <c r="HI23" s="41" t="n">
        <v>18</v>
      </c>
      <c r="HJ23" s="41" t="n">
        <v>-2</v>
      </c>
      <c r="HK23" s="41" t="n">
        <v>1</v>
      </c>
      <c r="HL23" s="41" t="n">
        <v>20</v>
      </c>
      <c r="HM23" s="41" t="n">
        <v>2</v>
      </c>
      <c r="HN23" s="30" t="n">
        <v>1</v>
      </c>
      <c r="HO23" s="31" t="n">
        <v>0.1</v>
      </c>
      <c r="HP23" s="41" t="n">
        <v>1</v>
      </c>
      <c r="HQ23" s="41" t="n">
        <v>60</v>
      </c>
      <c r="HR23" s="41" t="n">
        <v>0</v>
      </c>
      <c r="HS23" s="41" t="n">
        <v>-48</v>
      </c>
      <c r="HT23" s="41" t="n">
        <v>3</v>
      </c>
      <c r="HU23" s="41" t="n">
        <v>1</v>
      </c>
      <c r="HV23" s="41" t="n">
        <v>0.01</v>
      </c>
      <c r="HW23" s="41"/>
      <c r="HX23" s="41"/>
      <c r="HY23" s="41"/>
      <c r="HZ23" s="41"/>
      <c r="IA23" s="41"/>
      <c r="IB23" s="41"/>
      <c r="IC23" s="41"/>
      <c r="ID23" s="41" t="n">
        <v>0.6</v>
      </c>
      <c r="IE23" s="41" t="n">
        <v>-62</v>
      </c>
      <c r="IF23" s="41" t="n">
        <v>1</v>
      </c>
      <c r="IG23" s="41" t="n">
        <v>1</v>
      </c>
      <c r="IH23" s="41" t="n">
        <v>2.5</v>
      </c>
      <c r="II23" s="41" t="n">
        <v>0.25</v>
      </c>
      <c r="IJ23" s="41" t="n">
        <v>-55</v>
      </c>
      <c r="IK23" s="41" t="n">
        <v>-1.5</v>
      </c>
      <c r="IL23" s="41" t="n">
        <v>1</v>
      </c>
      <c r="IM23" s="41" t="n">
        <v>-42</v>
      </c>
      <c r="IN23" s="41" t="n">
        <v>1.5</v>
      </c>
      <c r="IO23" s="30" t="n">
        <v>1</v>
      </c>
      <c r="IP23" s="3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30"/>
      <c r="JQ23" s="3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32"/>
    </row>
    <row r="24" customFormat="false" ht="15.75" hidden="false" customHeight="false" outlineLevel="0" collapsed="false">
      <c r="A24" s="42" t="str">
        <f aca="false">Neu!B24</f>
        <v>B52b</v>
      </c>
      <c r="B24" s="43" t="s">
        <v>54</v>
      </c>
      <c r="C24" s="29"/>
      <c r="D24" s="49" t="n">
        <v>0.0047</v>
      </c>
      <c r="E24" s="73" t="n">
        <f aca="false">E15</f>
        <v>0.0487</v>
      </c>
      <c r="F24" s="74" t="n">
        <f aca="false">F15</f>
        <v>-62</v>
      </c>
      <c r="G24" s="31" t="n">
        <v>25</v>
      </c>
      <c r="H24" s="41" t="n">
        <v>3</v>
      </c>
      <c r="I24" s="41" t="n">
        <v>30</v>
      </c>
      <c r="J24" s="41" t="n">
        <v>0</v>
      </c>
      <c r="K24" s="41" t="n">
        <v>-35.75</v>
      </c>
      <c r="L24" s="41" t="n">
        <v>4</v>
      </c>
      <c r="M24" s="41" t="n">
        <v>1</v>
      </c>
      <c r="N24" s="41" t="n">
        <v>0.006</v>
      </c>
      <c r="O24" s="41" t="n">
        <v>0.001</v>
      </c>
      <c r="P24" s="41" t="n">
        <v>-41.75</v>
      </c>
      <c r="Q24" s="41" t="n">
        <v>3</v>
      </c>
      <c r="R24" s="41" t="n">
        <v>1</v>
      </c>
      <c r="S24" s="41"/>
      <c r="T24" s="41"/>
      <c r="U24" s="41"/>
      <c r="V24" s="41" t="n">
        <v>0</v>
      </c>
      <c r="W24" s="41" t="n">
        <v>-41.75</v>
      </c>
      <c r="X24" s="41" t="n">
        <v>4</v>
      </c>
      <c r="Y24" s="41" t="n">
        <v>1</v>
      </c>
      <c r="Z24" s="41" t="n">
        <v>0.02</v>
      </c>
      <c r="AA24" s="41" t="n">
        <v>0.005</v>
      </c>
      <c r="AB24" s="41" t="n">
        <v>-36.75</v>
      </c>
      <c r="AC24" s="41" t="n">
        <v>9</v>
      </c>
      <c r="AD24" s="41" t="n">
        <v>1</v>
      </c>
      <c r="AE24" s="51"/>
      <c r="AF24" s="51"/>
      <c r="AG24" s="52"/>
      <c r="AH24" s="31" t="n">
        <v>18</v>
      </c>
      <c r="AI24" s="41" t="n">
        <v>4</v>
      </c>
      <c r="AJ24" s="41" t="n">
        <v>-70</v>
      </c>
      <c r="AK24" s="41" t="n">
        <v>0</v>
      </c>
      <c r="AL24" s="41" t="n">
        <v>-21.75</v>
      </c>
      <c r="AM24" s="41" t="n">
        <v>8</v>
      </c>
      <c r="AN24" s="41" t="n">
        <v>1</v>
      </c>
      <c r="AO24" s="41" t="n">
        <v>0.04</v>
      </c>
      <c r="AP24" s="41" t="n">
        <v>0.004</v>
      </c>
      <c r="AQ24" s="41" t="n">
        <v>-6.75</v>
      </c>
      <c r="AR24" s="41" t="n">
        <v>9</v>
      </c>
      <c r="AS24" s="41" t="n">
        <v>1</v>
      </c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  <c r="BI24" s="55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7"/>
      <c r="BV24" s="57"/>
      <c r="BW24" s="57"/>
      <c r="BX24" s="56"/>
      <c r="BY24" s="56"/>
      <c r="BZ24" s="56"/>
      <c r="CA24" s="56"/>
      <c r="CB24" s="56"/>
      <c r="CC24" s="53"/>
      <c r="CD24" s="53"/>
      <c r="CE24" s="53"/>
      <c r="CF24" s="53"/>
      <c r="CG24" s="53"/>
      <c r="CH24" s="53"/>
      <c r="CI24" s="54"/>
      <c r="CJ24" s="58" t="n">
        <v>0.23</v>
      </c>
      <c r="CK24" s="58" t="n">
        <v>1</v>
      </c>
      <c r="CL24" s="58" t="n">
        <v>60</v>
      </c>
      <c r="CM24" s="58" t="n">
        <v>0</v>
      </c>
      <c r="CN24" s="58" t="n">
        <v>-3</v>
      </c>
      <c r="CO24" s="58" t="n">
        <v>7.89</v>
      </c>
      <c r="CP24" s="58" t="n">
        <v>1</v>
      </c>
      <c r="CQ24" s="58" t="n">
        <v>0.06</v>
      </c>
      <c r="CR24" s="58" t="n">
        <v>0.002</v>
      </c>
      <c r="CS24" s="58" t="n">
        <v>-10</v>
      </c>
      <c r="CT24" s="58" t="n">
        <v>-13</v>
      </c>
      <c r="CU24" s="58" t="n">
        <v>1</v>
      </c>
      <c r="CV24" s="58" t="n">
        <v>10</v>
      </c>
      <c r="CW24" s="58" t="n">
        <v>13</v>
      </c>
      <c r="CX24" s="58" t="n">
        <v>1</v>
      </c>
      <c r="CY24" s="58" t="n">
        <v>0</v>
      </c>
      <c r="CZ24" s="58" t="n">
        <v>-17</v>
      </c>
      <c r="DA24" s="58" t="n">
        <v>0.95</v>
      </c>
      <c r="DB24" s="58" t="n">
        <v>1</v>
      </c>
      <c r="DC24" s="58" t="n">
        <v>0.12</v>
      </c>
      <c r="DD24" s="53"/>
      <c r="DE24" s="53"/>
      <c r="DF24" s="53"/>
      <c r="DG24" s="53"/>
      <c r="DH24" s="53"/>
      <c r="DI24" s="53"/>
      <c r="DJ24" s="54"/>
      <c r="DK24" s="58" t="n">
        <v>0.4</v>
      </c>
      <c r="DL24" s="58" t="n">
        <v>1</v>
      </c>
      <c r="DM24" s="58" t="n">
        <v>60</v>
      </c>
      <c r="DN24" s="58" t="n">
        <v>0</v>
      </c>
      <c r="DO24" s="58" t="n">
        <v>2</v>
      </c>
      <c r="DP24" s="58" t="n">
        <v>7.25</v>
      </c>
      <c r="DQ24" s="58" t="n">
        <v>1</v>
      </c>
      <c r="DR24" s="58" t="n">
        <v>0.03</v>
      </c>
      <c r="DS24" s="58" t="n">
        <v>0.001</v>
      </c>
      <c r="DT24" s="58" t="n">
        <v>-10</v>
      </c>
      <c r="DU24" s="58" t="n">
        <v>-5.3</v>
      </c>
      <c r="DV24" s="58" t="n">
        <v>1</v>
      </c>
      <c r="DW24" s="58" t="n">
        <v>14</v>
      </c>
      <c r="DX24" s="58" t="n">
        <v>5.6</v>
      </c>
      <c r="DY24" s="58" t="n">
        <v>1</v>
      </c>
      <c r="DZ24" s="58" t="n">
        <v>0</v>
      </c>
      <c r="EA24" s="58" t="n">
        <v>-18.2</v>
      </c>
      <c r="EB24" s="58" t="n">
        <v>1.5</v>
      </c>
      <c r="EC24" s="58" t="n">
        <v>1</v>
      </c>
      <c r="ED24" s="58" t="n">
        <v>0.08</v>
      </c>
      <c r="EE24" s="58" t="n">
        <v>0.038</v>
      </c>
      <c r="EF24" s="58" t="n">
        <v>0</v>
      </c>
      <c r="EG24" s="58" t="n">
        <v>5</v>
      </c>
      <c r="EH24" s="58" t="n">
        <v>1</v>
      </c>
      <c r="EI24" s="53"/>
      <c r="EJ24" s="53"/>
      <c r="EK24" s="54"/>
      <c r="EL24" s="59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4"/>
      <c r="FM24" s="60" t="n">
        <v>5</v>
      </c>
      <c r="FN24" s="58" t="n">
        <v>1</v>
      </c>
      <c r="FO24" s="58" t="n">
        <v>-70</v>
      </c>
      <c r="FP24" s="58" t="n">
        <v>0</v>
      </c>
      <c r="FQ24" s="58" t="n">
        <v>-11</v>
      </c>
      <c r="FR24" s="58" t="n">
        <v>8</v>
      </c>
      <c r="FS24" s="58" t="n">
        <v>1</v>
      </c>
      <c r="FT24" s="58" t="n">
        <v>0.009</v>
      </c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32"/>
      <c r="GN24" s="3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32"/>
      <c r="HO24" s="3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32"/>
      <c r="IP24" s="44" t="n">
        <v>0.0465</v>
      </c>
      <c r="IQ24" s="41" t="n">
        <v>1</v>
      </c>
      <c r="IR24" s="41" t="n">
        <v>-40</v>
      </c>
      <c r="IS24" s="41" t="n">
        <v>0</v>
      </c>
      <c r="IT24" s="41" t="n">
        <v>-64</v>
      </c>
      <c r="IU24" s="41" t="n">
        <v>-4.8</v>
      </c>
      <c r="IV24" s="41" t="n">
        <v>1</v>
      </c>
      <c r="IW24" s="41" t="n">
        <v>45</v>
      </c>
      <c r="IX24" s="41" t="n">
        <v>6</v>
      </c>
      <c r="IY24" s="41" t="n">
        <v>-73</v>
      </c>
      <c r="IZ24" s="41" t="n">
        <v>-9</v>
      </c>
      <c r="JA24" s="41" t="n">
        <v>1</v>
      </c>
      <c r="JB24" s="41" t="n">
        <v>-75</v>
      </c>
      <c r="JC24" s="41" t="n">
        <v>9</v>
      </c>
      <c r="JD24" s="41" t="n">
        <v>1</v>
      </c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32"/>
      <c r="JQ24" s="3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32"/>
    </row>
    <row r="25" customFormat="false" ht="15" hidden="false" customHeight="false" outlineLevel="0" collapsed="false">
      <c r="A25" s="75"/>
      <c r="B25" s="75"/>
      <c r="C25" s="75"/>
      <c r="D25" s="75" t="s">
        <v>55</v>
      </c>
      <c r="E25" s="75" t="n">
        <v>0.3</v>
      </c>
      <c r="F25" s="75" t="n">
        <v>-63</v>
      </c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5"/>
      <c r="AF25" s="75"/>
      <c r="AG25" s="75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5"/>
      <c r="BG25" s="75"/>
      <c r="BH25" s="75"/>
      <c r="BI25" s="76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6"/>
      <c r="DD25" s="76"/>
      <c r="DE25" s="76"/>
      <c r="DF25" s="76"/>
      <c r="DG25" s="76"/>
      <c r="DH25" s="75"/>
      <c r="DI25" s="75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6"/>
      <c r="FF25" s="76"/>
      <c r="FG25" s="76"/>
      <c r="FH25" s="76"/>
      <c r="FI25" s="76"/>
      <c r="FJ25" s="75"/>
      <c r="FK25" s="75"/>
      <c r="FL25" s="76"/>
      <c r="FM25" s="75" t="n">
        <v>1.9</v>
      </c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6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6"/>
      <c r="HN25" s="75"/>
      <c r="HO25" s="76"/>
      <c r="HP25" s="76"/>
      <c r="HQ25" s="76"/>
      <c r="HR25" s="76"/>
      <c r="HS25" s="76"/>
      <c r="HT25" s="76"/>
      <c r="HU25" s="76"/>
      <c r="HV25" s="76"/>
      <c r="HW25" s="76"/>
      <c r="HX25" s="76"/>
      <c r="HY25" s="76"/>
      <c r="HZ25" s="76"/>
      <c r="IA25" s="76"/>
      <c r="IB25" s="76"/>
      <c r="IC25" s="76"/>
      <c r="ID25" s="76"/>
      <c r="IE25" s="76"/>
      <c r="IF25" s="76"/>
      <c r="IG25" s="76"/>
      <c r="IH25" s="76"/>
      <c r="II25" s="75"/>
      <c r="IJ25" s="75"/>
      <c r="IK25" s="75"/>
      <c r="IL25" s="75"/>
      <c r="IM25" s="75"/>
      <c r="IN25" s="75"/>
      <c r="IO25" s="75"/>
      <c r="IP25" s="31" t="n">
        <v>0.5</v>
      </c>
      <c r="IQ25" s="41" t="n">
        <v>1</v>
      </c>
      <c r="IR25" s="41" t="n">
        <v>30</v>
      </c>
      <c r="IS25" s="41" t="n">
        <v>0</v>
      </c>
      <c r="IT25" s="41" t="n">
        <v>-61</v>
      </c>
      <c r="IU25" s="41" t="n">
        <v>-1</v>
      </c>
      <c r="IV25" s="41" t="n">
        <v>3</v>
      </c>
      <c r="IW25" s="41" t="n">
        <v>15</v>
      </c>
      <c r="IX25" s="41" t="n">
        <v>5</v>
      </c>
      <c r="IY25" s="41" t="n">
        <v>-60</v>
      </c>
      <c r="IZ25" s="41" t="n">
        <v>5</v>
      </c>
      <c r="JA25" s="41" t="n">
        <v>1</v>
      </c>
      <c r="JB25" s="76"/>
      <c r="JC25" s="76"/>
      <c r="JD25" s="76"/>
      <c r="JE25" s="75"/>
      <c r="JF25" s="75"/>
      <c r="JG25" s="75"/>
      <c r="JH25" s="75"/>
      <c r="JI25" s="75"/>
      <c r="JJ25" s="75"/>
      <c r="JK25" s="75"/>
      <c r="JL25" s="75"/>
      <c r="JM25" s="75"/>
      <c r="JN25" s="75"/>
      <c r="JO25" s="75"/>
      <c r="JP25" s="75"/>
      <c r="JQ25" s="75"/>
      <c r="JR25" s="75"/>
      <c r="JS25" s="75"/>
      <c r="JT25" s="75"/>
      <c r="JU25" s="75"/>
      <c r="JV25" s="75"/>
      <c r="JW25" s="75"/>
      <c r="JX25" s="75"/>
      <c r="JY25" s="75"/>
      <c r="JZ25" s="75"/>
      <c r="KA25" s="75"/>
      <c r="KB25" s="75"/>
      <c r="KC25" s="75"/>
      <c r="KD25" s="75"/>
      <c r="KE25" s="75"/>
      <c r="KF25" s="75"/>
      <c r="KG25" s="75"/>
      <c r="KH25" s="75"/>
      <c r="KI25" s="75"/>
      <c r="KJ25" s="75"/>
      <c r="KK25" s="75"/>
      <c r="KL25" s="75"/>
      <c r="KM25" s="75"/>
      <c r="KN25" s="75"/>
      <c r="KO25" s="75"/>
      <c r="KP25" s="75"/>
      <c r="KQ25" s="75"/>
    </row>
    <row r="26" customFormat="false" ht="15" hidden="false" customHeight="false" outlineLevel="0" collapsed="false">
      <c r="A26" s="75"/>
      <c r="B26" s="75"/>
      <c r="C26" s="75"/>
      <c r="D26" s="75" t="s">
        <v>45</v>
      </c>
      <c r="E26" s="75" t="n">
        <v>0.0487</v>
      </c>
      <c r="F26" s="75" t="n">
        <v>-57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5"/>
      <c r="AF26" s="75"/>
      <c r="AG26" s="75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5"/>
      <c r="BG26" s="75"/>
      <c r="BH26" s="75"/>
      <c r="BI26" s="76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6"/>
      <c r="DD26" s="75"/>
      <c r="DE26" s="75"/>
      <c r="DF26" s="75"/>
      <c r="DG26" s="75"/>
      <c r="DH26" s="75"/>
      <c r="DI26" s="75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6"/>
      <c r="FF26" s="75"/>
      <c r="FG26" s="75"/>
      <c r="FH26" s="75"/>
      <c r="FI26" s="75"/>
      <c r="FJ26" s="75"/>
      <c r="FK26" s="75"/>
      <c r="FL26" s="76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6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6"/>
      <c r="HN26" s="75"/>
      <c r="HO26" s="75"/>
      <c r="HP26" s="75"/>
      <c r="HQ26" s="75"/>
      <c r="HR26" s="75"/>
      <c r="HS26" s="75"/>
      <c r="HT26" s="75"/>
      <c r="HU26" s="75"/>
      <c r="HV26" s="76"/>
      <c r="HW26" s="76"/>
      <c r="HX26" s="76"/>
      <c r="HY26" s="76"/>
      <c r="HZ26" s="76"/>
      <c r="IA26" s="76"/>
      <c r="IB26" s="76"/>
      <c r="IC26" s="76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6"/>
      <c r="IQ26" s="76"/>
      <c r="IR26" s="76"/>
      <c r="IS26" s="76"/>
      <c r="IT26" s="76"/>
      <c r="IU26" s="76"/>
      <c r="IV26" s="76"/>
      <c r="IW26" s="76"/>
      <c r="IX26" s="76"/>
      <c r="IY26" s="76"/>
      <c r="IZ26" s="76"/>
      <c r="JA26" s="76"/>
      <c r="JB26" s="76"/>
      <c r="JC26" s="76"/>
      <c r="JD26" s="76"/>
      <c r="JE26" s="75"/>
      <c r="JF26" s="75"/>
      <c r="JG26" s="75"/>
      <c r="JH26" s="75"/>
      <c r="JI26" s="75"/>
      <c r="JJ26" s="75"/>
      <c r="JK26" s="75"/>
      <c r="JL26" s="75"/>
      <c r="JM26" s="75"/>
      <c r="JN26" s="75"/>
      <c r="JO26" s="75"/>
      <c r="JP26" s="75"/>
      <c r="JQ26" s="75"/>
      <c r="JR26" s="75"/>
      <c r="JS26" s="75"/>
      <c r="JT26" s="75"/>
      <c r="JU26" s="75"/>
      <c r="JV26" s="75"/>
      <c r="JW26" s="75"/>
      <c r="JX26" s="75"/>
      <c r="JY26" s="75"/>
      <c r="JZ26" s="75"/>
      <c r="KA26" s="75"/>
      <c r="KB26" s="75"/>
      <c r="KC26" s="75"/>
      <c r="KD26" s="75"/>
      <c r="KE26" s="75"/>
      <c r="KF26" s="75"/>
      <c r="KG26" s="75"/>
      <c r="KH26" s="75"/>
      <c r="KI26" s="75"/>
      <c r="KJ26" s="75"/>
      <c r="KK26" s="75"/>
      <c r="KL26" s="75"/>
      <c r="KM26" s="75"/>
      <c r="KN26" s="75"/>
      <c r="KO26" s="75"/>
      <c r="KP26" s="75"/>
      <c r="KQ26" s="75"/>
    </row>
    <row r="27" customFormat="false" ht="15" hidden="false" customHeight="false" outlineLevel="0" collapsed="false">
      <c r="A27" s="75"/>
      <c r="B27" s="75"/>
      <c r="C27" s="75"/>
      <c r="D27" s="75" t="s">
        <v>55</v>
      </c>
      <c r="E27" s="75" t="n">
        <v>0.22</v>
      </c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5"/>
      <c r="BG27" s="75"/>
      <c r="BH27" s="75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6"/>
      <c r="DD27" s="76"/>
      <c r="DE27" s="76"/>
      <c r="DF27" s="76"/>
      <c r="DG27" s="76"/>
      <c r="DH27" s="75"/>
      <c r="DI27" s="75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6"/>
      <c r="FF27" s="76"/>
      <c r="FG27" s="76"/>
      <c r="FH27" s="76"/>
      <c r="FI27" s="76"/>
      <c r="FJ27" s="75"/>
      <c r="FK27" s="75"/>
      <c r="FL27" s="76"/>
      <c r="FM27" s="76"/>
      <c r="FN27" s="76"/>
      <c r="FO27" s="76"/>
      <c r="FP27" s="76"/>
      <c r="FQ27" s="76"/>
      <c r="FR27" s="76"/>
      <c r="FS27" s="76"/>
      <c r="FT27" s="76"/>
      <c r="FU27" s="76"/>
      <c r="FV27" s="76"/>
      <c r="FW27" s="76"/>
      <c r="FX27" s="76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6"/>
      <c r="GM27" s="75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6"/>
      <c r="HN27" s="75"/>
      <c r="HO27" s="76"/>
      <c r="HP27" s="76"/>
      <c r="HQ27" s="76"/>
      <c r="HR27" s="76"/>
      <c r="HS27" s="76"/>
      <c r="HT27" s="76"/>
      <c r="HU27" s="76"/>
      <c r="HV27" s="76"/>
      <c r="HW27" s="76"/>
      <c r="HX27" s="76"/>
      <c r="HY27" s="76"/>
      <c r="HZ27" s="76"/>
      <c r="IA27" s="76"/>
      <c r="IB27" s="76"/>
      <c r="IC27" s="76"/>
      <c r="ID27" s="76"/>
      <c r="IE27" s="76"/>
      <c r="IF27" s="76"/>
      <c r="IG27" s="76"/>
      <c r="IH27" s="76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  <c r="IU27" s="75"/>
      <c r="IV27" s="75"/>
      <c r="IW27" s="76"/>
      <c r="IX27" s="76"/>
      <c r="IY27" s="76"/>
      <c r="IZ27" s="76"/>
      <c r="JA27" s="76"/>
      <c r="JB27" s="76"/>
      <c r="JC27" s="76"/>
      <c r="JD27" s="76"/>
      <c r="JE27" s="75"/>
      <c r="JF27" s="75"/>
      <c r="JG27" s="75"/>
      <c r="JH27" s="75"/>
      <c r="JI27" s="75"/>
      <c r="JJ27" s="75"/>
      <c r="JK27" s="75"/>
      <c r="JL27" s="75"/>
      <c r="JM27" s="75"/>
      <c r="JN27" s="75"/>
      <c r="JO27" s="75"/>
    </row>
    <row r="28" customFormat="false" ht="15" hidden="false" customHeight="false" outlineLevel="0" collapsed="false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 t="s">
        <v>50</v>
      </c>
      <c r="FO28" s="75" t="n">
        <v>130</v>
      </c>
      <c r="FP28" s="75"/>
      <c r="FQ28" s="75"/>
      <c r="FR28" s="75" t="n">
        <v>4</v>
      </c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  <c r="IU28" s="75"/>
      <c r="IV28" s="75"/>
      <c r="IW28" s="75"/>
      <c r="IX28" s="75"/>
      <c r="IY28" s="75"/>
      <c r="IZ28" s="75"/>
      <c r="JA28" s="75"/>
      <c r="JB28" s="75"/>
      <c r="JC28" s="75"/>
      <c r="JD28" s="75"/>
      <c r="JE28" s="75"/>
      <c r="JF28" s="75"/>
      <c r="JG28" s="75"/>
      <c r="JH28" s="75"/>
      <c r="JI28" s="75"/>
      <c r="JJ28" s="75"/>
      <c r="JK28" s="75"/>
      <c r="JL28" s="75"/>
      <c r="JM28" s="75"/>
      <c r="JN28" s="75"/>
      <c r="JO28" s="75"/>
    </row>
    <row r="29" customFormat="false" ht="15.75" hidden="false" customHeight="false" outlineLevel="0" collapsed="false">
      <c r="D29" s="77" t="s">
        <v>56</v>
      </c>
      <c r="O29" s="77" t="s">
        <v>57</v>
      </c>
      <c r="X29" s="75"/>
      <c r="Y29" s="75"/>
      <c r="Z29" s="77" t="s">
        <v>58</v>
      </c>
      <c r="BD29" s="77" t="s">
        <v>59</v>
      </c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DJ29" s="75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5"/>
      <c r="EJ29" s="75"/>
      <c r="FL29" s="75"/>
      <c r="FM29" s="75"/>
      <c r="FN29" s="75" t="s">
        <v>60</v>
      </c>
      <c r="FO29" s="75" t="n">
        <v>47</v>
      </c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M29" s="75"/>
      <c r="HN29" s="75"/>
      <c r="HO29" s="76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</row>
    <row r="30" customFormat="false" ht="15.75" hidden="false" customHeight="false" outlineLevel="0" collapsed="false">
      <c r="D30" s="78" t="s">
        <v>16</v>
      </c>
      <c r="E30" s="79" t="s">
        <v>61</v>
      </c>
      <c r="F30" s="80" t="s">
        <v>62</v>
      </c>
      <c r="G30" s="21" t="s">
        <v>63</v>
      </c>
      <c r="H30" s="79" t="s">
        <v>61</v>
      </c>
      <c r="I30" s="80" t="s">
        <v>62</v>
      </c>
      <c r="J30" s="21" t="s">
        <v>63</v>
      </c>
      <c r="K30" s="79" t="s">
        <v>61</v>
      </c>
      <c r="L30" s="80" t="s">
        <v>62</v>
      </c>
      <c r="M30" s="21" t="s">
        <v>63</v>
      </c>
      <c r="O30" s="81" t="s">
        <v>16</v>
      </c>
      <c r="P30" s="79" t="s">
        <v>64</v>
      </c>
      <c r="Q30" s="21" t="s">
        <v>61</v>
      </c>
      <c r="R30" s="79" t="s">
        <v>64</v>
      </c>
      <c r="S30" s="21" t="s">
        <v>61</v>
      </c>
      <c r="T30" s="79" t="s">
        <v>64</v>
      </c>
      <c r="U30" s="21" t="s">
        <v>61</v>
      </c>
      <c r="V30" s="79" t="s">
        <v>64</v>
      </c>
      <c r="W30" s="21" t="s">
        <v>61</v>
      </c>
      <c r="X30" s="76"/>
      <c r="Y30" s="75"/>
      <c r="Z30" s="82" t="s">
        <v>16</v>
      </c>
      <c r="AA30" s="79" t="s">
        <v>61</v>
      </c>
      <c r="AB30" s="80" t="s">
        <v>64</v>
      </c>
      <c r="AC30" s="80" t="s">
        <v>65</v>
      </c>
      <c r="AD30" s="80" t="s">
        <v>66</v>
      </c>
      <c r="AE30" s="80" t="s">
        <v>67</v>
      </c>
      <c r="AF30" s="80" t="s">
        <v>68</v>
      </c>
      <c r="AG30" s="21" t="s">
        <v>69</v>
      </c>
      <c r="AH30" s="79" t="s">
        <v>61</v>
      </c>
      <c r="AI30" s="80" t="s">
        <v>64</v>
      </c>
      <c r="AJ30" s="80" t="s">
        <v>65</v>
      </c>
      <c r="AK30" s="80" t="s">
        <v>66</v>
      </c>
      <c r="AL30" s="80" t="s">
        <v>67</v>
      </c>
      <c r="AM30" s="80" t="s">
        <v>68</v>
      </c>
      <c r="AN30" s="21" t="s">
        <v>69</v>
      </c>
      <c r="AO30" s="79" t="s">
        <v>61</v>
      </c>
      <c r="AP30" s="80" t="s">
        <v>64</v>
      </c>
      <c r="AQ30" s="80" t="s">
        <v>65</v>
      </c>
      <c r="AR30" s="80" t="s">
        <v>66</v>
      </c>
      <c r="AS30" s="80" t="s">
        <v>67</v>
      </c>
      <c r="AT30" s="80" t="s">
        <v>68</v>
      </c>
      <c r="AU30" s="21" t="s">
        <v>69</v>
      </c>
      <c r="AV30" s="79" t="s">
        <v>61</v>
      </c>
      <c r="AW30" s="80" t="s">
        <v>64</v>
      </c>
      <c r="AX30" s="80" t="s">
        <v>65</v>
      </c>
      <c r="AY30" s="80" t="s">
        <v>66</v>
      </c>
      <c r="AZ30" s="80" t="s">
        <v>67</v>
      </c>
      <c r="BA30" s="80" t="s">
        <v>68</v>
      </c>
      <c r="BB30" s="21" t="s">
        <v>69</v>
      </c>
      <c r="BD30" s="78" t="s">
        <v>16</v>
      </c>
      <c r="BE30" s="3" t="s">
        <v>70</v>
      </c>
      <c r="DJ30" s="75"/>
      <c r="DK30" s="75"/>
      <c r="DL30" s="75"/>
      <c r="DM30" s="75"/>
      <c r="DN30" s="76"/>
      <c r="DO30" s="76"/>
      <c r="DP30" s="76"/>
      <c r="DQ30" s="76"/>
      <c r="DR30" s="76"/>
      <c r="DS30" s="76"/>
      <c r="DT30" s="76"/>
      <c r="DU30" s="76"/>
      <c r="DV30" s="76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FL30" s="75"/>
      <c r="FN30" s="1" t="s">
        <v>51</v>
      </c>
      <c r="FO30" s="1" t="n">
        <v>180</v>
      </c>
      <c r="GL30" s="75"/>
      <c r="GM30" s="75"/>
      <c r="HM30" s="75"/>
      <c r="HN30" s="75"/>
      <c r="HO30" s="76"/>
      <c r="HP30" s="75"/>
      <c r="HQ30" s="75"/>
    </row>
    <row r="31" customFormat="false" ht="15" hidden="false" customHeight="false" outlineLevel="0" collapsed="false">
      <c r="D31" s="27" t="str">
        <f aca="false">Neu!$B4</f>
        <v>B4</v>
      </c>
      <c r="E31" s="83" t="s">
        <v>71</v>
      </c>
      <c r="F31" s="84" t="n">
        <v>8</v>
      </c>
      <c r="G31" s="84" t="n">
        <v>1</v>
      </c>
      <c r="H31" s="31"/>
      <c r="I31" s="41"/>
      <c r="J31" s="32"/>
      <c r="K31" s="31"/>
      <c r="L31" s="41"/>
      <c r="M31" s="32"/>
      <c r="O31" s="27" t="str">
        <f aca="false">Neu!$B4</f>
        <v>B4</v>
      </c>
      <c r="P31" s="83" t="s">
        <v>6</v>
      </c>
      <c r="Q31" s="85" t="s">
        <v>71</v>
      </c>
      <c r="R31" s="83" t="s">
        <v>5</v>
      </c>
      <c r="S31" s="85" t="s">
        <v>71</v>
      </c>
      <c r="T31" s="31"/>
      <c r="U31" s="32"/>
      <c r="V31" s="31"/>
      <c r="W31" s="32"/>
      <c r="X31" s="75"/>
      <c r="Y31" s="75"/>
      <c r="Z31" s="27" t="str">
        <f aca="false">Neu!$B4</f>
        <v>B4</v>
      </c>
      <c r="AA31" s="31" t="s">
        <v>71</v>
      </c>
      <c r="AB31" s="41" t="s">
        <v>8</v>
      </c>
      <c r="AC31" s="41" t="n">
        <v>1</v>
      </c>
      <c r="AD31" s="86" t="n">
        <v>1</v>
      </c>
      <c r="AE31" s="41" t="n">
        <v>10</v>
      </c>
      <c r="AF31" s="41" t="n">
        <v>0</v>
      </c>
      <c r="AG31" s="32"/>
      <c r="AH31" s="31"/>
      <c r="AI31" s="41"/>
      <c r="AJ31" s="41"/>
      <c r="AK31" s="86"/>
      <c r="AL31" s="41"/>
      <c r="AM31" s="41"/>
      <c r="AN31" s="32"/>
      <c r="AO31" s="31"/>
      <c r="AP31" s="41"/>
      <c r="AQ31" s="41"/>
      <c r="AR31" s="41"/>
      <c r="AS31" s="41"/>
      <c r="AT31" s="41"/>
      <c r="AU31" s="32"/>
      <c r="AV31" s="31"/>
      <c r="AW31" s="41"/>
      <c r="AX31" s="41"/>
      <c r="AY31" s="41"/>
      <c r="AZ31" s="41"/>
      <c r="BA31" s="41"/>
      <c r="BB31" s="32"/>
      <c r="BD31" s="27" t="str">
        <f aca="false">Neu!$B4</f>
        <v>B4</v>
      </c>
      <c r="BE31" s="87" t="n">
        <v>-60</v>
      </c>
      <c r="DK31" s="75"/>
      <c r="DL31" s="75"/>
      <c r="DM31" s="75"/>
      <c r="DN31" s="76"/>
      <c r="DO31" s="76"/>
      <c r="DP31" s="76"/>
      <c r="DQ31" s="76"/>
      <c r="DR31" s="76"/>
      <c r="DS31" s="76"/>
      <c r="DT31" s="76"/>
      <c r="DU31" s="76"/>
      <c r="DV31" s="76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FN31" s="1" t="s">
        <v>72</v>
      </c>
      <c r="FO31" s="1" t="n">
        <v>70</v>
      </c>
      <c r="GL31" s="75"/>
      <c r="GM31" s="75"/>
      <c r="HM31" s="75"/>
      <c r="HN31" s="75"/>
      <c r="HO31" s="76"/>
      <c r="HP31" s="75"/>
      <c r="HQ31" s="75"/>
    </row>
    <row r="32" customFormat="false" ht="15" hidden="false" customHeight="false" outlineLevel="0" collapsed="false">
      <c r="D32" s="42" t="str">
        <f aca="false">Neu!$B5</f>
        <v>B8</v>
      </c>
      <c r="E32" s="51" t="s">
        <v>71</v>
      </c>
      <c r="F32" s="41" t="n">
        <v>80</v>
      </c>
      <c r="G32" s="41" t="n">
        <v>1</v>
      </c>
      <c r="H32" s="31"/>
      <c r="I32" s="41"/>
      <c r="J32" s="32"/>
      <c r="K32" s="31"/>
      <c r="L32" s="41"/>
      <c r="M32" s="32"/>
      <c r="O32" s="42" t="str">
        <f aca="false">Neu!$B5</f>
        <v>B8</v>
      </c>
      <c r="P32" s="31" t="s">
        <v>6</v>
      </c>
      <c r="Q32" s="32" t="s">
        <v>71</v>
      </c>
      <c r="R32" s="31" t="s">
        <v>5</v>
      </c>
      <c r="S32" s="32" t="s">
        <v>71</v>
      </c>
      <c r="T32" s="31"/>
      <c r="U32" s="32"/>
      <c r="V32" s="31"/>
      <c r="W32" s="32"/>
      <c r="X32" s="75"/>
      <c r="Y32" s="75"/>
      <c r="Z32" s="42" t="str">
        <f aca="false">Neu!$B5</f>
        <v>B8</v>
      </c>
      <c r="AA32" s="31" t="s">
        <v>71</v>
      </c>
      <c r="AB32" s="41" t="s">
        <v>8</v>
      </c>
      <c r="AC32" s="41" t="n">
        <v>1</v>
      </c>
      <c r="AD32" s="86" t="n">
        <v>1</v>
      </c>
      <c r="AE32" s="41" t="n">
        <v>0.7</v>
      </c>
      <c r="AF32" s="41" t="n">
        <v>0</v>
      </c>
      <c r="AG32" s="32"/>
      <c r="AH32" s="31"/>
      <c r="AI32" s="41"/>
      <c r="AJ32" s="41"/>
      <c r="AK32" s="86"/>
      <c r="AL32" s="41"/>
      <c r="AM32" s="41"/>
      <c r="AN32" s="32"/>
      <c r="AO32" s="31"/>
      <c r="AP32" s="41"/>
      <c r="AQ32" s="41"/>
      <c r="AR32" s="41"/>
      <c r="AS32" s="41"/>
      <c r="AT32" s="41"/>
      <c r="AU32" s="32"/>
      <c r="AV32" s="31"/>
      <c r="AW32" s="41"/>
      <c r="AX32" s="41"/>
      <c r="AY32" s="41"/>
      <c r="AZ32" s="41"/>
      <c r="BA32" s="41"/>
      <c r="BB32" s="32"/>
      <c r="BD32" s="42" t="str">
        <f aca="false">Neu!$B5</f>
        <v>B8</v>
      </c>
      <c r="BE32" s="87" t="n">
        <v>-60</v>
      </c>
      <c r="DN32" s="88"/>
      <c r="DO32" s="88"/>
      <c r="DP32" s="88"/>
      <c r="DQ32" s="88"/>
      <c r="DR32" s="88"/>
      <c r="DS32" s="88"/>
      <c r="DT32" s="88"/>
      <c r="DU32" s="88"/>
      <c r="DV32" s="88"/>
      <c r="GL32" s="75"/>
      <c r="GM32" s="75"/>
      <c r="HM32" s="75"/>
      <c r="HN32" s="75"/>
      <c r="HO32" s="75"/>
      <c r="HP32" s="75"/>
      <c r="HQ32" s="75"/>
    </row>
    <row r="33" customFormat="false" ht="15" hidden="false" customHeight="false" outlineLevel="0" collapsed="false">
      <c r="D33" s="42" t="str">
        <f aca="false">Neu!$B6</f>
        <v>B20</v>
      </c>
      <c r="E33" s="51" t="s">
        <v>2</v>
      </c>
      <c r="F33" s="41" t="n">
        <v>1</v>
      </c>
      <c r="G33" s="41" t="n">
        <v>0.2</v>
      </c>
      <c r="H33" s="31"/>
      <c r="I33" s="41"/>
      <c r="J33" s="32"/>
      <c r="K33" s="31"/>
      <c r="L33" s="41"/>
      <c r="M33" s="32"/>
      <c r="O33" s="42" t="str">
        <f aca="false">Neu!$B6</f>
        <v>B20</v>
      </c>
      <c r="P33" s="31" t="s">
        <v>2</v>
      </c>
      <c r="Q33" s="32" t="s">
        <v>2</v>
      </c>
      <c r="R33" s="31"/>
      <c r="S33" s="32"/>
      <c r="T33" s="31"/>
      <c r="U33" s="32"/>
      <c r="V33" s="31"/>
      <c r="W33" s="32"/>
      <c r="X33" s="75"/>
      <c r="Y33" s="75"/>
      <c r="Z33" s="42" t="str">
        <f aca="false">Neu!$B6</f>
        <v>B20</v>
      </c>
      <c r="AA33" s="31"/>
      <c r="AB33" s="41"/>
      <c r="AC33" s="41"/>
      <c r="AD33" s="86"/>
      <c r="AE33" s="41"/>
      <c r="AF33" s="41"/>
      <c r="AG33" s="32"/>
      <c r="AH33" s="31"/>
      <c r="AI33" s="41"/>
      <c r="AJ33" s="41"/>
      <c r="AK33" s="86"/>
      <c r="AL33" s="41"/>
      <c r="AM33" s="41"/>
      <c r="AN33" s="32"/>
      <c r="AO33" s="31"/>
      <c r="AP33" s="41"/>
      <c r="AQ33" s="41"/>
      <c r="AR33" s="41"/>
      <c r="AS33" s="41"/>
      <c r="AT33" s="41"/>
      <c r="AU33" s="32"/>
      <c r="AV33" s="31"/>
      <c r="AW33" s="41"/>
      <c r="AX33" s="41"/>
      <c r="AY33" s="41"/>
      <c r="AZ33" s="41"/>
      <c r="BA33" s="41"/>
      <c r="BB33" s="32"/>
      <c r="BD33" s="42" t="str">
        <f aca="false">Neu!$B6</f>
        <v>B20</v>
      </c>
      <c r="BE33" s="87" t="n">
        <v>-60</v>
      </c>
      <c r="DN33" s="88"/>
      <c r="DO33" s="88"/>
      <c r="DP33" s="88"/>
      <c r="DQ33" s="88"/>
      <c r="DR33" s="88"/>
      <c r="DS33" s="88"/>
      <c r="DT33" s="88"/>
      <c r="DU33" s="88"/>
      <c r="DV33" s="88"/>
    </row>
    <row r="34" customFormat="false" ht="15" hidden="false" customHeight="false" outlineLevel="0" collapsed="false">
      <c r="D34" s="42" t="str">
        <f aca="false">Neu!$B7</f>
        <v>B30</v>
      </c>
      <c r="E34" s="51" t="s">
        <v>2</v>
      </c>
      <c r="F34" s="41" t="n">
        <v>1</v>
      </c>
      <c r="G34" s="32" t="n">
        <v>0.2</v>
      </c>
      <c r="H34" s="31"/>
      <c r="I34" s="41"/>
      <c r="J34" s="32"/>
      <c r="K34" s="31"/>
      <c r="L34" s="41"/>
      <c r="M34" s="32"/>
      <c r="O34" s="42" t="str">
        <f aca="false">Neu!$B7</f>
        <v>B30</v>
      </c>
      <c r="P34" s="31" t="s">
        <v>2</v>
      </c>
      <c r="Q34" s="32" t="s">
        <v>2</v>
      </c>
      <c r="R34" s="31"/>
      <c r="S34" s="32"/>
      <c r="T34" s="31"/>
      <c r="U34" s="32"/>
      <c r="V34" s="31"/>
      <c r="W34" s="32"/>
      <c r="X34" s="75"/>
      <c r="Y34" s="75"/>
      <c r="Z34" s="42" t="str">
        <f aca="false">Neu!$B7</f>
        <v>B30</v>
      </c>
      <c r="AA34" s="31"/>
      <c r="AB34" s="41"/>
      <c r="AC34" s="41"/>
      <c r="AD34" s="86"/>
      <c r="AE34" s="41"/>
      <c r="AF34" s="41"/>
      <c r="AG34" s="32"/>
      <c r="AH34" s="31"/>
      <c r="AI34" s="41"/>
      <c r="AJ34" s="41"/>
      <c r="AK34" s="41"/>
      <c r="AL34" s="41"/>
      <c r="AM34" s="41"/>
      <c r="AN34" s="32"/>
      <c r="AO34" s="31"/>
      <c r="AP34" s="41"/>
      <c r="AQ34" s="41"/>
      <c r="AR34" s="41"/>
      <c r="AS34" s="41"/>
      <c r="AT34" s="41"/>
      <c r="AU34" s="32"/>
      <c r="AV34" s="31"/>
      <c r="AW34" s="41"/>
      <c r="AX34" s="41"/>
      <c r="AY34" s="41"/>
      <c r="AZ34" s="41"/>
      <c r="BA34" s="41"/>
      <c r="BB34" s="32"/>
      <c r="BD34" s="42" t="str">
        <f aca="false">Neu!$B7</f>
        <v>B30</v>
      </c>
      <c r="BE34" s="87" t="n">
        <v>-60</v>
      </c>
    </row>
    <row r="35" customFormat="false" ht="15" hidden="false" customHeight="false" outlineLevel="0" collapsed="false">
      <c r="D35" s="42" t="str">
        <f aca="false">Neu!$B8</f>
        <v>B31s</v>
      </c>
      <c r="E35" s="51"/>
      <c r="F35" s="41"/>
      <c r="G35" s="32"/>
      <c r="H35" s="31"/>
      <c r="I35" s="41"/>
      <c r="J35" s="32"/>
      <c r="K35" s="31"/>
      <c r="L35" s="41"/>
      <c r="M35" s="32"/>
      <c r="O35" s="42" t="str">
        <f aca="false">Neu!$B8</f>
        <v>B31s</v>
      </c>
      <c r="P35" s="31"/>
      <c r="Q35" s="32"/>
      <c r="R35" s="31"/>
      <c r="S35" s="32"/>
      <c r="T35" s="31"/>
      <c r="U35" s="32"/>
      <c r="V35" s="31"/>
      <c r="W35" s="32"/>
      <c r="X35" s="75"/>
      <c r="Y35" s="75"/>
      <c r="Z35" s="42" t="str">
        <f aca="false">Neu!$B8</f>
        <v>B31s</v>
      </c>
      <c r="AA35" s="31"/>
      <c r="AB35" s="41"/>
      <c r="AC35" s="41"/>
      <c r="AD35" s="86"/>
      <c r="AE35" s="41"/>
      <c r="AF35" s="41"/>
      <c r="AG35" s="32"/>
      <c r="AH35" s="31"/>
      <c r="AI35" s="41"/>
      <c r="AJ35" s="41"/>
      <c r="AK35" s="86"/>
      <c r="AL35" s="41"/>
      <c r="AM35" s="41"/>
      <c r="AN35" s="32"/>
      <c r="AO35" s="31"/>
      <c r="AP35" s="41"/>
      <c r="AQ35" s="41"/>
      <c r="AR35" s="41"/>
      <c r="AS35" s="41"/>
      <c r="AT35" s="41"/>
      <c r="AU35" s="32"/>
      <c r="AV35" s="31"/>
      <c r="AW35" s="41"/>
      <c r="AX35" s="41"/>
      <c r="AY35" s="41"/>
      <c r="AZ35" s="41"/>
      <c r="BA35" s="41"/>
      <c r="BB35" s="32"/>
      <c r="BD35" s="42" t="str">
        <f aca="false">Neu!$B8</f>
        <v>B31s</v>
      </c>
      <c r="BE35" s="87" t="n">
        <v>-60</v>
      </c>
    </row>
    <row r="36" customFormat="false" ht="15" hidden="false" customHeight="false" outlineLevel="0" collapsed="false">
      <c r="D36" s="42" t="str">
        <f aca="false">Neu!$B9</f>
        <v>B31a</v>
      </c>
      <c r="E36" s="51" t="s">
        <v>2</v>
      </c>
      <c r="F36" s="41" t="n">
        <v>14</v>
      </c>
      <c r="G36" s="32" t="n">
        <v>0.4</v>
      </c>
      <c r="H36" s="31"/>
      <c r="I36" s="41"/>
      <c r="J36" s="32"/>
      <c r="K36" s="31"/>
      <c r="L36" s="41"/>
      <c r="M36" s="32"/>
      <c r="O36" s="42" t="str">
        <f aca="false">Neu!$B9</f>
        <v>B31a</v>
      </c>
      <c r="P36" s="31" t="s">
        <v>2</v>
      </c>
      <c r="Q36" s="32" t="s">
        <v>2</v>
      </c>
      <c r="R36" s="31"/>
      <c r="S36" s="32"/>
      <c r="T36" s="31"/>
      <c r="U36" s="32"/>
      <c r="V36" s="31"/>
      <c r="W36" s="32"/>
      <c r="X36" s="75"/>
      <c r="Y36" s="75"/>
      <c r="Z36" s="42" t="str">
        <f aca="false">Neu!$B9</f>
        <v>B31a</v>
      </c>
      <c r="AA36" s="31"/>
      <c r="AB36" s="41"/>
      <c r="AC36" s="41"/>
      <c r="AD36" s="86"/>
      <c r="AE36" s="41"/>
      <c r="AF36" s="41"/>
      <c r="AG36" s="32"/>
      <c r="AH36" s="31"/>
      <c r="AI36" s="41"/>
      <c r="AJ36" s="41"/>
      <c r="AK36" s="41"/>
      <c r="AL36" s="41"/>
      <c r="AM36" s="41"/>
      <c r="AN36" s="32"/>
      <c r="AO36" s="31"/>
      <c r="AP36" s="41"/>
      <c r="AQ36" s="41"/>
      <c r="AR36" s="41"/>
      <c r="AS36" s="41"/>
      <c r="AT36" s="41"/>
      <c r="AU36" s="32"/>
      <c r="AV36" s="31"/>
      <c r="AW36" s="41"/>
      <c r="AX36" s="41"/>
      <c r="AY36" s="41"/>
      <c r="AZ36" s="41"/>
      <c r="BA36" s="41"/>
      <c r="BB36" s="32"/>
      <c r="BD36" s="42" t="str">
        <f aca="false">Neu!$B9</f>
        <v>B31a</v>
      </c>
      <c r="BE36" s="87" t="n">
        <v>-60</v>
      </c>
    </row>
    <row r="37" customFormat="false" ht="15" hidden="false" customHeight="false" outlineLevel="0" collapsed="false">
      <c r="D37" s="42" t="str">
        <f aca="false">Neu!$B10</f>
        <v>B34</v>
      </c>
      <c r="E37" s="51" t="s">
        <v>2</v>
      </c>
      <c r="F37" s="41" t="n">
        <v>1</v>
      </c>
      <c r="G37" s="32" t="n">
        <v>0.2</v>
      </c>
      <c r="H37" s="31"/>
      <c r="I37" s="41"/>
      <c r="J37" s="32"/>
      <c r="K37" s="31"/>
      <c r="L37" s="41"/>
      <c r="M37" s="32"/>
      <c r="O37" s="42" t="str">
        <f aca="false">Neu!$B10</f>
        <v>B34</v>
      </c>
      <c r="P37" s="31" t="s">
        <v>2</v>
      </c>
      <c r="Q37" s="32" t="s">
        <v>2</v>
      </c>
      <c r="R37" s="31"/>
      <c r="S37" s="32"/>
      <c r="T37" s="31"/>
      <c r="U37" s="32"/>
      <c r="V37" s="31"/>
      <c r="W37" s="32"/>
      <c r="X37" s="75"/>
      <c r="Y37" s="75"/>
      <c r="Z37" s="42" t="str">
        <f aca="false">Neu!$B10</f>
        <v>B34</v>
      </c>
      <c r="AA37" s="31"/>
      <c r="AB37" s="41"/>
      <c r="AC37" s="41"/>
      <c r="AD37" s="86"/>
      <c r="AE37" s="41"/>
      <c r="AF37" s="41"/>
      <c r="AG37" s="32"/>
      <c r="AH37" s="31"/>
      <c r="AI37" s="41"/>
      <c r="AJ37" s="41"/>
      <c r="AK37" s="41"/>
      <c r="AL37" s="41"/>
      <c r="AM37" s="41"/>
      <c r="AN37" s="32"/>
      <c r="AO37" s="31"/>
      <c r="AP37" s="41"/>
      <c r="AQ37" s="41"/>
      <c r="AR37" s="41"/>
      <c r="AS37" s="41"/>
      <c r="AT37" s="41"/>
      <c r="AU37" s="32"/>
      <c r="AV37" s="31"/>
      <c r="AW37" s="41"/>
      <c r="AX37" s="41"/>
      <c r="AY37" s="41"/>
      <c r="AZ37" s="41"/>
      <c r="BA37" s="41"/>
      <c r="BB37" s="32"/>
      <c r="BD37" s="42" t="str">
        <f aca="false">Neu!$B10</f>
        <v>B34</v>
      </c>
      <c r="BE37" s="87" t="n">
        <v>-60</v>
      </c>
    </row>
    <row r="38" customFormat="false" ht="15" hidden="false" customHeight="false" outlineLevel="0" collapsed="false">
      <c r="D38" s="42" t="str">
        <f aca="false">Neu!$B11</f>
        <v>B35</v>
      </c>
      <c r="E38" s="51"/>
      <c r="F38" s="41"/>
      <c r="G38" s="32"/>
      <c r="H38" s="31"/>
      <c r="I38" s="41"/>
      <c r="J38" s="32"/>
      <c r="K38" s="31"/>
      <c r="L38" s="41"/>
      <c r="M38" s="32"/>
      <c r="O38" s="42" t="str">
        <f aca="false">Neu!$B11</f>
        <v>B35</v>
      </c>
      <c r="P38" s="31"/>
      <c r="Q38" s="32"/>
      <c r="R38" s="31"/>
      <c r="S38" s="32"/>
      <c r="T38" s="31"/>
      <c r="U38" s="32"/>
      <c r="V38" s="31"/>
      <c r="W38" s="32"/>
      <c r="X38" s="75"/>
      <c r="Y38" s="75"/>
      <c r="Z38" s="42" t="str">
        <f aca="false">Neu!$B11</f>
        <v>B35</v>
      </c>
      <c r="AA38" s="31"/>
      <c r="AB38" s="41"/>
      <c r="AC38" s="41"/>
      <c r="AD38" s="86"/>
      <c r="AE38" s="41"/>
      <c r="AF38" s="41"/>
      <c r="AG38" s="32"/>
      <c r="AH38" s="31"/>
      <c r="AI38" s="41"/>
      <c r="AJ38" s="41"/>
      <c r="AK38" s="41"/>
      <c r="AL38" s="41"/>
      <c r="AM38" s="41"/>
      <c r="AN38" s="32"/>
      <c r="AO38" s="31"/>
      <c r="AP38" s="41"/>
      <c r="AQ38" s="41"/>
      <c r="AR38" s="41"/>
      <c r="AS38" s="41"/>
      <c r="AT38" s="41"/>
      <c r="AU38" s="32"/>
      <c r="AV38" s="31"/>
      <c r="AW38" s="41"/>
      <c r="AX38" s="41"/>
      <c r="AY38" s="41"/>
      <c r="AZ38" s="41"/>
      <c r="BA38" s="41"/>
      <c r="BB38" s="32"/>
      <c r="BD38" s="42" t="str">
        <f aca="false">Neu!$B11</f>
        <v>B35</v>
      </c>
      <c r="BE38" s="87" t="n">
        <v>-60</v>
      </c>
    </row>
    <row r="39" customFormat="false" ht="15" hidden="false" customHeight="false" outlineLevel="0" collapsed="false">
      <c r="D39" s="42" t="str">
        <f aca="false">Neu!$B12</f>
        <v>B40</v>
      </c>
      <c r="E39" s="51"/>
      <c r="F39" s="41"/>
      <c r="G39" s="32"/>
      <c r="H39" s="31"/>
      <c r="I39" s="41"/>
      <c r="J39" s="32"/>
      <c r="K39" s="31"/>
      <c r="L39" s="41"/>
      <c r="M39" s="32"/>
      <c r="O39" s="42" t="str">
        <f aca="false">Neu!$B12</f>
        <v>B40</v>
      </c>
      <c r="P39" s="31"/>
      <c r="Q39" s="32"/>
      <c r="R39" s="31"/>
      <c r="S39" s="32"/>
      <c r="T39" s="31"/>
      <c r="U39" s="32"/>
      <c r="V39" s="31"/>
      <c r="W39" s="32"/>
      <c r="X39" s="75"/>
      <c r="Y39" s="75"/>
      <c r="Z39" s="42" t="str">
        <f aca="false">Neu!$B12</f>
        <v>B40</v>
      </c>
      <c r="AA39" s="31"/>
      <c r="AB39" s="41"/>
      <c r="AC39" s="41"/>
      <c r="AD39" s="86"/>
      <c r="AE39" s="41"/>
      <c r="AF39" s="41"/>
      <c r="AG39" s="32"/>
      <c r="AH39" s="31"/>
      <c r="AI39" s="41"/>
      <c r="AJ39" s="41"/>
      <c r="AK39" s="41"/>
      <c r="AL39" s="41"/>
      <c r="AM39" s="41"/>
      <c r="AN39" s="32"/>
      <c r="AO39" s="31"/>
      <c r="AP39" s="41"/>
      <c r="AQ39" s="41"/>
      <c r="AR39" s="41"/>
      <c r="AS39" s="41"/>
      <c r="AT39" s="41"/>
      <c r="AU39" s="32"/>
      <c r="AV39" s="31"/>
      <c r="AW39" s="41"/>
      <c r="AX39" s="41"/>
      <c r="AY39" s="41"/>
      <c r="AZ39" s="41"/>
      <c r="BA39" s="41"/>
      <c r="BB39" s="32"/>
      <c r="BD39" s="42" t="str">
        <f aca="false">Neu!$B12</f>
        <v>B40</v>
      </c>
      <c r="BE39" s="87" t="n">
        <v>-60</v>
      </c>
    </row>
    <row r="40" customFormat="false" ht="15" hidden="false" customHeight="false" outlineLevel="0" collapsed="false">
      <c r="D40" s="42" t="str">
        <f aca="false">Neu!$B13</f>
        <v>B51s</v>
      </c>
      <c r="E40" s="31" t="s">
        <v>71</v>
      </c>
      <c r="F40" s="41" t="n">
        <v>8</v>
      </c>
      <c r="G40" s="41" t="n">
        <v>1</v>
      </c>
      <c r="H40" s="31"/>
      <c r="I40" s="41"/>
      <c r="J40" s="32"/>
      <c r="K40" s="31"/>
      <c r="L40" s="41"/>
      <c r="M40" s="32"/>
      <c r="O40" s="42" t="str">
        <f aca="false">Neu!$B13</f>
        <v>B51s</v>
      </c>
      <c r="P40" s="31" t="s">
        <v>6</v>
      </c>
      <c r="Q40" s="32" t="s">
        <v>71</v>
      </c>
      <c r="R40" s="31" t="s">
        <v>5</v>
      </c>
      <c r="S40" s="32" t="s">
        <v>71</v>
      </c>
      <c r="T40" s="31"/>
      <c r="U40" s="32"/>
      <c r="V40" s="31"/>
      <c r="W40" s="32"/>
      <c r="X40" s="75"/>
      <c r="Y40" s="75"/>
      <c r="Z40" s="42" t="str">
        <f aca="false">Neu!$B13</f>
        <v>B51s</v>
      </c>
      <c r="AA40" s="31" t="s">
        <v>71</v>
      </c>
      <c r="AB40" s="41" t="s">
        <v>8</v>
      </c>
      <c r="AC40" s="41" t="n">
        <v>1</v>
      </c>
      <c r="AD40" s="86" t="n">
        <v>1</v>
      </c>
      <c r="AE40" s="41" t="n">
        <v>20</v>
      </c>
      <c r="AF40" s="41" t="n">
        <v>0</v>
      </c>
      <c r="AG40" s="32"/>
      <c r="AH40" s="31"/>
      <c r="AI40" s="41"/>
      <c r="AJ40" s="41"/>
      <c r="AK40" s="41"/>
      <c r="AL40" s="41"/>
      <c r="AM40" s="41"/>
      <c r="AN40" s="32"/>
      <c r="AO40" s="31"/>
      <c r="AP40" s="41"/>
      <c r="AQ40" s="41"/>
      <c r="AR40" s="41"/>
      <c r="AS40" s="41"/>
      <c r="AT40" s="41"/>
      <c r="AU40" s="32"/>
      <c r="AV40" s="31"/>
      <c r="AW40" s="41"/>
      <c r="AX40" s="41"/>
      <c r="AY40" s="41"/>
      <c r="AZ40" s="41"/>
      <c r="BA40" s="41"/>
      <c r="BB40" s="32"/>
      <c r="BD40" s="42" t="str">
        <f aca="false">Neu!$B13</f>
        <v>B51s</v>
      </c>
      <c r="BE40" s="87" t="n">
        <v>-60</v>
      </c>
    </row>
    <row r="41" customFormat="false" ht="15" hidden="false" customHeight="false" outlineLevel="0" collapsed="false">
      <c r="D41" s="42" t="str">
        <f aca="false">Neu!$B14</f>
        <v>B71</v>
      </c>
      <c r="E41" s="31"/>
      <c r="F41" s="41"/>
      <c r="G41" s="41"/>
      <c r="H41" s="31"/>
      <c r="I41" s="41"/>
      <c r="J41" s="32"/>
      <c r="K41" s="31"/>
      <c r="L41" s="41"/>
      <c r="M41" s="32"/>
      <c r="O41" s="42" t="str">
        <f aca="false">Neu!$B14</f>
        <v>B71</v>
      </c>
      <c r="P41" s="31"/>
      <c r="Q41" s="32"/>
      <c r="R41" s="31"/>
      <c r="S41" s="32"/>
      <c r="T41" s="31"/>
      <c r="U41" s="32"/>
      <c r="V41" s="31"/>
      <c r="W41" s="32"/>
      <c r="X41" s="75"/>
      <c r="Y41" s="75"/>
      <c r="Z41" s="42" t="str">
        <f aca="false">Neu!$B14</f>
        <v>B71</v>
      </c>
      <c r="AA41" s="31"/>
      <c r="AB41" s="41"/>
      <c r="AC41" s="41"/>
      <c r="AD41" s="86"/>
      <c r="AE41" s="41"/>
      <c r="AF41" s="41"/>
      <c r="AG41" s="32"/>
      <c r="AH41" s="31"/>
      <c r="AI41" s="41"/>
      <c r="AJ41" s="41"/>
      <c r="AK41" s="41"/>
      <c r="AL41" s="41"/>
      <c r="AM41" s="41"/>
      <c r="AN41" s="32"/>
      <c r="AO41" s="31"/>
      <c r="AP41" s="41"/>
      <c r="AQ41" s="41"/>
      <c r="AR41" s="41"/>
      <c r="AS41" s="41"/>
      <c r="AT41" s="41"/>
      <c r="AU41" s="32"/>
      <c r="AV41" s="31"/>
      <c r="AW41" s="41"/>
      <c r="AX41" s="41"/>
      <c r="AY41" s="41"/>
      <c r="AZ41" s="41"/>
      <c r="BA41" s="41"/>
      <c r="BB41" s="32"/>
      <c r="BD41" s="42" t="str">
        <f aca="false">Neu!$B14</f>
        <v>B71</v>
      </c>
      <c r="BE41" s="87" t="n">
        <v>-60</v>
      </c>
    </row>
    <row r="42" customFormat="false" ht="15" hidden="false" customHeight="false" outlineLevel="0" collapsed="false">
      <c r="D42" s="42" t="str">
        <f aca="false">Neu!$B15</f>
        <v>B52</v>
      </c>
      <c r="E42" s="51" t="s">
        <v>71</v>
      </c>
      <c r="F42" s="41" t="n">
        <v>8</v>
      </c>
      <c r="G42" s="32" t="n">
        <v>1</v>
      </c>
      <c r="H42" s="31"/>
      <c r="I42" s="41"/>
      <c r="J42" s="32"/>
      <c r="K42" s="31"/>
      <c r="L42" s="41"/>
      <c r="M42" s="32"/>
      <c r="O42" s="42" t="str">
        <f aca="false">Neu!$B15</f>
        <v>B52</v>
      </c>
      <c r="P42" s="83" t="s">
        <v>6</v>
      </c>
      <c r="Q42" s="85" t="s">
        <v>71</v>
      </c>
      <c r="R42" s="83" t="s">
        <v>5</v>
      </c>
      <c r="S42" s="85" t="s">
        <v>71</v>
      </c>
      <c r="T42" s="31"/>
      <c r="U42" s="32"/>
      <c r="V42" s="31"/>
      <c r="W42" s="32"/>
      <c r="X42" s="75"/>
      <c r="Y42" s="75"/>
      <c r="Z42" s="42" t="str">
        <f aca="false">Neu!$B15</f>
        <v>B52</v>
      </c>
      <c r="AA42" s="83" t="s">
        <v>71</v>
      </c>
      <c r="AB42" s="84" t="s">
        <v>8</v>
      </c>
      <c r="AC42" s="84" t="n">
        <v>1</v>
      </c>
      <c r="AD42" s="86" t="n">
        <v>1</v>
      </c>
      <c r="AE42" s="84" t="n">
        <v>10</v>
      </c>
      <c r="AF42" s="84" t="n">
        <v>0</v>
      </c>
      <c r="AG42" s="32"/>
      <c r="AH42" s="31"/>
      <c r="AI42" s="41"/>
      <c r="AJ42" s="41"/>
      <c r="AK42" s="41"/>
      <c r="AL42" s="41"/>
      <c r="AM42" s="41"/>
      <c r="AN42" s="32"/>
      <c r="AO42" s="31"/>
      <c r="AP42" s="41"/>
      <c r="AQ42" s="41"/>
      <c r="AR42" s="41"/>
      <c r="AS42" s="41"/>
      <c r="AT42" s="41"/>
      <c r="AU42" s="32"/>
      <c r="AV42" s="31"/>
      <c r="AW42" s="41"/>
      <c r="AX42" s="41"/>
      <c r="AY42" s="41"/>
      <c r="AZ42" s="41"/>
      <c r="BA42" s="41"/>
      <c r="BB42" s="32"/>
      <c r="BD42" s="42" t="str">
        <f aca="false">Neu!$B15</f>
        <v>B52</v>
      </c>
      <c r="BE42" s="87" t="n">
        <v>-60</v>
      </c>
    </row>
    <row r="43" customFormat="false" ht="15" hidden="false" customHeight="false" outlineLevel="0" collapsed="false">
      <c r="D43" s="42" t="str">
        <f aca="false">Neu!$B16</f>
        <v>B63</v>
      </c>
      <c r="E43" s="51" t="s">
        <v>2</v>
      </c>
      <c r="F43" s="41" t="n">
        <v>14</v>
      </c>
      <c r="G43" s="32" t="n">
        <v>0.4</v>
      </c>
      <c r="H43" s="31"/>
      <c r="I43" s="41"/>
      <c r="J43" s="32"/>
      <c r="K43" s="31"/>
      <c r="L43" s="41"/>
      <c r="M43" s="32"/>
      <c r="O43" s="42" t="str">
        <f aca="false">Neu!$B16</f>
        <v>B63</v>
      </c>
      <c r="P43" s="31" t="s">
        <v>2</v>
      </c>
      <c r="Q43" s="32" t="s">
        <v>2</v>
      </c>
      <c r="R43" s="31"/>
      <c r="S43" s="32"/>
      <c r="T43" s="31"/>
      <c r="U43" s="32"/>
      <c r="V43" s="31"/>
      <c r="W43" s="32"/>
      <c r="X43" s="75"/>
      <c r="Y43" s="75"/>
      <c r="Z43" s="42" t="str">
        <f aca="false">Neu!$B16</f>
        <v>B63</v>
      </c>
      <c r="AA43" s="31"/>
      <c r="AB43" s="41"/>
      <c r="AC43" s="41"/>
      <c r="AD43" s="86"/>
      <c r="AE43" s="41"/>
      <c r="AF43" s="41"/>
      <c r="AG43" s="32"/>
      <c r="AH43" s="31"/>
      <c r="AI43" s="41"/>
      <c r="AJ43" s="41"/>
      <c r="AK43" s="41"/>
      <c r="AL43" s="41"/>
      <c r="AM43" s="41"/>
      <c r="AN43" s="32"/>
      <c r="AO43" s="31"/>
      <c r="AP43" s="41"/>
      <c r="AQ43" s="41"/>
      <c r="AR43" s="41"/>
      <c r="AS43" s="41"/>
      <c r="AT43" s="41"/>
      <c r="AU43" s="32"/>
      <c r="AV43" s="31"/>
      <c r="AW43" s="41"/>
      <c r="AX43" s="41"/>
      <c r="AY43" s="41"/>
      <c r="AZ43" s="41"/>
      <c r="BA43" s="41"/>
      <c r="BB43" s="32"/>
      <c r="BD43" s="42" t="str">
        <f aca="false">Neu!$B16</f>
        <v>B63</v>
      </c>
      <c r="BE43" s="87" t="n">
        <v>-60</v>
      </c>
    </row>
    <row r="44" customFormat="false" ht="14.35" hidden="false" customHeight="false" outlineLevel="0" collapsed="false">
      <c r="D44" s="42" t="str">
        <f aca="false">Neu!$B17</f>
        <v>B64s</v>
      </c>
      <c r="E44" s="31"/>
      <c r="F44" s="41"/>
      <c r="G44" s="41"/>
      <c r="H44" s="31"/>
      <c r="I44" s="41"/>
      <c r="J44" s="32"/>
      <c r="K44" s="31"/>
      <c r="L44" s="41"/>
      <c r="M44" s="32"/>
      <c r="O44" s="42" t="str">
        <f aca="false">Neu!$B17</f>
        <v>B64s</v>
      </c>
      <c r="P44" s="31"/>
      <c r="Q44" s="32"/>
      <c r="R44" s="31"/>
      <c r="S44" s="32"/>
      <c r="T44" s="31"/>
      <c r="U44" s="32"/>
      <c r="V44" s="31"/>
      <c r="W44" s="32"/>
      <c r="X44" s="75"/>
      <c r="Y44" s="75"/>
      <c r="Z44" s="42" t="str">
        <f aca="false">Neu!$B17</f>
        <v>B64s</v>
      </c>
      <c r="AA44" s="31"/>
      <c r="AB44" s="41"/>
      <c r="AC44" s="41"/>
      <c r="AD44" s="86"/>
      <c r="AE44" s="41"/>
      <c r="AF44" s="41"/>
      <c r="AG44" s="32"/>
      <c r="AH44" s="31"/>
      <c r="AI44" s="41"/>
      <c r="AJ44" s="41"/>
      <c r="AK44" s="41"/>
      <c r="AL44" s="41"/>
      <c r="AM44" s="41"/>
      <c r="AN44" s="32"/>
      <c r="AO44" s="31"/>
      <c r="AP44" s="41"/>
      <c r="AQ44" s="41"/>
      <c r="AR44" s="41"/>
      <c r="AS44" s="41"/>
      <c r="AT44" s="41"/>
      <c r="AU44" s="32"/>
      <c r="AV44" s="31"/>
      <c r="AW44" s="41"/>
      <c r="AX44" s="41"/>
      <c r="AY44" s="41"/>
      <c r="AZ44" s="41"/>
      <c r="BA44" s="41"/>
      <c r="BB44" s="32"/>
      <c r="BD44" s="42" t="str">
        <f aca="false">Neu!$B17</f>
        <v>B64s</v>
      </c>
      <c r="BE44" s="87" t="n">
        <v>-60</v>
      </c>
    </row>
    <row r="45" customFormat="false" ht="14.35" hidden="false" customHeight="false" outlineLevel="0" collapsed="false">
      <c r="D45" s="42" t="str">
        <f aca="false">Neu!$B18</f>
        <v>B65</v>
      </c>
      <c r="E45" s="51" t="s">
        <v>2</v>
      </c>
      <c r="F45" s="41" t="n">
        <v>1</v>
      </c>
      <c r="G45" s="32" t="n">
        <v>0.2</v>
      </c>
      <c r="H45" s="31"/>
      <c r="I45" s="41"/>
      <c r="J45" s="32"/>
      <c r="K45" s="31"/>
      <c r="L45" s="41"/>
      <c r="M45" s="32"/>
      <c r="O45" s="42" t="str">
        <f aca="false">Neu!$B18</f>
        <v>B65</v>
      </c>
      <c r="P45" s="31" t="s">
        <v>2</v>
      </c>
      <c r="Q45" s="32" t="s">
        <v>2</v>
      </c>
      <c r="R45" s="31"/>
      <c r="S45" s="32"/>
      <c r="T45" s="31"/>
      <c r="U45" s="32"/>
      <c r="V45" s="31"/>
      <c r="W45" s="32"/>
      <c r="X45" s="75"/>
      <c r="Y45" s="75"/>
      <c r="Z45" s="42" t="str">
        <f aca="false">Neu!$B18</f>
        <v>B65</v>
      </c>
      <c r="AA45" s="31"/>
      <c r="AB45" s="41"/>
      <c r="AC45" s="41"/>
      <c r="AD45" s="86"/>
      <c r="AE45" s="41"/>
      <c r="AF45" s="41"/>
      <c r="AG45" s="32"/>
      <c r="AH45" s="31"/>
      <c r="AI45" s="41"/>
      <c r="AJ45" s="41"/>
      <c r="AK45" s="41"/>
      <c r="AL45" s="41"/>
      <c r="AM45" s="41"/>
      <c r="AN45" s="32"/>
      <c r="AO45" s="31"/>
      <c r="AP45" s="41"/>
      <c r="AQ45" s="41"/>
      <c r="AR45" s="41"/>
      <c r="AS45" s="41"/>
      <c r="AT45" s="41"/>
      <c r="AU45" s="32"/>
      <c r="AV45" s="31"/>
      <c r="AW45" s="41"/>
      <c r="AX45" s="41"/>
      <c r="AY45" s="41"/>
      <c r="AZ45" s="41"/>
      <c r="BA45" s="41"/>
      <c r="BB45" s="32"/>
      <c r="BD45" s="42" t="str">
        <f aca="false">Neu!$B18</f>
        <v>B65</v>
      </c>
      <c r="BE45" s="87" t="n">
        <v>-60</v>
      </c>
    </row>
    <row r="46" customFormat="false" ht="15" hidden="false" customHeight="false" outlineLevel="0" collapsed="false">
      <c r="D46" s="42" t="str">
        <f aca="false">Neu!$B19</f>
        <v>CBI2</v>
      </c>
      <c r="E46" s="51" t="s">
        <v>2</v>
      </c>
      <c r="F46" s="41" t="n">
        <v>1</v>
      </c>
      <c r="G46" s="32" t="n">
        <v>0.2</v>
      </c>
      <c r="H46" s="31"/>
      <c r="I46" s="41"/>
      <c r="J46" s="32"/>
      <c r="K46" s="31"/>
      <c r="L46" s="41"/>
      <c r="M46" s="32"/>
      <c r="O46" s="42" t="str">
        <f aca="false">Neu!$B19</f>
        <v>CBI2</v>
      </c>
      <c r="P46" s="31" t="s">
        <v>2</v>
      </c>
      <c r="Q46" s="32" t="s">
        <v>2</v>
      </c>
      <c r="R46" s="31"/>
      <c r="S46" s="32"/>
      <c r="T46" s="31"/>
      <c r="U46" s="32"/>
      <c r="V46" s="31"/>
      <c r="W46" s="32"/>
      <c r="X46" s="75"/>
      <c r="Y46" s="75"/>
      <c r="Z46" s="42" t="str">
        <f aca="false">Neu!$B19</f>
        <v>CBI2</v>
      </c>
      <c r="AA46" s="31"/>
      <c r="AB46" s="41"/>
      <c r="AC46" s="41"/>
      <c r="AD46" s="86"/>
      <c r="AE46" s="41"/>
      <c r="AF46" s="41"/>
      <c r="AG46" s="32"/>
      <c r="AH46" s="31"/>
      <c r="AI46" s="41"/>
      <c r="AJ46" s="41"/>
      <c r="AK46" s="41"/>
      <c r="AL46" s="41"/>
      <c r="AM46" s="41"/>
      <c r="AN46" s="32"/>
      <c r="AO46" s="31"/>
      <c r="AP46" s="41"/>
      <c r="AQ46" s="41"/>
      <c r="AR46" s="41"/>
      <c r="AS46" s="41"/>
      <c r="AT46" s="41"/>
      <c r="AU46" s="32"/>
      <c r="AV46" s="31"/>
      <c r="AW46" s="41"/>
      <c r="AX46" s="41"/>
      <c r="AY46" s="41"/>
      <c r="AZ46" s="41"/>
      <c r="BA46" s="41"/>
      <c r="BB46" s="32"/>
      <c r="BD46" s="42" t="str">
        <f aca="false">Neu!$B19</f>
        <v>CBI2</v>
      </c>
      <c r="BE46" s="87" t="n">
        <v>-60</v>
      </c>
    </row>
    <row r="47" customFormat="false" ht="15" hidden="false" customHeight="false" outlineLevel="0" collapsed="false">
      <c r="D47" s="42" t="str">
        <f aca="false">Neu!$B20</f>
        <v>B6</v>
      </c>
      <c r="E47" s="83" t="s">
        <v>71</v>
      </c>
      <c r="F47" s="84" t="n">
        <v>8</v>
      </c>
      <c r="G47" s="84" t="n">
        <v>1</v>
      </c>
      <c r="H47" s="31"/>
      <c r="I47" s="41"/>
      <c r="J47" s="32"/>
      <c r="K47" s="31"/>
      <c r="L47" s="41"/>
      <c r="M47" s="32"/>
      <c r="O47" s="42" t="str">
        <f aca="false">Neu!$B20</f>
        <v>B6</v>
      </c>
      <c r="P47" s="83" t="s">
        <v>6</v>
      </c>
      <c r="Q47" s="85" t="s">
        <v>71</v>
      </c>
      <c r="R47" s="83" t="s">
        <v>5</v>
      </c>
      <c r="S47" s="85" t="s">
        <v>71</v>
      </c>
      <c r="T47" s="31"/>
      <c r="U47" s="32"/>
      <c r="V47" s="31"/>
      <c r="W47" s="32"/>
      <c r="X47" s="75"/>
      <c r="Y47" s="75"/>
      <c r="Z47" s="42" t="str">
        <f aca="false">Neu!$B20</f>
        <v>B6</v>
      </c>
      <c r="AA47" s="31" t="s">
        <v>71</v>
      </c>
      <c r="AB47" s="41" t="s">
        <v>8</v>
      </c>
      <c r="AC47" s="41" t="n">
        <v>1</v>
      </c>
      <c r="AD47" s="86" t="n">
        <v>1</v>
      </c>
      <c r="AE47" s="41" t="n">
        <v>10</v>
      </c>
      <c r="AF47" s="41" t="n">
        <v>0</v>
      </c>
      <c r="AG47" s="32"/>
      <c r="AH47" s="31"/>
      <c r="AI47" s="41"/>
      <c r="AJ47" s="41"/>
      <c r="AK47" s="41"/>
      <c r="AL47" s="41"/>
      <c r="AM47" s="41"/>
      <c r="AN47" s="32"/>
      <c r="AO47" s="31"/>
      <c r="AP47" s="41"/>
      <c r="AQ47" s="41"/>
      <c r="AR47" s="41"/>
      <c r="AS47" s="41"/>
      <c r="AT47" s="41"/>
      <c r="AU47" s="32"/>
      <c r="AV47" s="31"/>
      <c r="AW47" s="41"/>
      <c r="AX47" s="41"/>
      <c r="AY47" s="41"/>
      <c r="AZ47" s="41"/>
      <c r="BA47" s="41"/>
      <c r="BB47" s="32"/>
      <c r="BD47" s="42" t="str">
        <f aca="false">Neu!$B20</f>
        <v>B6</v>
      </c>
      <c r="BE47" s="87" t="n">
        <v>-60</v>
      </c>
    </row>
    <row r="48" customFormat="false" ht="15" hidden="false" customHeight="false" outlineLevel="0" collapsed="false">
      <c r="D48" s="42" t="str">
        <f aca="false">Neu!$B21</f>
        <v>B9</v>
      </c>
      <c r="E48" s="83" t="s">
        <v>71</v>
      </c>
      <c r="F48" s="84" t="n">
        <v>8</v>
      </c>
      <c r="G48" s="84" t="n">
        <v>1</v>
      </c>
      <c r="H48" s="31"/>
      <c r="I48" s="41"/>
      <c r="J48" s="32"/>
      <c r="K48" s="31"/>
      <c r="L48" s="41"/>
      <c r="M48" s="32"/>
      <c r="O48" s="42" t="str">
        <f aca="false">Neu!$B21</f>
        <v>B9</v>
      </c>
      <c r="P48" s="83" t="s">
        <v>6</v>
      </c>
      <c r="Q48" s="85" t="s">
        <v>71</v>
      </c>
      <c r="R48" s="83" t="s">
        <v>5</v>
      </c>
      <c r="S48" s="85" t="s">
        <v>71</v>
      </c>
      <c r="T48" s="31"/>
      <c r="U48" s="32"/>
      <c r="V48" s="31"/>
      <c r="W48" s="32"/>
      <c r="X48" s="75"/>
      <c r="Y48" s="75"/>
      <c r="Z48" s="42" t="str">
        <f aca="false">Neu!$B21</f>
        <v>B9</v>
      </c>
      <c r="AA48" s="31" t="s">
        <v>71</v>
      </c>
      <c r="AB48" s="41" t="s">
        <v>8</v>
      </c>
      <c r="AC48" s="41" t="n">
        <v>1</v>
      </c>
      <c r="AD48" s="86" t="n">
        <v>1</v>
      </c>
      <c r="AE48" s="41" t="n">
        <v>10</v>
      </c>
      <c r="AF48" s="41" t="n">
        <v>0</v>
      </c>
      <c r="AG48" s="32"/>
      <c r="AH48" s="31"/>
      <c r="AI48" s="41"/>
      <c r="AJ48" s="41"/>
      <c r="AK48" s="41"/>
      <c r="AL48" s="41"/>
      <c r="AM48" s="41"/>
      <c r="AN48" s="32"/>
      <c r="AO48" s="31"/>
      <c r="AP48" s="41"/>
      <c r="AQ48" s="41"/>
      <c r="AR48" s="41"/>
      <c r="AS48" s="41"/>
      <c r="AT48" s="41"/>
      <c r="AU48" s="32"/>
      <c r="AV48" s="31"/>
      <c r="AW48" s="41"/>
      <c r="AX48" s="41"/>
      <c r="AY48" s="41"/>
      <c r="AZ48" s="41"/>
      <c r="BA48" s="41"/>
      <c r="BB48" s="32"/>
      <c r="BD48" s="42" t="str">
        <f aca="false">Neu!$B21</f>
        <v>B9</v>
      </c>
      <c r="BE48" s="87" t="n">
        <v>-60</v>
      </c>
    </row>
    <row r="49" customFormat="false" ht="15" hidden="false" customHeight="false" outlineLevel="0" collapsed="false">
      <c r="D49" s="42" t="str">
        <f aca="false">Neu!$B22</f>
        <v>B3</v>
      </c>
      <c r="E49" s="83" t="s">
        <v>71</v>
      </c>
      <c r="F49" s="84" t="n">
        <v>8</v>
      </c>
      <c r="G49" s="84" t="n">
        <v>1</v>
      </c>
      <c r="H49" s="31"/>
      <c r="I49" s="41"/>
      <c r="J49" s="32"/>
      <c r="K49" s="31"/>
      <c r="L49" s="41"/>
      <c r="M49" s="32"/>
      <c r="O49" s="42" t="str">
        <f aca="false">Neu!$B22</f>
        <v>B3</v>
      </c>
      <c r="P49" s="83" t="s">
        <v>6</v>
      </c>
      <c r="Q49" s="85" t="s">
        <v>71</v>
      </c>
      <c r="R49" s="83" t="s">
        <v>5</v>
      </c>
      <c r="S49" s="85" t="s">
        <v>71</v>
      </c>
      <c r="T49" s="31"/>
      <c r="U49" s="32"/>
      <c r="V49" s="31"/>
      <c r="W49" s="32"/>
      <c r="X49" s="75"/>
      <c r="Y49" s="75"/>
      <c r="Z49" s="42" t="str">
        <f aca="false">Neu!$B22</f>
        <v>B3</v>
      </c>
      <c r="AA49" s="31" t="s">
        <v>71</v>
      </c>
      <c r="AB49" s="41" t="s">
        <v>8</v>
      </c>
      <c r="AC49" s="41" t="n">
        <v>1</v>
      </c>
      <c r="AD49" s="86" t="n">
        <v>1</v>
      </c>
      <c r="AE49" s="41" t="n">
        <v>10</v>
      </c>
      <c r="AF49" s="41" t="n">
        <v>0</v>
      </c>
      <c r="AG49" s="32"/>
      <c r="AH49" s="31"/>
      <c r="AI49" s="41"/>
      <c r="AJ49" s="41"/>
      <c r="AK49" s="41"/>
      <c r="AL49" s="41"/>
      <c r="AM49" s="41"/>
      <c r="AN49" s="32"/>
      <c r="AO49" s="31"/>
      <c r="AP49" s="41"/>
      <c r="AQ49" s="41"/>
      <c r="AR49" s="41"/>
      <c r="AS49" s="41"/>
      <c r="AT49" s="41"/>
      <c r="AU49" s="32"/>
      <c r="AV49" s="31"/>
      <c r="AW49" s="41"/>
      <c r="AX49" s="41"/>
      <c r="AY49" s="41"/>
      <c r="AZ49" s="41"/>
      <c r="BA49" s="41"/>
      <c r="BB49" s="32"/>
      <c r="BD49" s="42" t="str">
        <f aca="false">Neu!$B22</f>
        <v>B3</v>
      </c>
      <c r="BE49" s="87" t="n">
        <v>-60</v>
      </c>
    </row>
    <row r="50" customFormat="false" ht="15" hidden="false" customHeight="false" outlineLevel="0" collapsed="false">
      <c r="D50" s="42" t="str">
        <f aca="false">Neu!$B23</f>
        <v>B91</v>
      </c>
      <c r="E50" s="83"/>
      <c r="F50" s="84"/>
      <c r="G50" s="84"/>
      <c r="H50" s="31"/>
      <c r="I50" s="41"/>
      <c r="J50" s="32"/>
      <c r="K50" s="31"/>
      <c r="L50" s="41"/>
      <c r="M50" s="32"/>
      <c r="O50" s="42" t="str">
        <f aca="false">Neu!$B23</f>
        <v>B91</v>
      </c>
      <c r="P50" s="83"/>
      <c r="Q50" s="85"/>
      <c r="R50" s="83"/>
      <c r="S50" s="85"/>
      <c r="T50" s="31"/>
      <c r="U50" s="32"/>
      <c r="V50" s="31"/>
      <c r="W50" s="32"/>
      <c r="X50" s="75"/>
      <c r="Y50" s="75"/>
      <c r="Z50" s="42" t="str">
        <f aca="false">Neu!$B23</f>
        <v>B91</v>
      </c>
      <c r="AA50" s="31"/>
      <c r="AB50" s="41"/>
      <c r="AC50" s="41"/>
      <c r="AD50" s="86"/>
      <c r="AE50" s="41"/>
      <c r="AF50" s="41"/>
      <c r="AG50" s="32"/>
      <c r="AH50" s="31"/>
      <c r="AI50" s="41"/>
      <c r="AJ50" s="41"/>
      <c r="AK50" s="41"/>
      <c r="AL50" s="41"/>
      <c r="AM50" s="41"/>
      <c r="AN50" s="32"/>
      <c r="AO50" s="31"/>
      <c r="AP50" s="41"/>
      <c r="AQ50" s="41"/>
      <c r="AR50" s="41"/>
      <c r="AS50" s="41"/>
      <c r="AT50" s="41"/>
      <c r="AU50" s="32"/>
      <c r="AV50" s="31"/>
      <c r="AW50" s="41"/>
      <c r="AX50" s="41"/>
      <c r="AY50" s="41"/>
      <c r="AZ50" s="41"/>
      <c r="BA50" s="41"/>
      <c r="BB50" s="32"/>
      <c r="BD50" s="42" t="str">
        <f aca="false">Neu!$B23</f>
        <v>B91</v>
      </c>
      <c r="BE50" s="87" t="n">
        <v>-60</v>
      </c>
    </row>
    <row r="51" customFormat="false" ht="15.75" hidden="false" customHeight="false" outlineLevel="0" collapsed="false">
      <c r="D51" s="89" t="str">
        <f aca="false">Neu!$B24</f>
        <v>B52b</v>
      </c>
      <c r="E51" s="51" t="s">
        <v>71</v>
      </c>
      <c r="F51" s="41" t="n">
        <v>8</v>
      </c>
      <c r="G51" s="32" t="n">
        <v>1</v>
      </c>
      <c r="H51" s="90"/>
      <c r="I51" s="91"/>
      <c r="J51" s="92"/>
      <c r="K51" s="90"/>
      <c r="L51" s="91"/>
      <c r="M51" s="92"/>
      <c r="O51" s="89" t="str">
        <f aca="false">Neu!$B24</f>
        <v>B52b</v>
      </c>
      <c r="P51" s="83" t="s">
        <v>6</v>
      </c>
      <c r="Q51" s="85" t="s">
        <v>71</v>
      </c>
      <c r="R51" s="83" t="s">
        <v>5</v>
      </c>
      <c r="S51" s="85" t="s">
        <v>71</v>
      </c>
      <c r="T51" s="90"/>
      <c r="U51" s="92"/>
      <c r="V51" s="90"/>
      <c r="W51" s="92"/>
      <c r="X51" s="75"/>
      <c r="Y51" s="75"/>
      <c r="Z51" s="89" t="str">
        <f aca="false">Neu!$B24</f>
        <v>B52b</v>
      </c>
      <c r="AA51" s="83" t="s">
        <v>71</v>
      </c>
      <c r="AB51" s="84" t="s">
        <v>8</v>
      </c>
      <c r="AC51" s="84" t="n">
        <v>1</v>
      </c>
      <c r="AD51" s="86" t="n">
        <v>1</v>
      </c>
      <c r="AE51" s="84" t="n">
        <v>10</v>
      </c>
      <c r="AF51" s="84" t="n">
        <v>0</v>
      </c>
      <c r="AG51" s="92"/>
      <c r="AH51" s="90"/>
      <c r="AI51" s="91"/>
      <c r="AJ51" s="91"/>
      <c r="AK51" s="91"/>
      <c r="AL51" s="91"/>
      <c r="AM51" s="91"/>
      <c r="AN51" s="92"/>
      <c r="AO51" s="90"/>
      <c r="AP51" s="91"/>
      <c r="AQ51" s="91"/>
      <c r="AR51" s="91"/>
      <c r="AS51" s="91"/>
      <c r="AT51" s="91"/>
      <c r="AU51" s="92"/>
      <c r="AV51" s="90"/>
      <c r="AW51" s="91"/>
      <c r="AX51" s="91"/>
      <c r="AY51" s="91"/>
      <c r="AZ51" s="91"/>
      <c r="BA51" s="91"/>
      <c r="BB51" s="92"/>
      <c r="BD51" s="89" t="str">
        <f aca="false">Neu!$B24</f>
        <v>B52b</v>
      </c>
      <c r="BE51" s="93" t="n">
        <v>-60</v>
      </c>
    </row>
    <row r="52" customFormat="false" ht="15" hidden="false" customHeight="false" outlineLevel="0" collapsed="false">
      <c r="X52" s="75"/>
      <c r="Y52" s="75"/>
      <c r="AC52" s="76"/>
      <c r="AD52" s="94"/>
      <c r="AE52" s="76"/>
      <c r="AF52" s="76"/>
      <c r="AG52" s="76"/>
      <c r="AH52" s="75"/>
      <c r="AV52" s="76"/>
      <c r="AW52" s="76"/>
      <c r="AX52" s="76"/>
      <c r="AY52" s="76"/>
      <c r="AZ52" s="76"/>
      <c r="BA52" s="76"/>
      <c r="BB52" s="76"/>
    </row>
    <row r="53" customFormat="false" ht="15" hidden="false" customHeight="false" outlineLevel="0" collapsed="false">
      <c r="X53" s="75"/>
      <c r="Y53" s="75"/>
    </row>
    <row r="54" customFormat="false" ht="15" hidden="false" customHeight="false" outlineLevel="0" collapsed="false">
      <c r="F54" s="1" t="s">
        <v>73</v>
      </c>
      <c r="AC54" s="2" t="s">
        <v>74</v>
      </c>
      <c r="AD54" s="1" t="s">
        <v>75</v>
      </c>
      <c r="AG54" s="1" t="s">
        <v>76</v>
      </c>
      <c r="AM54" s="95" t="s">
        <v>77</v>
      </c>
      <c r="AN54" s="1" t="s">
        <v>78</v>
      </c>
    </row>
    <row r="55" customFormat="false" ht="15" hidden="false" customHeight="false" outlineLevel="0" collapsed="false">
      <c r="AC55" s="2" t="s">
        <v>79</v>
      </c>
      <c r="AD55" s="1" t="s">
        <v>80</v>
      </c>
      <c r="AG55" s="1" t="s">
        <v>81</v>
      </c>
      <c r="AM55" s="95" t="s">
        <v>82</v>
      </c>
      <c r="AN55" s="1" t="s">
        <v>83</v>
      </c>
    </row>
    <row r="56" customFormat="false" ht="15" hidden="false" customHeight="false" outlineLevel="0" collapsed="false">
      <c r="AC56" s="95" t="s">
        <v>84</v>
      </c>
      <c r="AD56" s="1" t="s">
        <v>85</v>
      </c>
      <c r="AG56" s="1" t="s">
        <v>86</v>
      </c>
      <c r="AM56" s="95" t="s">
        <v>84</v>
      </c>
      <c r="AN56" s="1" t="s">
        <v>87</v>
      </c>
    </row>
    <row r="57" customFormat="false" ht="15" hidden="false" customHeight="false" outlineLevel="0" collapsed="false">
      <c r="C57" s="1" t="s">
        <v>22</v>
      </c>
      <c r="D57" s="1" t="s">
        <v>88</v>
      </c>
      <c r="AM57" s="95" t="s">
        <v>89</v>
      </c>
      <c r="AN57" s="1" t="s">
        <v>90</v>
      </c>
    </row>
    <row r="58" customFormat="false" ht="15" hidden="false" customHeight="false" outlineLevel="0" collapsed="false">
      <c r="C58" s="1" t="s">
        <v>23</v>
      </c>
      <c r="D58" s="1" t="s">
        <v>91</v>
      </c>
      <c r="AM58" s="95" t="s">
        <v>92</v>
      </c>
      <c r="AN58" s="1" t="s">
        <v>93</v>
      </c>
    </row>
    <row r="59" customFormat="false" ht="15" hidden="false" customHeight="false" outlineLevel="0" collapsed="false">
      <c r="C59" s="1" t="s">
        <v>24</v>
      </c>
      <c r="D59" s="1" t="s">
        <v>94</v>
      </c>
      <c r="AM59" s="96"/>
    </row>
    <row r="60" customFormat="false" ht="15" hidden="false" customHeight="false" outlineLevel="0" collapsed="false">
      <c r="C60" s="1" t="s">
        <v>21</v>
      </c>
      <c r="D60" s="1" t="s">
        <v>95</v>
      </c>
    </row>
    <row r="61" customFormat="false" ht="15" hidden="false" customHeight="false" outlineLevel="0" collapsed="false">
      <c r="C61" s="1" t="s">
        <v>25</v>
      </c>
      <c r="D61" s="1" t="s">
        <v>96</v>
      </c>
    </row>
    <row r="62" customFormat="false" ht="15" hidden="false" customHeight="false" outlineLevel="0" collapsed="false">
      <c r="C62" s="1" t="s">
        <v>26</v>
      </c>
      <c r="D62" s="1" t="s">
        <v>97</v>
      </c>
    </row>
  </sheetData>
  <mergeCells count="46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IP1:JP1"/>
    <mergeCell ref="JQ1:KQ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  <mergeCell ref="IP2:IR2"/>
    <mergeCell ref="IS2:JD2"/>
    <mergeCell ref="JE2:JP2"/>
    <mergeCell ref="JQ2:JS2"/>
    <mergeCell ref="JT2:KE2"/>
    <mergeCell ref="KF2:KQ2"/>
  </mergeCells>
  <conditionalFormatting sqref="D31:D51">
    <cfRule type="cellIs" priority="2" operator="equal" aboveAverage="0" equalAverage="0" bottom="0" percent="0" rank="0" text="" dxfId="0">
      <formula>0</formula>
    </cfRule>
  </conditionalFormatting>
  <conditionalFormatting sqref="CJ9:EK13 CJ8:DB8 DH8:DJ8 EI7:EK8 CJ7:DJ7 E7:BH12 E13:I13 E20:BH20 AE13:AJ13 AT13:BH13 CJ20:EK20 S13:U13">
    <cfRule type="expression" priority="3" aboveAverage="0" equalAverage="0" bottom="0" percent="0" rank="0" text="" dxfId="1">
      <formula>LEN(TRIM(E7))&gt;0</formula>
    </cfRule>
  </conditionalFormatting>
  <conditionalFormatting sqref="FM7:GM13 FM20:GM20">
    <cfRule type="expression" priority="4" aboveAverage="0" equalAverage="0" bottom="0" percent="0" rank="0" text="" dxfId="2">
      <formula>LEN(TRIM(FM7))&gt;0</formula>
    </cfRule>
  </conditionalFormatting>
  <conditionalFormatting sqref="HO7:IO7 HO9:IO12 HO8:HU8 ID8:IO8 HO13:HU13 ID13:IO13 HO20:IO20">
    <cfRule type="expression" priority="5" aboveAverage="0" equalAverage="0" bottom="0" percent="0" rank="0" text="" dxfId="3">
      <formula>LEN(TRIM(HO7))&gt;0</formula>
    </cfRule>
  </conditionalFormatting>
  <conditionalFormatting sqref="BI7:CI13 BI20:CI20">
    <cfRule type="expression" priority="6" aboveAverage="0" equalAverage="0" bottom="0" percent="0" rank="0" text="" dxfId="4">
      <formula>LEN(TRIM(BI7))&gt;0</formula>
    </cfRule>
  </conditionalFormatting>
  <conditionalFormatting sqref="A4 A11:A24">
    <cfRule type="cellIs" priority="7" operator="equal" aboveAverage="0" equalAverage="0" bottom="0" percent="0" rank="0" text="" dxfId="5">
      <formula>0</formula>
    </cfRule>
  </conditionalFormatting>
  <conditionalFormatting sqref="DC25:DG25">
    <cfRule type="expression" priority="8" aboveAverage="0" equalAverage="0" bottom="0" percent="0" rank="0" text="" dxfId="6">
      <formula>LEN(TRIM(DC25))&gt;0</formula>
    </cfRule>
  </conditionalFormatting>
  <conditionalFormatting sqref="DC26">
    <cfRule type="expression" priority="9" aboveAverage="0" equalAverage="0" bottom="0" percent="0" rank="0" text="" dxfId="7">
      <formula>LEN(TRIM(DC26))&gt;0</formula>
    </cfRule>
  </conditionalFormatting>
  <conditionalFormatting sqref="DC27:DG27">
    <cfRule type="expression" priority="10" aboveAverage="0" equalAverage="0" bottom="0" percent="0" rank="0" text="" dxfId="8">
      <formula>LEN(TRIM(DC27))&gt;0</formula>
    </cfRule>
  </conditionalFormatting>
  <conditionalFormatting sqref="DC8:DG8">
    <cfRule type="expression" priority="11" aboveAverage="0" equalAverage="0" bottom="0" percent="0" rank="0" text="" dxfId="9">
      <formula>LEN(TRIM(DC8))&gt;0</formula>
    </cfRule>
  </conditionalFormatting>
  <conditionalFormatting sqref="DK28:EH29">
    <cfRule type="expression" priority="12" aboveAverage="0" equalAverage="0" bottom="0" percent="0" rank="0" text="" dxfId="10">
      <formula>LEN(TRIM(DK28))&gt;0</formula>
    </cfRule>
  </conditionalFormatting>
  <conditionalFormatting sqref="DK7:EH8">
    <cfRule type="expression" priority="13" aboveAverage="0" equalAverage="0" bottom="0" percent="0" rank="0" text="" dxfId="11">
      <formula>LEN(TRIM(DK7))&gt;0</formula>
    </cfRule>
  </conditionalFormatting>
  <conditionalFormatting sqref="HO25:HU25 ID25:IH25">
    <cfRule type="expression" priority="14" aboveAverage="0" equalAverage="0" bottom="0" percent="0" rank="0" text="" dxfId="12">
      <formula>LEN(TRIM(HO25))&gt;0</formula>
    </cfRule>
  </conditionalFormatting>
  <conditionalFormatting sqref="HV26:IC26">
    <cfRule type="expression" priority="15" aboveAverage="0" equalAverage="0" bottom="0" percent="0" rank="0" text="" dxfId="13">
      <formula>LEN(TRIM(HV26))&gt;0</formula>
    </cfRule>
  </conditionalFormatting>
  <conditionalFormatting sqref="V25:AD25">
    <cfRule type="expression" priority="16" aboveAverage="0" equalAverage="0" bottom="0" percent="0" rank="0" text="" dxfId="14">
      <formula>LEN(TRIM(V25))&gt;0</formula>
    </cfRule>
  </conditionalFormatting>
  <conditionalFormatting sqref="HO27:HU27 ID27:IH27">
    <cfRule type="expression" priority="17" aboveAverage="0" equalAverage="0" bottom="0" percent="0" rank="0" text="" dxfId="15">
      <formula>LEN(TRIM(HO27))&gt;0</formula>
    </cfRule>
  </conditionalFormatting>
  <conditionalFormatting sqref="HV27:IC27">
    <cfRule type="expression" priority="18" aboveAverage="0" equalAverage="0" bottom="0" percent="0" rank="0" text="" dxfId="16">
      <formula>LEN(TRIM(HV27))&gt;0</formula>
    </cfRule>
  </conditionalFormatting>
  <conditionalFormatting sqref="HV8:IC8">
    <cfRule type="expression" priority="19" aboveAverage="0" equalAverage="0" bottom="0" percent="0" rank="0" text="" dxfId="17">
      <formula>LEN(TRIM(HV8))&gt;0</formula>
    </cfRule>
  </conditionalFormatting>
  <conditionalFormatting sqref="IP7:JP7 IP9:JP13 IP8:IV8 JE8:JP8 IP20:JP20">
    <cfRule type="expression" priority="20" aboveAverage="0" equalAverage="0" bottom="0" percent="0" rank="0" text="" dxfId="18">
      <formula>LEN(TRIM(IP7))&gt;0</formula>
    </cfRule>
  </conditionalFormatting>
  <conditionalFormatting sqref="IW8:JD8">
    <cfRule type="expression" priority="21" aboveAverage="0" equalAverage="0" bottom="0" percent="0" rank="0" text="" dxfId="19">
      <formula>LEN(TRIM(IW8))&gt;0</formula>
    </cfRule>
  </conditionalFormatting>
  <conditionalFormatting sqref="HO29">
    <cfRule type="expression" priority="22" aboveAverage="0" equalAverage="0" bottom="0" percent="0" rank="0" text="" dxfId="20">
      <formula>LEN(TRIM(HO29))&gt;0</formula>
    </cfRule>
  </conditionalFormatting>
  <conditionalFormatting sqref="HO30">
    <cfRule type="expression" priority="23" aboveAverage="0" equalAverage="0" bottom="0" percent="0" rank="0" text="" dxfId="21">
      <formula>LEN(TRIM(HO30))&gt;0</formula>
    </cfRule>
  </conditionalFormatting>
  <conditionalFormatting sqref="HO31">
    <cfRule type="expression" priority="24" aboveAverage="0" equalAverage="0" bottom="0" percent="0" rank="0" text="" dxfId="22">
      <formula>LEN(TRIM(HO31))&gt;0</formula>
    </cfRule>
  </conditionalFormatting>
  <conditionalFormatting sqref="JX6:KE6">
    <cfRule type="expression" priority="25" aboveAverage="0" equalAverage="0" bottom="0" percent="0" rank="0" text="" dxfId="23">
      <formula>LEN(TRIM(JX6))&gt;0</formula>
    </cfRule>
  </conditionalFormatting>
  <conditionalFormatting sqref="JQ6:JW6">
    <cfRule type="expression" priority="26" aboveAverage="0" equalAverage="0" bottom="0" percent="0" rank="0" text="" dxfId="24">
      <formula>LEN(TRIM(JQ6))&gt;0</formula>
    </cfRule>
  </conditionalFormatting>
  <conditionalFormatting sqref="HV13:IC13">
    <cfRule type="expression" priority="27" aboveAverage="0" equalAverage="0" bottom="0" percent="0" rank="0" text="" dxfId="25">
      <formula>LEN(TRIM(HV13))&gt;0</formula>
    </cfRule>
  </conditionalFormatting>
  <conditionalFormatting sqref="HV25:IC25">
    <cfRule type="expression" priority="28" aboveAverage="0" equalAverage="0" bottom="0" percent="0" rank="0" text="" dxfId="26">
      <formula>LEN(TRIM(HV25))&gt;0</formula>
    </cfRule>
  </conditionalFormatting>
  <conditionalFormatting sqref="A5">
    <cfRule type="cellIs" priority="29" operator="equal" aboveAverage="0" equalAverage="0" bottom="0" percent="0" rank="0" text="" dxfId="27">
      <formula>0</formula>
    </cfRule>
  </conditionalFormatting>
  <conditionalFormatting sqref="J25:R25">
    <cfRule type="expression" priority="30" aboveAverage="0" equalAverage="0" bottom="0" percent="0" rank="0" text="" dxfId="28">
      <formula>LEN(TRIM(J25))&gt;0</formula>
    </cfRule>
  </conditionalFormatting>
  <conditionalFormatting sqref="J26:R26">
    <cfRule type="expression" priority="31" aboveAverage="0" equalAverage="0" bottom="0" percent="0" rank="0" text="" dxfId="29">
      <formula>LEN(TRIM(J26))&gt;0</formula>
    </cfRule>
  </conditionalFormatting>
  <conditionalFormatting sqref="CJ6:DB6 DH6:DJ6 E6:F6 EI6:EK6 AE6:AJ6 AT6:BH6">
    <cfRule type="expression" priority="32" aboveAverage="0" equalAverage="0" bottom="0" percent="0" rank="0" text="" dxfId="30">
      <formula>LEN(TRIM(E6))&gt;0</formula>
    </cfRule>
  </conditionalFormatting>
  <conditionalFormatting sqref="FM6:GM6">
    <cfRule type="expression" priority="33" aboveAverage="0" equalAverage="0" bottom="0" percent="0" rank="0" text="" dxfId="31">
      <formula>LEN(TRIM(FM6))&gt;0</formula>
    </cfRule>
  </conditionalFormatting>
  <conditionalFormatting sqref="HP6:HU6 ID6:IO6">
    <cfRule type="expression" priority="34" aboveAverage="0" equalAverage="0" bottom="0" percent="0" rank="0" text="" dxfId="32">
      <formula>LEN(TRIM(HP6))&gt;0</formula>
    </cfRule>
  </conditionalFormatting>
  <conditionalFormatting sqref="BJ6:CI6">
    <cfRule type="expression" priority="35" aboveAverage="0" equalAverage="0" bottom="0" percent="0" rank="0" text="" dxfId="33">
      <formula>LEN(TRIM(BJ6))&gt;0</formula>
    </cfRule>
  </conditionalFormatting>
  <conditionalFormatting sqref="A6:A10">
    <cfRule type="cellIs" priority="36" operator="equal" aboveAverage="0" equalAverage="0" bottom="0" percent="0" rank="0" text="" dxfId="34">
      <formula>0</formula>
    </cfRule>
  </conditionalFormatting>
  <conditionalFormatting sqref="DC6:DG6">
    <cfRule type="expression" priority="37" aboveAverage="0" equalAverage="0" bottom="0" percent="0" rank="0" text="" dxfId="35">
      <formula>LEN(TRIM(DC6))&gt;0</formula>
    </cfRule>
  </conditionalFormatting>
  <conditionalFormatting sqref="DK6:EH6">
    <cfRule type="expression" priority="38" aboveAverage="0" equalAverage="0" bottom="0" percent="0" rank="0" text="" dxfId="36">
      <formula>LEN(TRIM(DK6))&gt;0</formula>
    </cfRule>
  </conditionalFormatting>
  <conditionalFormatting sqref="HV6:IC6">
    <cfRule type="expression" priority="39" aboveAverage="0" equalAverage="0" bottom="0" percent="0" rank="0" text="" dxfId="37">
      <formula>LEN(TRIM(HV6))&gt;0</formula>
    </cfRule>
  </conditionalFormatting>
  <conditionalFormatting sqref="JE6:JP6">
    <cfRule type="expression" priority="40" aboveAverage="0" equalAverage="0" bottom="0" percent="0" rank="0" text="" dxfId="38">
      <formula>LEN(TRIM(JE6))&gt;0</formula>
    </cfRule>
  </conditionalFormatting>
  <conditionalFormatting sqref="JB25:JD25">
    <cfRule type="expression" priority="41" aboveAverage="0" equalAverage="0" bottom="0" percent="0" rank="0" text="" dxfId="39">
      <formula>LEN(TRIM(JB25))&gt;0</formula>
    </cfRule>
  </conditionalFormatting>
  <conditionalFormatting sqref="IW26:JD26">
    <cfRule type="expression" priority="42" aboveAverage="0" equalAverage="0" bottom="0" percent="0" rank="0" text="" dxfId="40">
      <formula>LEN(TRIM(IW26))&gt;0</formula>
    </cfRule>
  </conditionalFormatting>
  <conditionalFormatting sqref="IW27:JD27">
    <cfRule type="expression" priority="43" aboveAverage="0" equalAverage="0" bottom="0" percent="0" rank="0" text="" dxfId="41">
      <formula>LEN(TRIM(IW27))&gt;0</formula>
    </cfRule>
  </conditionalFormatting>
  <conditionalFormatting sqref="IW6:JD6">
    <cfRule type="expression" priority="44" aboveAverage="0" equalAverage="0" bottom="0" percent="0" rank="0" text="" dxfId="42">
      <formula>LEN(TRIM(IW6))&gt;0</formula>
    </cfRule>
  </conditionalFormatting>
  <conditionalFormatting sqref="IP26:IV26">
    <cfRule type="expression" priority="45" aboveAverage="0" equalAverage="0" bottom="0" percent="0" rank="0" text="" dxfId="43">
      <formula>LEN(TRIM(IP26))&gt;0</formula>
    </cfRule>
  </conditionalFormatting>
  <conditionalFormatting sqref="IP6:IV6">
    <cfRule type="expression" priority="46" aboveAverage="0" equalAverage="0" bottom="0" percent="0" rank="0" text="" dxfId="44">
      <formula>LEN(TRIM(IP6))&gt;0</formula>
    </cfRule>
  </conditionalFormatting>
  <conditionalFormatting sqref="BI25">
    <cfRule type="expression" priority="47" aboveAverage="0" equalAverage="0" bottom="0" percent="0" rank="0" text="" dxfId="45">
      <formula>LEN(TRIM(BI25))&gt;0</formula>
    </cfRule>
  </conditionalFormatting>
  <conditionalFormatting sqref="BI26">
    <cfRule type="expression" priority="48" aboveAverage="0" equalAverage="0" bottom="0" percent="0" rank="0" text="" dxfId="46">
      <formula>LEN(TRIM(BI26))&gt;0</formula>
    </cfRule>
  </conditionalFormatting>
  <conditionalFormatting sqref="BI27">
    <cfRule type="expression" priority="49" aboveAverage="0" equalAverage="0" bottom="0" percent="0" rank="0" text="" dxfId="47">
      <formula>LEN(TRIM(BI27))&gt;0</formula>
    </cfRule>
  </conditionalFormatting>
  <conditionalFormatting sqref="IP14:IV14 JE14:JP14">
    <cfRule type="expression" priority="50" aboveAverage="0" equalAverage="0" bottom="0" percent="0" rank="0" text="" dxfId="48">
      <formula>LEN(TRIM(IP14))&gt;0</formula>
    </cfRule>
  </conditionalFormatting>
  <conditionalFormatting sqref="CC14:CI14">
    <cfRule type="expression" priority="51" aboveAverage="0" equalAverage="0" bottom="0" percent="0" rank="0" text="" dxfId="49">
      <formula>LEN(TRIM(CC14))&gt;0</formula>
    </cfRule>
  </conditionalFormatting>
  <conditionalFormatting sqref="BI6">
    <cfRule type="expression" priority="52" aboveAverage="0" equalAverage="0" bottom="0" percent="0" rank="0" text="" dxfId="50">
      <formula>LEN(TRIM(BI6))&gt;0</formula>
    </cfRule>
  </conditionalFormatting>
  <conditionalFormatting sqref="G25:I25 S25:U25">
    <cfRule type="expression" priority="53" aboveAverage="0" equalAverage="0" bottom="0" percent="0" rank="0" text="" dxfId="51">
      <formula>LEN(TRIM(G25))&gt;0</formula>
    </cfRule>
  </conditionalFormatting>
  <conditionalFormatting sqref="DJ25">
    <cfRule type="expression" priority="54" aboveAverage="0" equalAverage="0" bottom="0" percent="0" rank="0" text="" dxfId="52">
      <formula>LEN(TRIM(DJ25))&gt;0</formula>
    </cfRule>
  </conditionalFormatting>
  <conditionalFormatting sqref="DJ26">
    <cfRule type="expression" priority="55" aboveAverage="0" equalAverage="0" bottom="0" percent="0" rank="0" text="" dxfId="53">
      <formula>LEN(TRIM(DJ26))&gt;0</formula>
    </cfRule>
  </conditionalFormatting>
  <conditionalFormatting sqref="DJ27">
    <cfRule type="expression" priority="56" aboveAverage="0" equalAverage="0" bottom="0" percent="0" rank="0" text="" dxfId="54">
      <formula>LEN(TRIM(DJ27))&gt;0</formula>
    </cfRule>
  </conditionalFormatting>
  <conditionalFormatting sqref="DK25:EH25">
    <cfRule type="expression" priority="57" aboveAverage="0" equalAverage="0" bottom="0" percent="0" rank="0" text="" dxfId="55">
      <formula>LEN(TRIM(DK25))&gt;0</formula>
    </cfRule>
  </conditionalFormatting>
  <conditionalFormatting sqref="DK26:EH26">
    <cfRule type="expression" priority="58" aboveAverage="0" equalAverage="0" bottom="0" percent="0" rank="0" text="" dxfId="56">
      <formula>LEN(TRIM(DK26))&gt;0</formula>
    </cfRule>
  </conditionalFormatting>
  <conditionalFormatting sqref="DK27:EH27">
    <cfRule type="expression" priority="59" aboveAverage="0" equalAverage="0" bottom="0" percent="0" rank="0" text="" dxfId="57">
      <formula>LEN(TRIM(DK27))&gt;0</formula>
    </cfRule>
  </conditionalFormatting>
  <conditionalFormatting sqref="AH25:AJ25 AT25:BE25">
    <cfRule type="expression" priority="60" aboveAverage="0" equalAverage="0" bottom="0" percent="0" rank="0" text="" dxfId="58">
      <formula>LEN(TRIM(AH25))&gt;0</formula>
    </cfRule>
  </conditionalFormatting>
  <conditionalFormatting sqref="AH26:AJ26 AT26:BE26">
    <cfRule type="expression" priority="61" aboveAverage="0" equalAverage="0" bottom="0" percent="0" rank="0" text="" dxfId="59">
      <formula>LEN(TRIM(AH26))&gt;0</formula>
    </cfRule>
  </conditionalFormatting>
  <conditionalFormatting sqref="AH27:BE27">
    <cfRule type="expression" priority="62" aboveAverage="0" equalAverage="0" bottom="0" percent="0" rank="0" text="" dxfId="60">
      <formula>LEN(TRIM(AH27))&gt;0</formula>
    </cfRule>
  </conditionalFormatting>
  <conditionalFormatting sqref="GL25">
    <cfRule type="expression" priority="63" aboveAverage="0" equalAverage="0" bottom="0" percent="0" rank="0" text="" dxfId="61">
      <formula>LEN(TRIM(GL25))&gt;0</formula>
    </cfRule>
  </conditionalFormatting>
  <conditionalFormatting sqref="GL26">
    <cfRule type="expression" priority="64" aboveAverage="0" equalAverage="0" bottom="0" percent="0" rank="0" text="" dxfId="62">
      <formula>LEN(TRIM(GL26))&gt;0</formula>
    </cfRule>
  </conditionalFormatting>
  <conditionalFormatting sqref="GL27">
    <cfRule type="expression" priority="65" aboveAverage="0" equalAverage="0" bottom="0" percent="0" rank="0" text="" dxfId="63">
      <formula>LEN(TRIM(GL27))&gt;0</formula>
    </cfRule>
  </conditionalFormatting>
  <conditionalFormatting sqref="G26:I26 S26:U26">
    <cfRule type="expression" priority="66" aboveAverage="0" equalAverage="0" bottom="0" percent="0" rank="0" text="" dxfId="64">
      <formula>LEN(TRIM(G26))&gt;0</formula>
    </cfRule>
  </conditionalFormatting>
  <conditionalFormatting sqref="G6:AD6">
    <cfRule type="expression" priority="67" aboveAverage="0" equalAverage="0" bottom="0" percent="0" rank="0" text="" dxfId="65">
      <formula>LEN(TRIM(G6))&gt;0</formula>
    </cfRule>
  </conditionalFormatting>
  <conditionalFormatting sqref="GG17:GJ17">
    <cfRule type="expression" priority="68" aboveAverage="0" equalAverage="0" bottom="0" percent="0" rank="0" text="" dxfId="66">
      <formula>LEN(TRIM(GG17))&gt;0</formula>
    </cfRule>
  </conditionalFormatting>
  <conditionalFormatting sqref="HO14">
    <cfRule type="expression" priority="69" aboveAverage="0" equalAverage="0" bottom="0" percent="0" rank="0" text="" dxfId="67">
      <formula>LEN(TRIM(HO14))&gt;0</formula>
    </cfRule>
  </conditionalFormatting>
  <conditionalFormatting sqref="HO6">
    <cfRule type="expression" priority="70" aboveAverage="0" equalAverage="0" bottom="0" percent="0" rank="0" text="" dxfId="68">
      <formula>LEN(TRIM(HO6))&gt;0</formula>
    </cfRule>
  </conditionalFormatting>
  <conditionalFormatting sqref="EL9:FL13 EL8:FD8 FJ8:FL8 EL7:FL7 EL20:FL20">
    <cfRule type="expression" priority="71" aboveAverage="0" equalAverage="0" bottom="0" percent="0" rank="0" text="" dxfId="69">
      <formula>LEN(TRIM(EL7))&gt;0</formula>
    </cfRule>
  </conditionalFormatting>
  <conditionalFormatting sqref="FE25:FI25">
    <cfRule type="expression" priority="72" aboveAverage="0" equalAverage="0" bottom="0" percent="0" rank="0" text="" dxfId="70">
      <formula>LEN(TRIM(FE25))&gt;0</formula>
    </cfRule>
  </conditionalFormatting>
  <conditionalFormatting sqref="FE26">
    <cfRule type="expression" priority="73" aboveAverage="0" equalAverage="0" bottom="0" percent="0" rank="0" text="" dxfId="71">
      <formula>LEN(TRIM(FE26))&gt;0</formula>
    </cfRule>
  </conditionalFormatting>
  <conditionalFormatting sqref="FE27:FI27">
    <cfRule type="expression" priority="74" aboveAverage="0" equalAverage="0" bottom="0" percent="0" rank="0" text="" dxfId="72">
      <formula>LEN(TRIM(FE27))&gt;0</formula>
    </cfRule>
  </conditionalFormatting>
  <conditionalFormatting sqref="FE8:FI8">
    <cfRule type="expression" priority="75" aboveAverage="0" equalAverage="0" bottom="0" percent="0" rank="0" text="" dxfId="73">
      <formula>LEN(TRIM(FE8))&gt;0</formula>
    </cfRule>
  </conditionalFormatting>
  <conditionalFormatting sqref="CC17:CI17">
    <cfRule type="expression" priority="76" aboveAverage="0" equalAverage="0" bottom="0" percent="0" rank="0" text="" dxfId="74">
      <formula>LEN(TRIM(CC17))&gt;0</formula>
    </cfRule>
  </conditionalFormatting>
  <conditionalFormatting sqref="EL6:FD6 FJ6:FL6">
    <cfRule type="expression" priority="77" aboveAverage="0" equalAverage="0" bottom="0" percent="0" rank="0" text="" dxfId="75">
      <formula>LEN(TRIM(EL6))&gt;0</formula>
    </cfRule>
  </conditionalFormatting>
  <conditionalFormatting sqref="FE6:FI6">
    <cfRule type="expression" priority="78" aboveAverage="0" equalAverage="0" bottom="0" percent="0" rank="0" text="" dxfId="76">
      <formula>LEN(TRIM(FE6))&gt;0</formula>
    </cfRule>
  </conditionalFormatting>
  <conditionalFormatting sqref="FL25">
    <cfRule type="expression" priority="79" aboveAverage="0" equalAverage="0" bottom="0" percent="0" rank="0" text="" dxfId="77">
      <formula>LEN(TRIM(FL25))&gt;0</formula>
    </cfRule>
  </conditionalFormatting>
  <conditionalFormatting sqref="FL26">
    <cfRule type="expression" priority="80" aboveAverage="0" equalAverage="0" bottom="0" percent="0" rank="0" text="" dxfId="78">
      <formula>LEN(TRIM(FL26))&gt;0</formula>
    </cfRule>
  </conditionalFormatting>
  <conditionalFormatting sqref="FL27">
    <cfRule type="expression" priority="81" aboveAverage="0" equalAverage="0" bottom="0" percent="0" rank="0" text="" dxfId="79">
      <formula>LEN(TRIM(FL27))&gt;0</formula>
    </cfRule>
  </conditionalFormatting>
  <conditionalFormatting sqref="GN7:HN13 GN20:HN20">
    <cfRule type="expression" priority="82" aboveAverage="0" equalAverage="0" bottom="0" percent="0" rank="0" text="" dxfId="80">
      <formula>LEN(TRIM(GN7))&gt;0</formula>
    </cfRule>
  </conditionalFormatting>
  <conditionalFormatting sqref="GO17:GT17 HC17:HN17">
    <cfRule type="expression" priority="83" aboveAverage="0" equalAverage="0" bottom="0" percent="0" rank="0" text="" dxfId="81">
      <formula>LEN(TRIM(GO17))&gt;0</formula>
    </cfRule>
  </conditionalFormatting>
  <conditionalFormatting sqref="GN6:HN6">
    <cfRule type="expression" priority="84" aboveAverage="0" equalAverage="0" bottom="0" percent="0" rank="0" text="" dxfId="82">
      <formula>LEN(TRIM(GN6))&gt;0</formula>
    </cfRule>
  </conditionalFormatting>
  <conditionalFormatting sqref="HP17:HU17 ID17:IG17">
    <cfRule type="expression" priority="85" aboveAverage="0" equalAverage="0" bottom="0" percent="0" rank="0" text="" dxfId="83">
      <formula>LEN(TRIM(HP17))&gt;0</formula>
    </cfRule>
  </conditionalFormatting>
  <conditionalFormatting sqref="HM25">
    <cfRule type="expression" priority="86" aboveAverage="0" equalAverage="0" bottom="0" percent="0" rank="0" text="" dxfId="84">
      <formula>LEN(TRIM(HM25))&gt;0</formula>
    </cfRule>
  </conditionalFormatting>
  <conditionalFormatting sqref="HM26">
    <cfRule type="expression" priority="87" aboveAverage="0" equalAverage="0" bottom="0" percent="0" rank="0" text="" dxfId="85">
      <formula>LEN(TRIM(HM26))&gt;0</formula>
    </cfRule>
  </conditionalFormatting>
  <conditionalFormatting sqref="HM27">
    <cfRule type="expression" priority="88" aboveAverage="0" equalAverage="0" bottom="0" percent="0" rank="0" text="" dxfId="86">
      <formula>LEN(TRIM(HM27))&gt;0</formula>
    </cfRule>
  </conditionalFormatting>
  <conditionalFormatting sqref="AK6:AS6">
    <cfRule type="expression" priority="89" aboveAverage="0" equalAverage="0" bottom="0" percent="0" rank="0" text="" dxfId="87">
      <formula>LEN(TRIM(AK6))&gt;0</formula>
    </cfRule>
  </conditionalFormatting>
  <conditionalFormatting sqref="O31:O51">
    <cfRule type="cellIs" priority="90" operator="equal" aboveAverage="0" equalAverage="0" bottom="0" percent="0" rank="0" text="" dxfId="88">
      <formula>0</formula>
    </cfRule>
  </conditionalFormatting>
  <conditionalFormatting sqref="Z31:Z51">
    <cfRule type="cellIs" priority="91" operator="equal" aboveAverage="0" equalAverage="0" bottom="0" percent="0" rank="0" text="" dxfId="89">
      <formula>0</formula>
    </cfRule>
  </conditionalFormatting>
  <conditionalFormatting sqref="JQ7:KQ7 JQ9:KQ13 JQ8:JW8 KF8:KQ8 JQ20:KQ20">
    <cfRule type="expression" priority="92" aboveAverage="0" equalAverage="0" bottom="0" percent="0" rank="0" text="" dxfId="90">
      <formula>LEN(TRIM(JQ7))&gt;0</formula>
    </cfRule>
  </conditionalFormatting>
  <conditionalFormatting sqref="BF17:BH17">
    <cfRule type="expression" priority="93" aboveAverage="0" equalAverage="0" bottom="0" percent="0" rank="0" text="" dxfId="91">
      <formula>LEN(TRIM(BF17))&gt;0</formula>
    </cfRule>
  </conditionalFormatting>
  <conditionalFormatting sqref="JX8:KE8">
    <cfRule type="expression" priority="94" aboveAverage="0" equalAverage="0" bottom="0" percent="0" rank="0" text="" dxfId="92">
      <formula>LEN(TRIM(JX8))&gt;0</formula>
    </cfRule>
  </conditionalFormatting>
  <conditionalFormatting sqref="IP17:IV17 JE17:JP17">
    <cfRule type="expression" priority="95" aboveAverage="0" equalAverage="0" bottom="0" percent="0" rank="0" text="" dxfId="93">
      <formula>LEN(TRIM(IP17))&gt;0</formula>
    </cfRule>
  </conditionalFormatting>
  <conditionalFormatting sqref="IW17:JD17">
    <cfRule type="expression" priority="96" aboveAverage="0" equalAverage="0" bottom="0" percent="0" rank="0" text="" dxfId="94">
      <formula>LEN(TRIM(IW17))&gt;0</formula>
    </cfRule>
  </conditionalFormatting>
  <conditionalFormatting sqref="KF6:KQ6">
    <cfRule type="expression" priority="97" aboveAverage="0" equalAverage="0" bottom="0" percent="0" rank="0" text="" dxfId="95">
      <formula>LEN(TRIM(KF6))&gt;0</formula>
    </cfRule>
  </conditionalFormatting>
  <conditionalFormatting sqref="BD31:BD51">
    <cfRule type="cellIs" priority="98" operator="equal" aboveAverage="0" equalAverage="0" bottom="0" percent="0" rank="0" text="" dxfId="96">
      <formula>0</formula>
    </cfRule>
  </conditionalFormatting>
  <conditionalFormatting sqref="V26:AD26">
    <cfRule type="expression" priority="99" aboveAverage="0" equalAverage="0" bottom="0" percent="0" rank="0" text="" dxfId="97">
      <formula>LEN(TRIM(V26))&gt;0</formula>
    </cfRule>
  </conditionalFormatting>
  <conditionalFormatting sqref="AK25:AS25">
    <cfRule type="expression" priority="100" aboveAverage="0" equalAverage="0" bottom="0" percent="0" rank="0" text="" dxfId="98">
      <formula>LEN(TRIM(AK25))&gt;0</formula>
    </cfRule>
  </conditionalFormatting>
  <conditionalFormatting sqref="AK26:AS26">
    <cfRule type="expression" priority="101" aboveAverage="0" equalAverage="0" bottom="0" percent="0" rank="0" text="" dxfId="99">
      <formula>LEN(TRIM(AK26))&gt;0</formula>
    </cfRule>
  </conditionalFormatting>
  <conditionalFormatting sqref="J13:R13">
    <cfRule type="expression" priority="102" aboveAverage="0" equalAverage="0" bottom="0" percent="0" rank="0" text="" dxfId="100">
      <formula>LEN(TRIM(J13))&gt;0</formula>
    </cfRule>
  </conditionalFormatting>
  <conditionalFormatting sqref="HO5:IO5">
    <cfRule type="expression" priority="103" aboveAverage="0" equalAverage="0" bottom="0" percent="0" rank="0" text="" dxfId="101">
      <formula>LEN(TRIM(HO5))&gt;0</formula>
    </cfRule>
  </conditionalFormatting>
  <conditionalFormatting sqref="V13:AD13">
    <cfRule type="expression" priority="104" aboveAverage="0" equalAverage="0" bottom="0" percent="0" rank="0" text="" dxfId="102">
      <formula>LEN(TRIM(V13))&gt;0</formula>
    </cfRule>
  </conditionalFormatting>
  <conditionalFormatting sqref="CJ5">
    <cfRule type="expression" priority="105" aboveAverage="0" equalAverage="0" bottom="0" percent="0" rank="0" text="" dxfId="103">
      <formula>LEN(TRIM(CJ5))&gt;0</formula>
    </cfRule>
  </conditionalFormatting>
  <conditionalFormatting sqref="AK13:AS13">
    <cfRule type="expression" priority="106" aboveAverage="0" equalAverage="0" bottom="0" percent="0" rank="0" text="" dxfId="104">
      <formula>LEN(TRIM(AK13))&gt;0</formula>
    </cfRule>
  </conditionalFormatting>
  <conditionalFormatting sqref="IW14:JD14">
    <cfRule type="expression" priority="107" aboveAverage="0" equalAverage="0" bottom="0" percent="0" rank="0" text="" dxfId="105">
      <formula>LEN(TRIM(IW14))&gt;0</formula>
    </cfRule>
  </conditionalFormatting>
  <conditionalFormatting sqref="S21:U21">
    <cfRule type="expression" priority="108" aboveAverage="0" equalAverage="0" bottom="0" percent="0" rank="0" text="" dxfId="106">
      <formula>LEN(TRIM(S21))&gt;0</formula>
    </cfRule>
  </conditionalFormatting>
  <conditionalFormatting sqref="AE21:AG21">
    <cfRule type="expression" priority="109" aboveAverage="0" equalAverage="0" bottom="0" percent="0" rank="0" text="" dxfId="107">
      <formula>LEN(TRIM(AE21))&gt;0</formula>
    </cfRule>
  </conditionalFormatting>
  <conditionalFormatting sqref="S22:U22">
    <cfRule type="expression" priority="110" aboveAverage="0" equalAverage="0" bottom="0" percent="0" rank="0" text="" dxfId="108">
      <formula>LEN(TRIM(S22))&gt;0</formula>
    </cfRule>
  </conditionalFormatting>
  <conditionalFormatting sqref="AE22:AG22">
    <cfRule type="expression" priority="111" aboveAverage="0" equalAverage="0" bottom="0" percent="0" rank="0" text="" dxfId="109">
      <formula>LEN(TRIM(AE22))&gt;0</formula>
    </cfRule>
  </conditionalFormatting>
  <conditionalFormatting sqref="FM14:GM14">
    <cfRule type="expression" priority="112" aboveAverage="0" equalAverage="0" bottom="0" percent="0" rank="0" text="" dxfId="110">
      <formula>LEN(TRIM(FM14))&gt;0</formula>
    </cfRule>
  </conditionalFormatting>
  <conditionalFormatting sqref="GO14:GT14 HC14:HN14">
    <cfRule type="expression" priority="113" aboveAverage="0" equalAverage="0" bottom="0" percent="0" rank="0" text="" dxfId="111">
      <formula>LEN(TRIM(GO14))&gt;0</formula>
    </cfRule>
  </conditionalFormatting>
  <conditionalFormatting sqref="GW14 GY14 HA14:HB14">
    <cfRule type="expression" priority="114" aboveAverage="0" equalAverage="0" bottom="0" percent="0" rank="0" text="" dxfId="112">
      <formula>LEN(TRIM(GW14))&gt;0</formula>
    </cfRule>
  </conditionalFormatting>
  <conditionalFormatting sqref="HP14:HU14 ID14:II14 IL14:IO14">
    <cfRule type="expression" priority="115" aboveAverage="0" equalAverage="0" bottom="0" percent="0" rank="0" text="" dxfId="113">
      <formula>LEN(TRIM(HP14))&gt;0</formula>
    </cfRule>
  </conditionalFormatting>
  <conditionalFormatting sqref="HV14:IC14">
    <cfRule type="expression" priority="116" aboveAverage="0" equalAverage="0" bottom="0" percent="0" rank="0" text="" dxfId="114">
      <formula>LEN(TRIM(HV14))&gt;0</formula>
    </cfRule>
  </conditionalFormatting>
  <conditionalFormatting sqref="GU14:GV14 GX14 GZ14">
    <cfRule type="expression" priority="117" aboveAverage="0" equalAverage="0" bottom="0" percent="0" rank="0" text="" dxfId="115">
      <formula>LEN(TRIM(GU14))&gt;0</formula>
    </cfRule>
  </conditionalFormatting>
  <conditionalFormatting sqref="GN14">
    <cfRule type="expression" priority="118" aboveAverage="0" equalAverage="0" bottom="0" percent="0" rank="0" text="" dxfId="116">
      <formula>LEN(TRIM(GN14))&gt;0</formula>
    </cfRule>
  </conditionalFormatting>
  <conditionalFormatting sqref="HP14:HU14 ID14:II14 IL14:IO14">
    <cfRule type="expression" priority="119" aboveAverage="0" equalAverage="0" bottom="0" percent="0" rank="0" text="" dxfId="117">
      <formula>LEN(TRIM(HP14))&gt;0</formula>
    </cfRule>
  </conditionalFormatting>
  <conditionalFormatting sqref="HV14:IC14">
    <cfRule type="expression" priority="120" aboveAverage="0" equalAverage="0" bottom="0" percent="0" rank="0" text="" dxfId="118">
      <formula>LEN(TRIM(HV14))&gt;0</formula>
    </cfRule>
  </conditionalFormatting>
  <conditionalFormatting sqref="HP14:HU14 ID14:II14 IL14:IO14">
    <cfRule type="expression" priority="121" aboveAverage="0" equalAverage="0" bottom="0" percent="0" rank="0" text="" dxfId="119">
      <formula>LEN(TRIM(HP14))&gt;0</formula>
    </cfRule>
  </conditionalFormatting>
  <conditionalFormatting sqref="HX14 HZ14 IB14:IC14">
    <cfRule type="expression" priority="122" aboveAverage="0" equalAverage="0" bottom="0" percent="0" rank="0" text="" dxfId="120">
      <formula>LEN(TRIM(HX14))&gt;0</formula>
    </cfRule>
  </conditionalFormatting>
  <conditionalFormatting sqref="JQ16:KQ16">
    <cfRule type="expression" priority="123" aboveAverage="0" equalAverage="0" bottom="0" percent="0" rank="0" text="" dxfId="121">
      <formula>LEN(TRIM(JQ16))&gt;0</formula>
    </cfRule>
  </conditionalFormatting>
  <conditionalFormatting sqref="GN14:GT14 HC14:HN14">
    <cfRule type="expression" priority="124" aboveAverage="0" equalAverage="0" bottom="0" percent="0" rank="0" text="" dxfId="122">
      <formula>LEN(TRIM(GN14))&gt;0</formula>
    </cfRule>
  </conditionalFormatting>
  <conditionalFormatting sqref="HV14:HW14 HY14 IA14">
    <cfRule type="expression" priority="125" aboveAverage="0" equalAverage="0" bottom="0" percent="0" rank="0" text="" dxfId="123">
      <formula>LEN(TRIM(HV14))&gt;0</formula>
    </cfRule>
  </conditionalFormatting>
  <conditionalFormatting sqref="CK14:DJ14 EI14:EK14 E14:F14">
    <cfRule type="expression" priority="126" aboveAverage="0" equalAverage="0" bottom="0" percent="0" rank="0" text="" dxfId="124">
      <formula>LEN(TRIM(E14))&gt;0</formula>
    </cfRule>
  </conditionalFormatting>
  <conditionalFormatting sqref="EL14:FL14">
    <cfRule type="expression" priority="127" aboveAverage="0" equalAverage="0" bottom="0" percent="0" rank="0" text="" dxfId="125">
      <formula>LEN(TRIM(EL14))&gt;0</formula>
    </cfRule>
  </conditionalFormatting>
  <conditionalFormatting sqref="FN14:FS14 GB14:GM14">
    <cfRule type="expression" priority="128" aboveAverage="0" equalAverage="0" bottom="0" percent="0" rank="0" text="" dxfId="126">
      <formula>LEN(TRIM(FN14))&gt;0</formula>
    </cfRule>
  </conditionalFormatting>
  <conditionalFormatting sqref="DL14:EH14">
    <cfRule type="expression" priority="129" aboveAverage="0" equalAverage="0" bottom="0" percent="0" rank="0" text="" dxfId="127">
      <formula>LEN(TRIM(DL14))&gt;0</formula>
    </cfRule>
  </conditionalFormatting>
  <conditionalFormatting sqref="FV14 FX14 FZ14:GA14">
    <cfRule type="expression" priority="130" aboveAverage="0" equalAverage="0" bottom="0" percent="0" rank="0" text="" dxfId="128">
      <formula>LEN(TRIM(FV14))&gt;0</formula>
    </cfRule>
  </conditionalFormatting>
  <conditionalFormatting sqref="GU14:HB14">
    <cfRule type="expression" priority="131" aboveAverage="0" equalAverage="0" bottom="0" percent="0" rank="0" text="" dxfId="129">
      <formula>LEN(TRIM(GU14))&gt;0</formula>
    </cfRule>
  </conditionalFormatting>
  <conditionalFormatting sqref="FT14:FU14 FW14 FY14">
    <cfRule type="expression" priority="132" aboveAverage="0" equalAverage="0" bottom="0" percent="0" rank="0" text="" dxfId="130">
      <formula>LEN(TRIM(FT14))&gt;0</formula>
    </cfRule>
  </conditionalFormatting>
  <conditionalFormatting sqref="FM14">
    <cfRule type="expression" priority="133" aboveAverage="0" equalAverage="0" bottom="0" percent="0" rank="0" text="" dxfId="131">
      <formula>LEN(TRIM(FM14))&gt;0</formula>
    </cfRule>
  </conditionalFormatting>
  <conditionalFormatting sqref="JQ14:KQ14">
    <cfRule type="expression" priority="134" aboveAverage="0" equalAverage="0" bottom="0" percent="0" rank="0" text="" dxfId="132">
      <formula>LEN(TRIM(JQ14))&gt;0</formula>
    </cfRule>
  </conditionalFormatting>
  <conditionalFormatting sqref="AT14:BH14">
    <cfRule type="expression" priority="135" aboveAverage="0" equalAverage="0" bottom="0" percent="0" rank="0" text="" dxfId="133">
      <formula>LEN(TRIM(AT14))&gt;0</formula>
    </cfRule>
  </conditionalFormatting>
  <conditionalFormatting sqref="IJ14:IK14">
    <cfRule type="expression" priority="136" aboveAverage="0" equalAverage="0" bottom="0" percent="0" rank="0" text="" dxfId="134">
      <formula>LEN(TRIM(IJ14))&gt;0</formula>
    </cfRule>
  </conditionalFormatting>
  <conditionalFormatting sqref="IJ14:IK14">
    <cfRule type="expression" priority="137" aboveAverage="0" equalAverage="0" bottom="0" percent="0" rank="0" text="" dxfId="135">
      <formula>LEN(TRIM(IJ14))&gt;0</formula>
    </cfRule>
  </conditionalFormatting>
  <conditionalFormatting sqref="IJ14:IK14">
    <cfRule type="expression" priority="138" aboveAverage="0" equalAverage="0" bottom="0" percent="0" rank="0" text="" dxfId="136">
      <formula>LEN(TRIM(IJ14))&gt;0</formula>
    </cfRule>
  </conditionalFormatting>
  <conditionalFormatting sqref="HO14:IO14">
    <cfRule type="expression" priority="139" aboveAverage="0" equalAverage="0" bottom="0" percent="0" rank="0" text="" dxfId="137">
      <formula>LEN(TRIM(HO14))&gt;0</formula>
    </cfRule>
  </conditionalFormatting>
  <conditionalFormatting sqref="HO14:IO14">
    <cfRule type="expression" priority="140" aboveAverage="0" equalAverage="0" bottom="0" percent="0" rank="0" text="" dxfId="138">
      <formula>LEN(TRIM(HO14))&gt;0</formula>
    </cfRule>
  </conditionalFormatting>
  <conditionalFormatting sqref="DK14">
    <cfRule type="expression" priority="141" aboveAverage="0" equalAverage="0" bottom="0" percent="0" rank="0" text="" dxfId="139">
      <formula>LEN(TRIM(DK14))&gt;0</formula>
    </cfRule>
  </conditionalFormatting>
  <conditionalFormatting sqref="CJ14">
    <cfRule type="expression" priority="142" aboveAverage="0" equalAverage="0" bottom="0" percent="0" rank="0" text="" dxfId="140">
      <formula>LEN(TRIM(CJ14))&gt;0</formula>
    </cfRule>
  </conditionalFormatting>
  <conditionalFormatting sqref="E17:F17 EI17:EK17 DD17:DJ17 AE17:AG17">
    <cfRule type="expression" priority="143" aboveAverage="0" equalAverage="0" bottom="0" percent="0" rank="0" text="" dxfId="141">
      <formula>LEN(TRIM(E17))&gt;0</formula>
    </cfRule>
  </conditionalFormatting>
  <conditionalFormatting sqref="GG17:GM17">
    <cfRule type="expression" priority="144" aboveAverage="0" equalAverage="0" bottom="0" percent="0" rank="0" text="" dxfId="142">
      <formula>LEN(TRIM(GG17))&gt;0</formula>
    </cfRule>
  </conditionalFormatting>
  <conditionalFormatting sqref="GN17:GT17 HC17:HN17">
    <cfRule type="expression" priority="145" aboveAverage="0" equalAverage="0" bottom="0" percent="0" rank="0" text="" dxfId="143">
      <formula>LEN(TRIM(GN17))&gt;0</formula>
    </cfRule>
  </conditionalFormatting>
  <conditionalFormatting sqref="GU17:HB17">
    <cfRule type="expression" priority="146" aboveAverage="0" equalAverage="0" bottom="0" percent="0" rank="0" text="" dxfId="144">
      <formula>LEN(TRIM(GU17))&gt;0</formula>
    </cfRule>
  </conditionalFormatting>
  <conditionalFormatting sqref="GU17:GV17 GX17 GZ17">
    <cfRule type="expression" priority="147" aboveAverage="0" equalAverage="0" bottom="0" percent="0" rank="0" text="" dxfId="145">
      <formula>LEN(TRIM(GU17))&gt;0</formula>
    </cfRule>
  </conditionalFormatting>
  <conditionalFormatting sqref="ID17">
    <cfRule type="expression" priority="148" aboveAverage="0" equalAverage="0" bottom="0" percent="0" rank="0" text="" dxfId="146">
      <formula>LEN(TRIM(ID17))&gt;0</formula>
    </cfRule>
  </conditionalFormatting>
  <conditionalFormatting sqref="HX17 HZ17 IB17:IC17">
    <cfRule type="expression" priority="149" aboveAverage="0" equalAverage="0" bottom="0" percent="0" rank="0" text="" dxfId="147">
      <formula>LEN(TRIM(HX17))&gt;0</formula>
    </cfRule>
  </conditionalFormatting>
  <conditionalFormatting sqref="HV17:HW17 HY17 IA17">
    <cfRule type="expression" priority="150" aboveAverage="0" equalAverage="0" bottom="0" percent="0" rank="0" text="" dxfId="148">
      <formula>LEN(TRIM(HV17))&gt;0</formula>
    </cfRule>
  </conditionalFormatting>
  <conditionalFormatting sqref="JX17:KE17">
    <cfRule type="expression" priority="151" aboveAverage="0" equalAverage="0" bottom="0" percent="0" rank="0" text="" dxfId="149">
      <formula>LEN(TRIM(JX17))&gt;0</formula>
    </cfRule>
  </conditionalFormatting>
  <conditionalFormatting sqref="FJ17:FL17">
    <cfRule type="expression" priority="152" aboveAverage="0" equalAverage="0" bottom="0" percent="0" rank="0" text="" dxfId="150">
      <formula>LEN(TRIM(FJ17))&gt;0</formula>
    </cfRule>
  </conditionalFormatting>
  <conditionalFormatting sqref="DL17:EH17">
    <cfRule type="expression" priority="153" aboveAverage="0" equalAverage="0" bottom="0" percent="0" rank="0" text="" dxfId="151">
      <formula>LEN(TRIM(DL17))&gt;0</formula>
    </cfRule>
  </conditionalFormatting>
  <conditionalFormatting sqref="EL17:FI17">
    <cfRule type="expression" priority="154" aboveAverage="0" equalAverage="0" bottom="0" percent="0" rank="0" text="" dxfId="152">
      <formula>LEN(TRIM(EL17))&gt;0</formula>
    </cfRule>
  </conditionalFormatting>
  <conditionalFormatting sqref="ID17">
    <cfRule type="expression" priority="155" aboveAverage="0" equalAverage="0" bottom="0" percent="0" rank="0" text="" dxfId="153">
      <formula>LEN(TRIM(ID17))&gt;0</formula>
    </cfRule>
  </conditionalFormatting>
  <conditionalFormatting sqref="GK17:GM17">
    <cfRule type="expression" priority="156" aboveAverage="0" equalAverage="0" bottom="0" percent="0" rank="0" text="" dxfId="154">
      <formula>LEN(TRIM(GK17))&gt;0</formula>
    </cfRule>
  </conditionalFormatting>
  <conditionalFormatting sqref="GW17 GY17 HA17:HB17">
    <cfRule type="expression" priority="157" aboveAverage="0" equalAverage="0" bottom="0" percent="0" rank="0" text="" dxfId="155">
      <formula>LEN(TRIM(GW17))&gt;0</formula>
    </cfRule>
  </conditionalFormatting>
  <conditionalFormatting sqref="HV17:IC17">
    <cfRule type="expression" priority="158" aboveAverage="0" equalAverage="0" bottom="0" percent="0" rank="0" text="" dxfId="156">
      <formula>LEN(TRIM(HV17))&gt;0</formula>
    </cfRule>
  </conditionalFormatting>
  <conditionalFormatting sqref="GN17">
    <cfRule type="expression" priority="159" aboveAverage="0" equalAverage="0" bottom="0" percent="0" rank="0" text="" dxfId="157">
      <formula>LEN(TRIM(GN17))&gt;0</formula>
    </cfRule>
  </conditionalFormatting>
  <conditionalFormatting sqref="HP17:HU17 ID17:IG17">
    <cfRule type="expression" priority="160" aboveAverage="0" equalAverage="0" bottom="0" percent="0" rank="0" text="" dxfId="158">
      <formula>LEN(TRIM(HP17))&gt;0</formula>
    </cfRule>
  </conditionalFormatting>
  <conditionalFormatting sqref="HV17:IC17">
    <cfRule type="expression" priority="161" aboveAverage="0" equalAverage="0" bottom="0" percent="0" rank="0" text="" dxfId="159">
      <formula>LEN(TRIM(HV17))&gt;0</formula>
    </cfRule>
  </conditionalFormatting>
  <conditionalFormatting sqref="HP17:HU17 ID17:IG17">
    <cfRule type="expression" priority="162" aboveAverage="0" equalAverage="0" bottom="0" percent="0" rank="0" text="" dxfId="160">
      <formula>LEN(TRIM(HP17))&gt;0</formula>
    </cfRule>
  </conditionalFormatting>
  <conditionalFormatting sqref="JQ17:JW17 KF17:KQ17">
    <cfRule type="expression" priority="163" aboveAverage="0" equalAverage="0" bottom="0" percent="0" rank="0" text="" dxfId="161">
      <formula>LEN(TRIM(JQ17))&gt;0</formula>
    </cfRule>
  </conditionalFormatting>
  <conditionalFormatting sqref="G17">
    <cfRule type="expression" priority="164" aboveAverage="0" equalAverage="0" bottom="0" percent="0" rank="0" text="" dxfId="162">
      <formula>LEN(TRIM(G17))&gt;0</formula>
    </cfRule>
  </conditionalFormatting>
  <conditionalFormatting sqref="H17:AD17">
    <cfRule type="expression" priority="165" aboveAverage="0" equalAverage="0" bottom="0" percent="0" rank="0" text="" dxfId="163">
      <formula>LEN(TRIM(H17))&gt;0</formula>
    </cfRule>
  </conditionalFormatting>
  <conditionalFormatting sqref="IH17:IO17">
    <cfRule type="expression" priority="166" aboveAverage="0" equalAverage="0" bottom="0" percent="0" rank="0" text="" dxfId="164">
      <formula>LEN(TRIM(IH17))&gt;0</formula>
    </cfRule>
  </conditionalFormatting>
  <conditionalFormatting sqref="IH17:IO17">
    <cfRule type="expression" priority="167" aboveAverage="0" equalAverage="0" bottom="0" percent="0" rank="0" text="" dxfId="165">
      <formula>LEN(TRIM(IH17))&gt;0</formula>
    </cfRule>
  </conditionalFormatting>
  <conditionalFormatting sqref="IH17:IO17">
    <cfRule type="expression" priority="168" aboveAverage="0" equalAverage="0" bottom="0" percent="0" rank="0" text="" dxfId="166">
      <formula>LEN(TRIM(IH17))&gt;0</formula>
    </cfRule>
  </conditionalFormatting>
  <conditionalFormatting sqref="HO17:IO17">
    <cfRule type="expression" priority="169" aboveAverage="0" equalAverage="0" bottom="0" percent="0" rank="0" text="" dxfId="167">
      <formula>LEN(TRIM(HO17))&gt;0</formula>
    </cfRule>
  </conditionalFormatting>
  <conditionalFormatting sqref="HO17:IO17">
    <cfRule type="expression" priority="170" aboveAverage="0" equalAverage="0" bottom="0" percent="0" rank="0" text="" dxfId="168">
      <formula>LEN(TRIM(HO17))&gt;0</formula>
    </cfRule>
  </conditionalFormatting>
  <conditionalFormatting sqref="HO17:IO17">
    <cfRule type="expression" priority="171" aboveAverage="0" equalAverage="0" bottom="0" percent="0" rank="0" text="" dxfId="169">
      <formula>LEN(TRIM(HO17))&gt;0</formula>
    </cfRule>
  </conditionalFormatting>
  <conditionalFormatting sqref="FN17:FS17 GB17:GF17">
    <cfRule type="expression" priority="172" aboveAverage="0" equalAverage="0" bottom="0" percent="0" rank="0" text="" dxfId="170">
      <formula>LEN(TRIM(FN17))&gt;0</formula>
    </cfRule>
  </conditionalFormatting>
  <conditionalFormatting sqref="FV17 FX17 FZ17:GA17">
    <cfRule type="expression" priority="173" aboveAverage="0" equalAverage="0" bottom="0" percent="0" rank="0" text="" dxfId="171">
      <formula>LEN(TRIM(FV17))&gt;0</formula>
    </cfRule>
  </conditionalFormatting>
  <conditionalFormatting sqref="FT17:FU17 FW17 FY17">
    <cfRule type="expression" priority="174" aboveAverage="0" equalAverage="0" bottom="0" percent="0" rank="0" text="" dxfId="172">
      <formula>LEN(TRIM(FT17))&gt;0</formula>
    </cfRule>
  </conditionalFormatting>
  <conditionalFormatting sqref="FM17">
    <cfRule type="expression" priority="175" aboveAverage="0" equalAverage="0" bottom="0" percent="0" rank="0" text="" dxfId="173">
      <formula>LEN(TRIM(FM17))&gt;0</formula>
    </cfRule>
  </conditionalFormatting>
  <conditionalFormatting sqref="FM17:GF17">
    <cfRule type="expression" priority="176" aboveAverage="0" equalAverage="0" bottom="0" percent="0" rank="0" text="" dxfId="174">
      <formula>LEN(TRIM(FM17))&gt;0</formula>
    </cfRule>
  </conditionalFormatting>
  <conditionalFormatting sqref="BJ17:CB17">
    <cfRule type="expression" priority="177" aboveAverage="0" equalAverage="0" bottom="0" percent="0" rank="0" text="" dxfId="175">
      <formula>LEN(TRIM(BJ17))&gt;0</formula>
    </cfRule>
  </conditionalFormatting>
  <conditionalFormatting sqref="BI17">
    <cfRule type="expression" priority="178" aboveAverage="0" equalAverage="0" bottom="0" percent="0" rank="0" text="" dxfId="176">
      <formula>LEN(TRIM(BI17))&gt;0</formula>
    </cfRule>
  </conditionalFormatting>
  <conditionalFormatting sqref="AH17:BE17">
    <cfRule type="expression" priority="179" aboveAverage="0" equalAverage="0" bottom="0" percent="0" rank="0" text="" dxfId="177">
      <formula>LEN(TRIM(AH17))&gt;0</formula>
    </cfRule>
  </conditionalFormatting>
  <conditionalFormatting sqref="CK17:DC17">
    <cfRule type="expression" priority="180" aboveAverage="0" equalAverage="0" bottom="0" percent="0" rank="0" text="" dxfId="178">
      <formula>LEN(TRIM(CK17))&gt;0</formula>
    </cfRule>
  </conditionalFormatting>
  <conditionalFormatting sqref="DK17">
    <cfRule type="expression" priority="181" aboveAverage="0" equalAverage="0" bottom="0" percent="0" rank="0" text="" dxfId="179">
      <formula>LEN(TRIM(DK17))&gt;0</formula>
    </cfRule>
  </conditionalFormatting>
  <conditionalFormatting sqref="CJ17">
    <cfRule type="expression" priority="182" aboveAverage="0" equalAverage="0" bottom="0" percent="0" rank="0" text="" dxfId="180">
      <formula>LEN(TRIM(CJ17))&gt;0</formula>
    </cfRule>
  </conditionalFormatting>
  <conditionalFormatting sqref="KP4:KQ4">
    <cfRule type="expression" priority="183" aboveAverage="0" equalAverage="0" bottom="0" percent="0" rank="0" text="" dxfId="181">
      <formula>LEN(TRIM(KP4))&gt;0</formula>
    </cfRule>
  </conditionalFormatting>
  <conditionalFormatting sqref="E4:F4 AE4:BH4">
    <cfRule type="expression" priority="184" aboveAverage="0" equalAverage="0" bottom="0" percent="0" rank="0" text="" dxfId="182">
      <formula>LEN(TRIM(E4))&gt;0</formula>
    </cfRule>
  </conditionalFormatting>
  <conditionalFormatting sqref="HP4:HU4 ID4:IO4">
    <cfRule type="expression" priority="185" aboveAverage="0" equalAverage="0" bottom="0" percent="0" rank="0" text="" dxfId="183">
      <formula>LEN(TRIM(HP4))&gt;0</formula>
    </cfRule>
  </conditionalFormatting>
  <conditionalFormatting sqref="BJ4:CI4">
    <cfRule type="expression" priority="186" aboveAverage="0" equalAverage="0" bottom="0" percent="0" rank="0" text="" dxfId="184">
      <formula>LEN(TRIM(BJ4))&gt;0</formula>
    </cfRule>
  </conditionalFormatting>
  <conditionalFormatting sqref="HX4 HZ4 IB4:IC4">
    <cfRule type="expression" priority="187" aboveAverage="0" equalAverage="0" bottom="0" percent="0" rank="0" text="" dxfId="185">
      <formula>LEN(TRIM(HX4))&gt;0</formula>
    </cfRule>
  </conditionalFormatting>
  <conditionalFormatting sqref="IP4:IV4 JE4:JP4">
    <cfRule type="expression" priority="188" aboveAverage="0" equalAverage="0" bottom="0" percent="0" rank="0" text="" dxfId="186">
      <formula>LEN(TRIM(IP4))&gt;0</formula>
    </cfRule>
  </conditionalFormatting>
  <conditionalFormatting sqref="IW4:JD4">
    <cfRule type="expression" priority="189" aboveAverage="0" equalAverage="0" bottom="0" percent="0" rank="0" text="" dxfId="187">
      <formula>LEN(TRIM(IW4))&gt;0</formula>
    </cfRule>
  </conditionalFormatting>
  <conditionalFormatting sqref="HV4:HW4 HY4 IA4">
    <cfRule type="expression" priority="190" aboveAverage="0" equalAverage="0" bottom="0" percent="0" rank="0" text="" dxfId="188">
      <formula>LEN(TRIM(HV4))&gt;0</formula>
    </cfRule>
  </conditionalFormatting>
  <conditionalFormatting sqref="BI4">
    <cfRule type="expression" priority="191" aboveAverage="0" equalAverage="0" bottom="0" percent="0" rank="0" text="" dxfId="189">
      <formula>LEN(TRIM(BI4))&gt;0</formula>
    </cfRule>
  </conditionalFormatting>
  <conditionalFormatting sqref="G4:AD4">
    <cfRule type="expression" priority="192" aboveAverage="0" equalAverage="0" bottom="0" percent="0" rank="0" text="" dxfId="190">
      <formula>LEN(TRIM(G4))&gt;0</formula>
    </cfRule>
  </conditionalFormatting>
  <conditionalFormatting sqref="HO4">
    <cfRule type="expression" priority="193" aboveAverage="0" equalAverage="0" bottom="0" percent="0" rank="0" text="" dxfId="191">
      <formula>LEN(TRIM(HO4))&gt;0</formula>
    </cfRule>
  </conditionalFormatting>
  <conditionalFormatting sqref="EL4:FL4">
    <cfRule type="expression" priority="194" aboveAverage="0" equalAverage="0" bottom="0" percent="0" rank="0" text="" dxfId="192">
      <formula>LEN(TRIM(EL4))&gt;0</formula>
    </cfRule>
  </conditionalFormatting>
  <conditionalFormatting sqref="JT4:JW4 KF4:KO4">
    <cfRule type="expression" priority="195" aboveAverage="0" equalAverage="0" bottom="0" percent="0" rank="0" text="" dxfId="193">
      <formula>LEN(TRIM(JT4))&gt;0</formula>
    </cfRule>
  </conditionalFormatting>
  <conditionalFormatting sqref="JX4:KE4">
    <cfRule type="expression" priority="196" aboveAverage="0" equalAverage="0" bottom="0" percent="0" rank="0" text="" dxfId="194">
      <formula>LEN(TRIM(JX4))&gt;0</formula>
    </cfRule>
  </conditionalFormatting>
  <conditionalFormatting sqref="JQ4:JS4">
    <cfRule type="expression" priority="197" aboveAverage="0" equalAverage="0" bottom="0" percent="0" rank="0" text="" dxfId="195">
      <formula>LEN(TRIM(JQ4))&gt;0</formula>
    </cfRule>
  </conditionalFormatting>
  <conditionalFormatting sqref="FM5:GM5">
    <cfRule type="expression" priority="198" aboveAverage="0" equalAverage="0" bottom="0" percent="0" rank="0" text="" dxfId="196">
      <formula>LEN(TRIM(FM5))&gt;0</formula>
    </cfRule>
  </conditionalFormatting>
  <conditionalFormatting sqref="GO5:GT5 HC5:HN5">
    <cfRule type="expression" priority="199" aboveAverage="0" equalAverage="0" bottom="0" percent="0" rank="0" text="" dxfId="197">
      <formula>LEN(TRIM(GO5))&gt;0</formula>
    </cfRule>
  </conditionalFormatting>
  <conditionalFormatting sqref="GU5:HB5">
    <cfRule type="expression" priority="200" aboveAverage="0" equalAverage="0" bottom="0" percent="0" rank="0" text="" dxfId="198">
      <formula>LEN(TRIM(GU5))&gt;0</formula>
    </cfRule>
  </conditionalFormatting>
  <conditionalFormatting sqref="ID5:IG5">
    <cfRule type="expression" priority="201" aboveAverage="0" equalAverage="0" bottom="0" percent="0" rank="0" text="" dxfId="199">
      <formula>LEN(TRIM(ID5))&gt;0</formula>
    </cfRule>
  </conditionalFormatting>
  <conditionalFormatting sqref="GN5">
    <cfRule type="expression" priority="202" aboveAverage="0" equalAverage="0" bottom="0" percent="0" rank="0" text="" dxfId="200">
      <formula>LEN(TRIM(GN5))&gt;0</formula>
    </cfRule>
  </conditionalFormatting>
  <conditionalFormatting sqref="HP5:HU5">
    <cfRule type="expression" priority="203" aboveAverage="0" equalAverage="0" bottom="0" percent="0" rank="0" text="" dxfId="201">
      <formula>LEN(TRIM(HP5))&gt;0</formula>
    </cfRule>
  </conditionalFormatting>
  <conditionalFormatting sqref="ID5">
    <cfRule type="expression" priority="204" aboveAverage="0" equalAverage="0" bottom="0" percent="0" rank="0" text="" dxfId="202">
      <formula>LEN(TRIM(ID5))&gt;0</formula>
    </cfRule>
  </conditionalFormatting>
  <conditionalFormatting sqref="HV5:IC5">
    <cfRule type="expression" priority="205" aboveAverage="0" equalAverage="0" bottom="0" percent="0" rank="0" text="" dxfId="203">
      <formula>LEN(TRIM(HV5))&gt;0</formula>
    </cfRule>
  </conditionalFormatting>
  <conditionalFormatting sqref="IW5:JD5">
    <cfRule type="expression" priority="206" aboveAverage="0" equalAverage="0" bottom="0" percent="0" rank="0" text="" dxfId="204">
      <formula>LEN(TRIM(IW5))&gt;0</formula>
    </cfRule>
  </conditionalFormatting>
  <conditionalFormatting sqref="IP5:IV5">
    <cfRule type="expression" priority="207" aboveAverage="0" equalAverage="0" bottom="0" percent="0" rank="0" text="" dxfId="205">
      <formula>LEN(TRIM(IP5))&gt;0</formula>
    </cfRule>
  </conditionalFormatting>
  <conditionalFormatting sqref="CK5:DB5 DH5:DJ5 E5:F5 EI5:EK5 AE5:AG5">
    <cfRule type="expression" priority="208" aboveAverage="0" equalAverage="0" bottom="0" percent="0" rank="0" text="" dxfId="206">
      <formula>LEN(TRIM(E5))&gt;0</formula>
    </cfRule>
  </conditionalFormatting>
  <conditionalFormatting sqref="EL5:FL5">
    <cfRule type="expression" priority="209" aboveAverage="0" equalAverage="0" bottom="0" percent="0" rank="0" text="" dxfId="207">
      <formula>LEN(TRIM(EL5))&gt;0</formula>
    </cfRule>
  </conditionalFormatting>
  <conditionalFormatting sqref="FN5:GM5">
    <cfRule type="expression" priority="210" aboveAverage="0" equalAverage="0" bottom="0" percent="0" rank="0" text="" dxfId="208">
      <formula>LEN(TRIM(FN5))&gt;0</formula>
    </cfRule>
  </conditionalFormatting>
  <conditionalFormatting sqref="BJ5:CI5">
    <cfRule type="expression" priority="211" aboveAverage="0" equalAverage="0" bottom="0" percent="0" rank="0" text="" dxfId="209">
      <formula>LEN(TRIM(BJ5))&gt;0</formula>
    </cfRule>
  </conditionalFormatting>
  <conditionalFormatting sqref="DC5:DG5">
    <cfRule type="expression" priority="212" aboveAverage="0" equalAverage="0" bottom="0" percent="0" rank="0" text="" dxfId="210">
      <formula>LEN(TRIM(DC5))&gt;0</formula>
    </cfRule>
  </conditionalFormatting>
  <conditionalFormatting sqref="DL5:EH5">
    <cfRule type="expression" priority="213" aboveAverage="0" equalAverage="0" bottom="0" percent="0" rank="0" text="" dxfId="211">
      <formula>LEN(TRIM(DL5))&gt;0</formula>
    </cfRule>
  </conditionalFormatting>
  <conditionalFormatting sqref="FT5:GA5">
    <cfRule type="expression" priority="214" aboveAverage="0" equalAverage="0" bottom="0" percent="0" rank="0" text="" dxfId="212">
      <formula>LEN(TRIM(FT5))&gt;0</formula>
    </cfRule>
  </conditionalFormatting>
  <conditionalFormatting sqref="HC5:HN5">
    <cfRule type="expression" priority="215" aboveAverage="0" equalAverage="0" bottom="0" percent="0" rank="0" text="" dxfId="213">
      <formula>LEN(TRIM(HC5))&gt;0</formula>
    </cfRule>
  </conditionalFormatting>
  <conditionalFormatting sqref="GU5:HB5">
    <cfRule type="expression" priority="216" aboveAverage="0" equalAverage="0" bottom="0" percent="0" rank="0" text="" dxfId="214">
      <formula>LEN(TRIM(GU5))&gt;0</formula>
    </cfRule>
  </conditionalFormatting>
  <conditionalFormatting sqref="GN5:GT5">
    <cfRule type="expression" priority="217" aboveAverage="0" equalAverage="0" bottom="0" percent="0" rank="0" text="" dxfId="215">
      <formula>LEN(TRIM(GN5))&gt;0</formula>
    </cfRule>
  </conditionalFormatting>
  <conditionalFormatting sqref="BI5">
    <cfRule type="expression" priority="218" aboveAverage="0" equalAverage="0" bottom="0" percent="0" rank="0" text="" dxfId="216">
      <formula>LEN(TRIM(BI5))&gt;0</formula>
    </cfRule>
  </conditionalFormatting>
  <conditionalFormatting sqref="FM5">
    <cfRule type="expression" priority="219" aboveAverage="0" equalAverage="0" bottom="0" percent="0" rank="0" text="" dxfId="217">
      <formula>LEN(TRIM(FM5))&gt;0</formula>
    </cfRule>
  </conditionalFormatting>
  <conditionalFormatting sqref="ID5">
    <cfRule type="expression" priority="220" aboveAverage="0" equalAverage="0" bottom="0" percent="0" rank="0" text="" dxfId="218">
      <formula>LEN(TRIM(ID5))&gt;0</formula>
    </cfRule>
  </conditionalFormatting>
  <conditionalFormatting sqref="HV5:IC5">
    <cfRule type="expression" priority="221" aboveAverage="0" equalAverage="0" bottom="0" percent="0" rank="0" text="" dxfId="219">
      <formula>LEN(TRIM(HV5))&gt;0</formula>
    </cfRule>
  </conditionalFormatting>
  <conditionalFormatting sqref="HP5:HU5">
    <cfRule type="expression" priority="222" aboveAverage="0" equalAverage="0" bottom="0" percent="0" rank="0" text="" dxfId="220">
      <formula>LEN(TRIM(HP5))&gt;0</formula>
    </cfRule>
  </conditionalFormatting>
  <conditionalFormatting sqref="ID5:IG5">
    <cfRule type="expression" priority="223" aboveAverage="0" equalAverage="0" bottom="0" percent="0" rank="0" text="" dxfId="221">
      <formula>LEN(TRIM(ID5))&gt;0</formula>
    </cfRule>
  </conditionalFormatting>
  <conditionalFormatting sqref="HV5:IC5">
    <cfRule type="expression" priority="224" aboveAverage="0" equalAverage="0" bottom="0" percent="0" rank="0" text="" dxfId="222">
      <formula>LEN(TRIM(HV5))&gt;0</formula>
    </cfRule>
  </conditionalFormatting>
  <conditionalFormatting sqref="HP5:HU5 ID5:IG5">
    <cfRule type="expression" priority="225" aboveAverage="0" equalAverage="0" bottom="0" percent="0" rank="0" text="" dxfId="223">
      <formula>LEN(TRIM(HP5))&gt;0</formula>
    </cfRule>
  </conditionalFormatting>
  <conditionalFormatting sqref="JE5:JP5">
    <cfRule type="expression" priority="226" aboveAverage="0" equalAverage="0" bottom="0" percent="0" rank="0" text="" dxfId="224">
      <formula>LEN(TRIM(JE5))&gt;0</formula>
    </cfRule>
  </conditionalFormatting>
  <conditionalFormatting sqref="JQ5:KQ5">
    <cfRule type="expression" priority="227" aboveAverage="0" equalAverage="0" bottom="0" percent="0" rank="0" text="" dxfId="225">
      <formula>LEN(TRIM(JQ5))&gt;0</formula>
    </cfRule>
  </conditionalFormatting>
  <conditionalFormatting sqref="AI5:BH5">
    <cfRule type="expression" priority="228" aboveAverage="0" equalAverage="0" bottom="0" percent="0" rank="0" text="" dxfId="226">
      <formula>LEN(TRIM(AI5))&gt;0</formula>
    </cfRule>
  </conditionalFormatting>
  <conditionalFormatting sqref="G5">
    <cfRule type="expression" priority="229" aboveAverage="0" equalAverage="0" bottom="0" percent="0" rank="0" text="" dxfId="227">
      <formula>LEN(TRIM(G5))&gt;0</formula>
    </cfRule>
  </conditionalFormatting>
  <conditionalFormatting sqref="H5:AD5">
    <cfRule type="expression" priority="230" aboveAverage="0" equalAverage="0" bottom="0" percent="0" rank="0" text="" dxfId="228">
      <formula>LEN(TRIM(H5))&gt;0</formula>
    </cfRule>
  </conditionalFormatting>
  <conditionalFormatting sqref="AH5">
    <cfRule type="expression" priority="231" aboveAverage="0" equalAverage="0" bottom="0" percent="0" rank="0" text="" dxfId="229">
      <formula>LEN(TRIM(AH5))&gt;0</formula>
    </cfRule>
  </conditionalFormatting>
  <conditionalFormatting sqref="IH5:IO5">
    <cfRule type="expression" priority="232" aboveAverage="0" equalAverage="0" bottom="0" percent="0" rank="0" text="" dxfId="230">
      <formula>LEN(TRIM(IH5))&gt;0</formula>
    </cfRule>
  </conditionalFormatting>
  <conditionalFormatting sqref="IH5:IO5">
    <cfRule type="expression" priority="233" aboveAverage="0" equalAverage="0" bottom="0" percent="0" rank="0" text="" dxfId="231">
      <formula>LEN(TRIM(IH5))&gt;0</formula>
    </cfRule>
  </conditionalFormatting>
  <conditionalFormatting sqref="IH5:IO5">
    <cfRule type="expression" priority="234" aboveAverage="0" equalAverage="0" bottom="0" percent="0" rank="0" text="" dxfId="232">
      <formula>LEN(TRIM(IH5))&gt;0</formula>
    </cfRule>
  </conditionalFormatting>
  <conditionalFormatting sqref="HO5:IO5">
    <cfRule type="expression" priority="235" aboveAverage="0" equalAverage="0" bottom="0" percent="0" rank="0" text="" dxfId="233">
      <formula>LEN(TRIM(HO5))&gt;0</formula>
    </cfRule>
  </conditionalFormatting>
  <conditionalFormatting sqref="HO5:IO5">
    <cfRule type="expression" priority="236" aboveAverage="0" equalAverage="0" bottom="0" percent="0" rank="0" text="" dxfId="234">
      <formula>LEN(TRIM(HO5))&gt;0</formula>
    </cfRule>
  </conditionalFormatting>
  <conditionalFormatting sqref="DK5">
    <cfRule type="expression" priority="237" aboveAverage="0" equalAverage="0" bottom="0" percent="0" rank="0" text="" dxfId="235">
      <formula>LEN(TRIM(DK5))&gt;0</formula>
    </cfRule>
  </conditionalFormatting>
  <conditionalFormatting sqref="S20:U20">
    <cfRule type="expression" priority="238" aboveAverage="0" equalAverage="0" bottom="0" percent="0" rank="0" text="" dxfId="236">
      <formula>LEN(TRIM(S20))&gt;0</formula>
    </cfRule>
  </conditionalFormatting>
  <conditionalFormatting sqref="AE20:AG20">
    <cfRule type="expression" priority="239" aboveAverage="0" equalAverage="0" bottom="0" percent="0" rank="0" text="" dxfId="237">
      <formula>LEN(TRIM(AE20))&gt;0</formula>
    </cfRule>
  </conditionalFormatting>
  <conditionalFormatting sqref="S21:U21">
    <cfRule type="expression" priority="240" aboveAverage="0" equalAverage="0" bottom="0" percent="0" rank="0" text="" dxfId="238">
      <formula>LEN(TRIM(S21))&gt;0</formula>
    </cfRule>
  </conditionalFormatting>
  <conditionalFormatting sqref="AE21:AG21">
    <cfRule type="expression" priority="241" aboveAverage="0" equalAverage="0" bottom="0" percent="0" rank="0" text="" dxfId="239">
      <formula>LEN(TRIM(AE21))&gt;0</formula>
    </cfRule>
  </conditionalFormatting>
  <conditionalFormatting sqref="HP22:HU22 ID22:IO22">
    <cfRule type="expression" priority="242" aboveAverage="0" equalAverage="0" bottom="0" percent="0" rank="0" text="" dxfId="240">
      <formula>LEN(TRIM(HP22))&gt;0</formula>
    </cfRule>
  </conditionalFormatting>
  <conditionalFormatting sqref="HX22 HZ22 IB22:IC22">
    <cfRule type="expression" priority="243" aboveAverage="0" equalAverage="0" bottom="0" percent="0" rank="0" text="" dxfId="241">
      <formula>LEN(TRIM(HX22))&gt;0</formula>
    </cfRule>
  </conditionalFormatting>
  <conditionalFormatting sqref="IP22:IV22 JE22:JP22">
    <cfRule type="expression" priority="244" aboveAverage="0" equalAverage="0" bottom="0" percent="0" rank="0" text="" dxfId="242">
      <formula>LEN(TRIM(IP22))&gt;0</formula>
    </cfRule>
  </conditionalFormatting>
  <conditionalFormatting sqref="IW22:JD22">
    <cfRule type="expression" priority="245" aboveAverage="0" equalAverage="0" bottom="0" percent="0" rank="0" text="" dxfId="243">
      <formula>LEN(TRIM(IW22))&gt;0</formula>
    </cfRule>
  </conditionalFormatting>
  <conditionalFormatting sqref="E19:BH19 CJ19:EK19">
    <cfRule type="expression" priority="246" aboveAverage="0" equalAverage="0" bottom="0" percent="0" rank="0" text="" dxfId="244">
      <formula>LEN(TRIM(E19))&gt;0</formula>
    </cfRule>
  </conditionalFormatting>
  <conditionalFormatting sqref="FM19:GM19">
    <cfRule type="expression" priority="247" aboveAverage="0" equalAverage="0" bottom="0" percent="0" rank="0" text="" dxfId="245">
      <formula>LEN(TRIM(FM19))&gt;0</formula>
    </cfRule>
  </conditionalFormatting>
  <conditionalFormatting sqref="HO19:IO19">
    <cfRule type="expression" priority="248" aboveAverage="0" equalAverage="0" bottom="0" percent="0" rank="0" text="" dxfId="246">
      <formula>LEN(TRIM(HO19))&gt;0</formula>
    </cfRule>
  </conditionalFormatting>
  <conditionalFormatting sqref="BI19:CI19">
    <cfRule type="expression" priority="249" aboveAverage="0" equalAverage="0" bottom="0" percent="0" rank="0" text="" dxfId="247">
      <formula>LEN(TRIM(BI19))&gt;0</formula>
    </cfRule>
  </conditionalFormatting>
  <conditionalFormatting sqref="IP19:JP19">
    <cfRule type="expression" priority="250" aboveAverage="0" equalAverage="0" bottom="0" percent="0" rank="0" text="" dxfId="248">
      <formula>LEN(TRIM(IP19))&gt;0</formula>
    </cfRule>
  </conditionalFormatting>
  <conditionalFormatting sqref="EL19:FL19">
    <cfRule type="expression" priority="251" aboveAverage="0" equalAverage="0" bottom="0" percent="0" rank="0" text="" dxfId="249">
      <formula>LEN(TRIM(EL19))&gt;0</formula>
    </cfRule>
  </conditionalFormatting>
  <conditionalFormatting sqref="GN19:HN19">
    <cfRule type="expression" priority="252" aboveAverage="0" equalAverage="0" bottom="0" percent="0" rank="0" text="" dxfId="250">
      <formula>LEN(TRIM(GN19))&gt;0</formula>
    </cfRule>
  </conditionalFormatting>
  <conditionalFormatting sqref="JQ19:KQ19">
    <cfRule type="expression" priority="253" aboveAverage="0" equalAverage="0" bottom="0" percent="0" rank="0" text="" dxfId="251">
      <formula>LEN(TRIM(JQ19))&gt;0</formula>
    </cfRule>
  </conditionalFormatting>
  <conditionalFormatting sqref="AE22:AG22">
    <cfRule type="expression" priority="254" aboveAverage="0" equalAverage="0" bottom="0" percent="0" rank="0" text="" dxfId="252">
      <formula>LEN(TRIM(AE22))&gt;0</formula>
    </cfRule>
  </conditionalFormatting>
  <conditionalFormatting sqref="HV22:HW22 HY22 IA22">
    <cfRule type="expression" priority="255" aboveAverage="0" equalAverage="0" bottom="0" percent="0" rank="0" text="" dxfId="253">
      <formula>LEN(TRIM(HV22))&gt;0</formula>
    </cfRule>
  </conditionalFormatting>
  <conditionalFormatting sqref="HO22">
    <cfRule type="expression" priority="256" aboveAverage="0" equalAverage="0" bottom="0" percent="0" rank="0" text="" dxfId="254">
      <formula>LEN(TRIM(HO22))&gt;0</formula>
    </cfRule>
  </conditionalFormatting>
  <conditionalFormatting sqref="GN22:HN22">
    <cfRule type="expression" priority="257" aboveAverage="0" equalAverage="0" bottom="0" percent="0" rank="0" text="" dxfId="255">
      <formula>LEN(TRIM(GN22))&gt;0</formula>
    </cfRule>
  </conditionalFormatting>
  <conditionalFormatting sqref="JQ22:JW22 KF22:KQ22">
    <cfRule type="expression" priority="258" aboveAverage="0" equalAverage="0" bottom="0" percent="0" rank="0" text="" dxfId="256">
      <formula>LEN(TRIM(JQ22))&gt;0</formula>
    </cfRule>
  </conditionalFormatting>
  <conditionalFormatting sqref="JX22:KE22">
    <cfRule type="expression" priority="259" aboveAverage="0" equalAverage="0" bottom="0" percent="0" rank="0" text="" dxfId="257">
      <formula>LEN(TRIM(JX22))&gt;0</formula>
    </cfRule>
  </conditionalFormatting>
  <conditionalFormatting sqref="E22">
    <cfRule type="expression" priority="260" aboveAverage="0" equalAverage="0" bottom="0" percent="0" rank="0" text="" dxfId="258">
      <formula>LEN(TRIM(E22))&gt;0</formula>
    </cfRule>
  </conditionalFormatting>
  <conditionalFormatting sqref="E22">
    <cfRule type="expression" priority="261" aboveAverage="0" equalAverage="0" bottom="0" percent="0" rank="0" text="" dxfId="259">
      <formula>LEN(TRIM(E22))&gt;0</formula>
    </cfRule>
  </conditionalFormatting>
  <conditionalFormatting sqref="GL22:GM22">
    <cfRule type="expression" priority="262" aboveAverage="0" equalAverage="0" bottom="0" percent="0" rank="0" text="" dxfId="260">
      <formula>LEN(TRIM(GL22))&gt;0</formula>
    </cfRule>
  </conditionalFormatting>
  <conditionalFormatting sqref="GN16:HN16">
    <cfRule type="expression" priority="263" aboveAverage="0" equalAverage="0" bottom="0" percent="0" rank="0" text="" dxfId="261">
      <formula>LEN(TRIM(GN16))&gt;0</formula>
    </cfRule>
  </conditionalFormatting>
  <conditionalFormatting sqref="CJ18:EK18 E18:BH18">
    <cfRule type="expression" priority="264" aboveAverage="0" equalAverage="0" bottom="0" percent="0" rank="0" text="" dxfId="262">
      <formula>LEN(TRIM(E18))&gt;0</formula>
    </cfRule>
  </conditionalFormatting>
  <conditionalFormatting sqref="FM18:GM18">
    <cfRule type="expression" priority="265" aboveAverage="0" equalAverage="0" bottom="0" percent="0" rank="0" text="" dxfId="263">
      <formula>LEN(TRIM(FM18))&gt;0</formula>
    </cfRule>
  </conditionalFormatting>
  <conditionalFormatting sqref="HO18:IO18">
    <cfRule type="expression" priority="266" aboveAverage="0" equalAverage="0" bottom="0" percent="0" rank="0" text="" dxfId="264">
      <formula>LEN(TRIM(HO18))&gt;0</formula>
    </cfRule>
  </conditionalFormatting>
  <conditionalFormatting sqref="CC18:CI18">
    <cfRule type="expression" priority="267" aboveAverage="0" equalAverage="0" bottom="0" percent="0" rank="0" text="" dxfId="265">
      <formula>LEN(TRIM(CC18))&gt;0</formula>
    </cfRule>
  </conditionalFormatting>
  <conditionalFormatting sqref="IP18:JP18">
    <cfRule type="expression" priority="268" aboveAverage="0" equalAverage="0" bottom="0" percent="0" rank="0" text="" dxfId="266">
      <formula>LEN(TRIM(IP18))&gt;0</formula>
    </cfRule>
  </conditionalFormatting>
  <conditionalFormatting sqref="EL18:FL18">
    <cfRule type="expression" priority="269" aboveAverage="0" equalAverage="0" bottom="0" percent="0" rank="0" text="" dxfId="267">
      <formula>LEN(TRIM(EL18))&gt;0</formula>
    </cfRule>
  </conditionalFormatting>
  <conditionalFormatting sqref="GN18:HN18">
    <cfRule type="expression" priority="270" aboveAverage="0" equalAverage="0" bottom="0" percent="0" rank="0" text="" dxfId="268">
      <formula>LEN(TRIM(GN18))&gt;0</formula>
    </cfRule>
  </conditionalFormatting>
  <conditionalFormatting sqref="JQ18:KQ18">
    <cfRule type="expression" priority="271" aboveAverage="0" equalAverage="0" bottom="0" percent="0" rank="0" text="" dxfId="269">
      <formula>LEN(TRIM(JQ18))&gt;0</formula>
    </cfRule>
  </conditionalFormatting>
  <conditionalFormatting sqref="CJ16:EK16 E16:BH16">
    <cfRule type="expression" priority="272" aboveAverage="0" equalAverage="0" bottom="0" percent="0" rank="0" text="" dxfId="270">
      <formula>LEN(TRIM(E16))&gt;0</formula>
    </cfRule>
  </conditionalFormatting>
  <conditionalFormatting sqref="FM16:GM16">
    <cfRule type="expression" priority="273" aboveAverage="0" equalAverage="0" bottom="0" percent="0" rank="0" text="" dxfId="271">
      <formula>LEN(TRIM(FM16))&gt;0</formula>
    </cfRule>
  </conditionalFormatting>
  <conditionalFormatting sqref="HO16:IO16">
    <cfRule type="expression" priority="274" aboveAverage="0" equalAverage="0" bottom="0" percent="0" rank="0" text="" dxfId="272">
      <formula>LEN(TRIM(HO16))&gt;0</formula>
    </cfRule>
  </conditionalFormatting>
  <conditionalFormatting sqref="BI16:CI16">
    <cfRule type="expression" priority="275" aboveAverage="0" equalAverage="0" bottom="0" percent="0" rank="0" text="" dxfId="273">
      <formula>LEN(TRIM(BI16))&gt;0</formula>
    </cfRule>
  </conditionalFormatting>
  <conditionalFormatting sqref="IP16:JP16">
    <cfRule type="expression" priority="276" aboveAverage="0" equalAverage="0" bottom="0" percent="0" rank="0" text="" dxfId="274">
      <formula>LEN(TRIM(IP16))&gt;0</formula>
    </cfRule>
  </conditionalFormatting>
  <conditionalFormatting sqref="EL16:FL16">
    <cfRule type="expression" priority="277" aboveAverage="0" equalAverage="0" bottom="0" percent="0" rank="0" text="" dxfId="275">
      <formula>LEN(TRIM(EL16))&gt;0</formula>
    </cfRule>
  </conditionalFormatting>
  <conditionalFormatting sqref="FU4:GM4">
    <cfRule type="expression" priority="278" aboveAverage="0" equalAverage="0" bottom="0" percent="0" rank="0" text="" dxfId="276">
      <formula>LEN(TRIM(FU4))&gt;0</formula>
    </cfRule>
  </conditionalFormatting>
  <conditionalFormatting sqref="GN4:HN4">
    <cfRule type="expression" priority="279" aboveAverage="0" equalAverage="0" bottom="0" percent="0" rank="0" text="" dxfId="277">
      <formula>LEN(TRIM(GN4))&gt;0</formula>
    </cfRule>
  </conditionalFormatting>
  <conditionalFormatting sqref="CJ4:DJ4">
    <cfRule type="expression" priority="280" aboveAverage="0" equalAverage="0" bottom="0" percent="0" rank="0" text="" dxfId="278">
      <formula>LEN(TRIM(CJ4))&gt;0</formula>
    </cfRule>
  </conditionalFormatting>
  <conditionalFormatting sqref="DK4:EK4">
    <cfRule type="expression" priority="281" aboveAverage="0" equalAverage="0" bottom="0" percent="0" rank="0" text="" dxfId="279">
      <formula>LEN(TRIM(DK4))&gt;0</formula>
    </cfRule>
  </conditionalFormatting>
  <conditionalFormatting sqref="IP25:JA25">
    <cfRule type="expression" priority="282" aboveAverage="0" equalAverage="0" bottom="0" percent="0" rank="0" text="" dxfId="280">
      <formula>LEN(TRIM(IP25))&gt;0</formula>
    </cfRule>
  </conditionalFormatting>
  <conditionalFormatting sqref="G14:AS14">
    <cfRule type="expression" priority="283" aboveAverage="0" equalAverage="0" bottom="0" percent="0" rank="0" text="" dxfId="281">
      <formula>LEN(TRIM(G14))&gt;0</formula>
    </cfRule>
  </conditionalFormatting>
  <conditionalFormatting sqref="CJ23:EK23 E23:I23 AE23:AJ23 AT23:BH23 S23:U23">
    <cfRule type="expression" priority="284" aboveAverage="0" equalAverage="0" bottom="0" percent="0" rank="0" text="" dxfId="282">
      <formula>LEN(TRIM(E23))&gt;0</formula>
    </cfRule>
  </conditionalFormatting>
  <conditionalFormatting sqref="FM23:GM23">
    <cfRule type="expression" priority="285" aboveAverage="0" equalAverage="0" bottom="0" percent="0" rank="0" text="" dxfId="283">
      <formula>LEN(TRIM(FM23))&gt;0</formula>
    </cfRule>
  </conditionalFormatting>
  <conditionalFormatting sqref="HO23:HU23 ID23:IO23">
    <cfRule type="expression" priority="286" aboveAverage="0" equalAverage="0" bottom="0" percent="0" rank="0" text="" dxfId="284">
      <formula>LEN(TRIM(HO23))&gt;0</formula>
    </cfRule>
  </conditionalFormatting>
  <conditionalFormatting sqref="BI23:CI23">
    <cfRule type="expression" priority="287" aboveAverage="0" equalAverage="0" bottom="0" percent="0" rank="0" text="" dxfId="285">
      <formula>LEN(TRIM(BI23))&gt;0</formula>
    </cfRule>
  </conditionalFormatting>
  <conditionalFormatting sqref="IP23:JP23">
    <cfRule type="expression" priority="288" aboveAverage="0" equalAverage="0" bottom="0" percent="0" rank="0" text="" dxfId="286">
      <formula>LEN(TRIM(IP23))&gt;0</formula>
    </cfRule>
  </conditionalFormatting>
  <conditionalFormatting sqref="HV23:IC23">
    <cfRule type="expression" priority="289" aboveAverage="0" equalAverage="0" bottom="0" percent="0" rank="0" text="" dxfId="287">
      <formula>LEN(TRIM(HV23))&gt;0</formula>
    </cfRule>
  </conditionalFormatting>
  <conditionalFormatting sqref="EL23:FL23">
    <cfRule type="expression" priority="290" aboveAverage="0" equalAverage="0" bottom="0" percent="0" rank="0" text="" dxfId="288">
      <formula>LEN(TRIM(EL23))&gt;0</formula>
    </cfRule>
  </conditionalFormatting>
  <conditionalFormatting sqref="GN23:HN23">
    <cfRule type="expression" priority="291" aboveAverage="0" equalAverage="0" bottom="0" percent="0" rank="0" text="" dxfId="289">
      <formula>LEN(TRIM(GN23))&gt;0</formula>
    </cfRule>
  </conditionalFormatting>
  <conditionalFormatting sqref="JQ23:KQ23">
    <cfRule type="expression" priority="292" aboveAverage="0" equalAverage="0" bottom="0" percent="0" rank="0" text="" dxfId="290">
      <formula>LEN(TRIM(JQ23))&gt;0</formula>
    </cfRule>
  </conditionalFormatting>
  <conditionalFormatting sqref="J23:R23">
    <cfRule type="expression" priority="293" aboveAverage="0" equalAverage="0" bottom="0" percent="0" rank="0" text="" dxfId="291">
      <formula>LEN(TRIM(J23))&gt;0</formula>
    </cfRule>
  </conditionalFormatting>
  <conditionalFormatting sqref="V23:AD23">
    <cfRule type="expression" priority="294" aboveAverage="0" equalAverage="0" bottom="0" percent="0" rank="0" text="" dxfId="292">
      <formula>LEN(TRIM(V23))&gt;0</formula>
    </cfRule>
  </conditionalFormatting>
  <conditionalFormatting sqref="AK23:AS23">
    <cfRule type="expression" priority="295" aboveAverage="0" equalAverage="0" bottom="0" percent="0" rank="0" text="" dxfId="293">
      <formula>LEN(TRIM(AK23))&gt;0</formula>
    </cfRule>
  </conditionalFormatting>
  <conditionalFormatting sqref="BJ18:CB18">
    <cfRule type="expression" priority="296" aboveAverage="0" equalAverage="0" bottom="0" percent="0" rank="0" text="" dxfId="294">
      <formula>LEN(TRIM(BJ18))&gt;0</formula>
    </cfRule>
  </conditionalFormatting>
  <conditionalFormatting sqref="BI18">
    <cfRule type="expression" priority="297" aboveAverage="0" equalAverage="0" bottom="0" percent="0" rank="0" text="" dxfId="295">
      <formula>LEN(TRIM(BI18))&gt;0</formula>
    </cfRule>
  </conditionalFormatting>
  <conditionalFormatting sqref="JE15:JP15">
    <cfRule type="expression" priority="298" aboveAverage="0" equalAverage="0" bottom="0" percent="0" rank="0" text="" dxfId="296">
      <formula>LEN(TRIM(JE15))&gt;0</formula>
    </cfRule>
  </conditionalFormatting>
  <conditionalFormatting sqref="JQ15:KQ15">
    <cfRule type="expression" priority="299" aboveAverage="0" equalAverage="0" bottom="0" percent="0" rank="0" text="" dxfId="297">
      <formula>LEN(TRIM(JQ15))&gt;0</formula>
    </cfRule>
  </conditionalFormatting>
  <conditionalFormatting sqref="FU15:GM15">
    <cfRule type="expression" priority="300" aboveAverage="0" equalAverage="0" bottom="0" percent="0" rank="0" text="" dxfId="298">
      <formula>LEN(TRIM(FU15))&gt;0</formula>
    </cfRule>
  </conditionalFormatting>
  <conditionalFormatting sqref="HO15:HU15 ID15:IO15">
    <cfRule type="expression" priority="301" aboveAverage="0" equalAverage="0" bottom="0" percent="0" rank="0" text="" dxfId="299">
      <formula>LEN(TRIM(HO15))&gt;0</formula>
    </cfRule>
  </conditionalFormatting>
  <conditionalFormatting sqref="HV15:IC15">
    <cfRule type="expression" priority="302" aboveAverage="0" equalAverage="0" bottom="0" percent="0" rank="0" text="" dxfId="300">
      <formula>LEN(TRIM(HV15))&gt;0</formula>
    </cfRule>
  </conditionalFormatting>
  <conditionalFormatting sqref="GN15:HN15">
    <cfRule type="expression" priority="303" aboveAverage="0" equalAverage="0" bottom="0" percent="0" rank="0" text="" dxfId="301">
      <formula>LEN(TRIM(GN15))&gt;0</formula>
    </cfRule>
  </conditionalFormatting>
  <conditionalFormatting sqref="IQ15:IS15 IU15:JD15">
    <cfRule type="expression" priority="304" aboveAverage="0" equalAverage="0" bottom="0" percent="0" rank="0" text="" dxfId="302">
      <formula>LEN(TRIM(IQ15))&gt;0</formula>
    </cfRule>
  </conditionalFormatting>
  <conditionalFormatting sqref="DD15:DJ15 EI15:EK15">
    <cfRule type="expression" priority="305" aboveAverage="0" equalAverage="0" bottom="0" percent="0" rank="0" text="" dxfId="303">
      <formula>LEN(TRIM(DD15))&gt;0</formula>
    </cfRule>
  </conditionalFormatting>
  <conditionalFormatting sqref="EL15:FL15">
    <cfRule type="expression" priority="306" aboveAverage="0" equalAverage="0" bottom="0" percent="0" rank="0" text="" dxfId="304">
      <formula>LEN(TRIM(EL15))&gt;0</formula>
    </cfRule>
  </conditionalFormatting>
  <conditionalFormatting sqref="F15">
    <cfRule type="expression" priority="307" aboveAverage="0" equalAverage="0" bottom="0" percent="0" rank="0" text="" dxfId="305">
      <formula>LEN(TRIM(F15))&gt;0</formula>
    </cfRule>
  </conditionalFormatting>
  <conditionalFormatting sqref="F15">
    <cfRule type="expression" priority="308" aboveAverage="0" equalAverage="0" bottom="0" percent="0" rank="0" text="" dxfId="306">
      <formula>LEN(TRIM(F15))&gt;0</formula>
    </cfRule>
  </conditionalFormatting>
  <conditionalFormatting sqref="S15:U15">
    <cfRule type="expression" priority="309" aboveAverage="0" equalAverage="0" bottom="0" percent="0" rank="0" text="" dxfId="307">
      <formula>LEN(TRIM(S15))&gt;0</formula>
    </cfRule>
  </conditionalFormatting>
  <conditionalFormatting sqref="AU15:BH15">
    <cfRule type="expression" priority="310" aboveAverage="0" equalAverage="0" bottom="0" percent="0" rank="0" text="" dxfId="308">
      <formula>LEN(TRIM(AU15))&gt;0</formula>
    </cfRule>
  </conditionalFormatting>
  <conditionalFormatting sqref="AT15">
    <cfRule type="expression" priority="311" aboveAverage="0" equalAverage="0" bottom="0" percent="0" rank="0" text="" dxfId="309">
      <formula>LEN(TRIM(AT15))&gt;0</formula>
    </cfRule>
  </conditionalFormatting>
  <conditionalFormatting sqref="CC15:CI15">
    <cfRule type="expression" priority="312" aboveAverage="0" equalAverage="0" bottom="0" percent="0" rank="0" text="" dxfId="310">
      <formula>LEN(TRIM(CC15))&gt;0</formula>
    </cfRule>
  </conditionalFormatting>
  <conditionalFormatting sqref="G15:R15">
    <cfRule type="expression" priority="313" aboveAverage="0" equalAverage="0" bottom="0" percent="0" rank="0" text="" dxfId="311">
      <formula>LEN(TRIM(G15))&gt;0</formula>
    </cfRule>
  </conditionalFormatting>
  <conditionalFormatting sqref="V15:AD15">
    <cfRule type="expression" priority="314" aboveAverage="0" equalAverage="0" bottom="0" percent="0" rank="0" text="" dxfId="312">
      <formula>LEN(TRIM(V15))&gt;0</formula>
    </cfRule>
  </conditionalFormatting>
  <conditionalFormatting sqref="AH15:AS15">
    <cfRule type="expression" priority="315" aboveAverage="0" equalAverage="0" bottom="0" percent="0" rank="0" text="" dxfId="313">
      <formula>LEN(TRIM(AH15))&gt;0</formula>
    </cfRule>
  </conditionalFormatting>
  <conditionalFormatting sqref="IP15">
    <cfRule type="expression" priority="316" aboveAverage="0" equalAverage="0" bottom="0" percent="0" rank="0" text="" dxfId="314">
      <formula>LEN(TRIM(IP15))&gt;0</formula>
    </cfRule>
  </conditionalFormatting>
  <conditionalFormatting sqref="IT15">
    <cfRule type="expression" priority="317" aboveAverage="0" equalAverage="0" bottom="0" percent="0" rank="0" text="" dxfId="315">
      <formula>LEN(TRIM(IT15))&gt;0</formula>
    </cfRule>
  </conditionalFormatting>
  <conditionalFormatting sqref="E15">
    <cfRule type="expression" priority="318" aboveAverage="0" equalAverage="0" bottom="0" percent="0" rank="0" text="" dxfId="316">
      <formula>LEN(TRIM(E15))&gt;0</formula>
    </cfRule>
  </conditionalFormatting>
  <conditionalFormatting sqref="E15">
    <cfRule type="expression" priority="319" aboveAverage="0" equalAverage="0" bottom="0" percent="0" rank="0" text="" dxfId="317">
      <formula>LEN(TRIM(E15))&gt;0</formula>
    </cfRule>
  </conditionalFormatting>
  <conditionalFormatting sqref="E15">
    <cfRule type="expression" priority="320" aboveAverage="0" equalAverage="0" bottom="0" percent="0" rank="0" text="" dxfId="318">
      <formula>LEN(TRIM(E15))&gt;0</formula>
    </cfRule>
  </conditionalFormatting>
  <conditionalFormatting sqref="JE24:JP24">
    <cfRule type="expression" priority="321" aboveAverage="0" equalAverage="0" bottom="0" percent="0" rank="0" text="" dxfId="319">
      <formula>LEN(TRIM(JE24))&gt;0</formula>
    </cfRule>
  </conditionalFormatting>
  <conditionalFormatting sqref="JQ24:KQ24">
    <cfRule type="expression" priority="322" aboveAverage="0" equalAverage="0" bottom="0" percent="0" rank="0" text="" dxfId="320">
      <formula>LEN(TRIM(JQ24))&gt;0</formula>
    </cfRule>
  </conditionalFormatting>
  <conditionalFormatting sqref="FU24:GM24">
    <cfRule type="expression" priority="323" aboveAverage="0" equalAverage="0" bottom="0" percent="0" rank="0" text="" dxfId="321">
      <formula>LEN(TRIM(FU24))&gt;0</formula>
    </cfRule>
  </conditionalFormatting>
  <conditionalFormatting sqref="HO24:HU24 ID24:IO24">
    <cfRule type="expression" priority="324" aboveAverage="0" equalAverage="0" bottom="0" percent="0" rank="0" text="" dxfId="322">
      <formula>LEN(TRIM(HO24))&gt;0</formula>
    </cfRule>
  </conditionalFormatting>
  <conditionalFormatting sqref="HV24:IC24">
    <cfRule type="expression" priority="325" aboveAverage="0" equalAverage="0" bottom="0" percent="0" rank="0" text="" dxfId="323">
      <formula>LEN(TRIM(HV24))&gt;0</formula>
    </cfRule>
  </conditionalFormatting>
  <conditionalFormatting sqref="GN24:HN24">
    <cfRule type="expression" priority="326" aboveAverage="0" equalAverage="0" bottom="0" percent="0" rank="0" text="" dxfId="324">
      <formula>LEN(TRIM(GN24))&gt;0</formula>
    </cfRule>
  </conditionalFormatting>
  <conditionalFormatting sqref="IQ24:IS24 IU24:JD24">
    <cfRule type="expression" priority="327" aboveAverage="0" equalAverage="0" bottom="0" percent="0" rank="0" text="" dxfId="325">
      <formula>LEN(TRIM(IQ24))&gt;0</formula>
    </cfRule>
  </conditionalFormatting>
  <conditionalFormatting sqref="DD24:DJ24 EI24:EK24">
    <cfRule type="expression" priority="328" aboveAverage="0" equalAverage="0" bottom="0" percent="0" rank="0" text="" dxfId="326">
      <formula>LEN(TRIM(DD24))&gt;0</formula>
    </cfRule>
  </conditionalFormatting>
  <conditionalFormatting sqref="EL24:FL24">
    <cfRule type="expression" priority="329" aboveAverage="0" equalAverage="0" bottom="0" percent="0" rank="0" text="" dxfId="327">
      <formula>LEN(TRIM(EL24))&gt;0</formula>
    </cfRule>
  </conditionalFormatting>
  <conditionalFormatting sqref="F24">
    <cfRule type="expression" priority="330" aboveAverage="0" equalAverage="0" bottom="0" percent="0" rank="0" text="" dxfId="328">
      <formula>LEN(TRIM(F24))&gt;0</formula>
    </cfRule>
  </conditionalFormatting>
  <conditionalFormatting sqref="F24">
    <cfRule type="expression" priority="331" aboveAverage="0" equalAverage="0" bottom="0" percent="0" rank="0" text="" dxfId="329">
      <formula>LEN(TRIM(F24))&gt;0</formula>
    </cfRule>
  </conditionalFormatting>
  <conditionalFormatting sqref="S24:U24">
    <cfRule type="expression" priority="332" aboveAverage="0" equalAverage="0" bottom="0" percent="0" rank="0" text="" dxfId="330">
      <formula>LEN(TRIM(S24))&gt;0</formula>
    </cfRule>
  </conditionalFormatting>
  <conditionalFormatting sqref="AU24:BH24">
    <cfRule type="expression" priority="333" aboveAverage="0" equalAverage="0" bottom="0" percent="0" rank="0" text="" dxfId="331">
      <formula>LEN(TRIM(AU24))&gt;0</formula>
    </cfRule>
  </conditionalFormatting>
  <conditionalFormatting sqref="AT24">
    <cfRule type="expression" priority="334" aboveAverage="0" equalAverage="0" bottom="0" percent="0" rank="0" text="" dxfId="332">
      <formula>LEN(TRIM(AT24))&gt;0</formula>
    </cfRule>
  </conditionalFormatting>
  <conditionalFormatting sqref="CC24:CI24">
    <cfRule type="expression" priority="335" aboveAverage="0" equalAverage="0" bottom="0" percent="0" rank="0" text="" dxfId="333">
      <formula>LEN(TRIM(CC24))&gt;0</formula>
    </cfRule>
  </conditionalFormatting>
  <conditionalFormatting sqref="G24:R24">
    <cfRule type="expression" priority="336" aboveAverage="0" equalAverage="0" bottom="0" percent="0" rank="0" text="" dxfId="334">
      <formula>LEN(TRIM(G24))&gt;0</formula>
    </cfRule>
  </conditionalFormatting>
  <conditionalFormatting sqref="V24:AD24">
    <cfRule type="expression" priority="337" aboveAverage="0" equalAverage="0" bottom="0" percent="0" rank="0" text="" dxfId="335">
      <formula>LEN(TRIM(V24))&gt;0</formula>
    </cfRule>
  </conditionalFormatting>
  <conditionalFormatting sqref="AH24:AS24">
    <cfRule type="expression" priority="338" aboveAverage="0" equalAverage="0" bottom="0" percent="0" rank="0" text="" dxfId="336">
      <formula>LEN(TRIM(AH24))&gt;0</formula>
    </cfRule>
  </conditionalFormatting>
  <conditionalFormatting sqref="IP24">
    <cfRule type="expression" priority="339" aboveAverage="0" equalAverage="0" bottom="0" percent="0" rank="0" text="" dxfId="337">
      <formula>LEN(TRIM(IP24))&gt;0</formula>
    </cfRule>
  </conditionalFormatting>
  <conditionalFormatting sqref="IT24">
    <cfRule type="expression" priority="340" aboveAverage="0" equalAverage="0" bottom="0" percent="0" rank="0" text="" dxfId="338">
      <formula>LEN(TRIM(IT24))&gt;0</formula>
    </cfRule>
  </conditionalFormatting>
  <conditionalFormatting sqref="E24">
    <cfRule type="expression" priority="341" aboveAverage="0" equalAverage="0" bottom="0" percent="0" rank="0" text="" dxfId="339">
      <formula>LEN(TRIM(E24))&gt;0</formula>
    </cfRule>
  </conditionalFormatting>
  <conditionalFormatting sqref="E24">
    <cfRule type="expression" priority="342" aboveAverage="0" equalAverage="0" bottom="0" percent="0" rank="0" text="" dxfId="340">
      <formula>LEN(TRIM(E24))&gt;0</formula>
    </cfRule>
  </conditionalFormatting>
  <conditionalFormatting sqref="E24">
    <cfRule type="expression" priority="343" aboveAverage="0" equalAverage="0" bottom="0" percent="0" rank="0" text="" dxfId="341">
      <formula>LEN(TRIM(E24))&gt;0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I21" activeCellId="0" sqref="I21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43"/>
    <col collapsed="false" customWidth="true" hidden="false" outlineLevel="0" max="4" min="4" style="88" width="8.43"/>
    <col collapsed="false" customWidth="true" hidden="false" outlineLevel="0" max="5" min="5" style="88" width="10.57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43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18.14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43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57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105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51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9.5" hidden="false" customHeight="tru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/>
      <c r="B9" s="110"/>
      <c r="C9" s="41"/>
      <c r="D9" s="41"/>
      <c r="E9" s="41"/>
      <c r="F9" s="30"/>
      <c r="G9" s="31"/>
      <c r="H9" s="41"/>
      <c r="I9" s="41"/>
      <c r="J9" s="41"/>
      <c r="K9" s="30"/>
      <c r="L9" s="31"/>
      <c r="M9" s="41"/>
      <c r="N9" s="41"/>
      <c r="O9" s="41"/>
      <c r="P9" s="30"/>
      <c r="Q9" s="31"/>
      <c r="R9" s="41"/>
      <c r="S9" s="41"/>
      <c r="T9" s="41"/>
      <c r="U9" s="30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7</v>
      </c>
      <c r="D10" s="41" t="n">
        <v>14</v>
      </c>
      <c r="E10" s="41" t="n">
        <v>21</v>
      </c>
      <c r="F10" s="30" t="s">
        <v>163</v>
      </c>
      <c r="G10" s="31" t="s">
        <v>164</v>
      </c>
      <c r="H10" s="41" t="n">
        <v>8</v>
      </c>
      <c r="I10" s="41" t="n">
        <v>-80</v>
      </c>
      <c r="J10" s="41" t="n">
        <v>0</v>
      </c>
      <c r="K10" s="30" t="s">
        <v>165</v>
      </c>
      <c r="L10" s="31"/>
      <c r="M10" s="41"/>
      <c r="N10" s="41"/>
      <c r="O10" s="41"/>
      <c r="P10" s="30"/>
      <c r="Q10" s="31"/>
      <c r="R10" s="41"/>
      <c r="S10" s="41"/>
      <c r="T10" s="41"/>
      <c r="U10" s="30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7</v>
      </c>
      <c r="D11" s="41" t="n">
        <v>34</v>
      </c>
      <c r="E11" s="41" t="n">
        <v>41</v>
      </c>
      <c r="F11" s="30" t="s">
        <v>163</v>
      </c>
      <c r="G11" s="31" t="s">
        <v>166</v>
      </c>
      <c r="H11" s="41" t="n">
        <v>8</v>
      </c>
      <c r="I11" s="41" t="n">
        <v>-80</v>
      </c>
      <c r="J11" s="41" t="n">
        <v>0</v>
      </c>
      <c r="K11" s="30" t="s">
        <v>165</v>
      </c>
      <c r="L11" s="31"/>
      <c r="M11" s="41"/>
      <c r="N11" s="41"/>
      <c r="O11" s="41"/>
      <c r="P11" s="30"/>
      <c r="Q11" s="31"/>
      <c r="R11" s="41"/>
      <c r="S11" s="41"/>
      <c r="T11" s="41"/>
      <c r="U11" s="30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7</v>
      </c>
      <c r="D12" s="41" t="n">
        <v>44</v>
      </c>
      <c r="E12" s="41" t="n">
        <v>51</v>
      </c>
      <c r="F12" s="30" t="s">
        <v>163</v>
      </c>
      <c r="G12" s="31" t="s">
        <v>167</v>
      </c>
      <c r="H12" s="41" t="n">
        <v>8</v>
      </c>
      <c r="I12" s="41" t="n">
        <v>-80</v>
      </c>
      <c r="J12" s="41" t="n">
        <v>0</v>
      </c>
      <c r="K12" s="30" t="s">
        <v>165</v>
      </c>
      <c r="L12" s="31"/>
      <c r="M12" s="41"/>
      <c r="N12" s="41"/>
      <c r="O12" s="41"/>
      <c r="P12" s="30"/>
      <c r="Q12" s="31"/>
      <c r="R12" s="41"/>
      <c r="S12" s="41"/>
      <c r="T12" s="41"/>
      <c r="U12" s="30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30"/>
      <c r="G13" s="31"/>
      <c r="H13" s="41"/>
      <c r="I13" s="41"/>
      <c r="J13" s="41"/>
      <c r="K13" s="30"/>
      <c r="L13" s="31"/>
      <c r="M13" s="41"/>
      <c r="N13" s="41"/>
      <c r="O13" s="41"/>
      <c r="P13" s="30"/>
      <c r="Q13" s="31"/>
      <c r="R13" s="41"/>
      <c r="S13" s="41"/>
      <c r="T13" s="41"/>
      <c r="U13" s="30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30"/>
      <c r="G14" s="31"/>
      <c r="H14" s="41"/>
      <c r="I14" s="41"/>
      <c r="J14" s="41"/>
      <c r="K14" s="30"/>
      <c r="L14" s="31"/>
      <c r="M14" s="41"/>
      <c r="N14" s="41"/>
      <c r="O14" s="41"/>
      <c r="P14" s="30"/>
      <c r="Q14" s="31"/>
      <c r="R14" s="41"/>
      <c r="S14" s="41"/>
      <c r="T14" s="41"/>
      <c r="U14" s="30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30"/>
      <c r="G15" s="31"/>
      <c r="H15" s="41"/>
      <c r="I15" s="41"/>
      <c r="J15" s="41"/>
      <c r="K15" s="30"/>
      <c r="L15" s="31"/>
      <c r="M15" s="41"/>
      <c r="N15" s="41"/>
      <c r="O15" s="41"/>
      <c r="P15" s="30"/>
      <c r="Q15" s="31"/>
      <c r="R15" s="41"/>
      <c r="S15" s="41"/>
      <c r="T15" s="41"/>
      <c r="U15" s="30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30"/>
      <c r="G16" s="31"/>
      <c r="H16" s="41"/>
      <c r="I16" s="41"/>
      <c r="J16" s="41"/>
      <c r="K16" s="30"/>
      <c r="L16" s="31"/>
      <c r="M16" s="41"/>
      <c r="N16" s="41"/>
      <c r="O16" s="41"/>
      <c r="P16" s="30"/>
      <c r="Q16" s="31"/>
      <c r="R16" s="41"/>
      <c r="S16" s="41"/>
      <c r="T16" s="41"/>
      <c r="U16" s="30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30"/>
      <c r="G17" s="111"/>
      <c r="H17" s="41"/>
      <c r="I17" s="41"/>
      <c r="J17" s="41"/>
      <c r="K17" s="30"/>
      <c r="L17" s="31"/>
      <c r="M17" s="41"/>
      <c r="N17" s="41"/>
      <c r="O17" s="41"/>
      <c r="P17" s="30"/>
      <c r="Q17" s="31"/>
      <c r="R17" s="41"/>
      <c r="S17" s="41"/>
      <c r="T17" s="41"/>
      <c r="U17" s="30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30"/>
      <c r="G18" s="111"/>
      <c r="H18" s="41"/>
      <c r="I18" s="41"/>
      <c r="J18" s="41"/>
      <c r="K18" s="30"/>
      <c r="L18" s="31"/>
      <c r="M18" s="41"/>
      <c r="N18" s="41"/>
      <c r="O18" s="41"/>
      <c r="P18" s="30"/>
      <c r="Q18" s="31"/>
      <c r="R18" s="41"/>
      <c r="S18" s="41"/>
      <c r="T18" s="41"/>
      <c r="U18" s="30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30"/>
      <c r="G19" s="111"/>
      <c r="H19" s="41"/>
      <c r="I19" s="41"/>
      <c r="J19" s="41"/>
      <c r="K19" s="30"/>
      <c r="L19" s="31"/>
      <c r="M19" s="41"/>
      <c r="N19" s="41"/>
      <c r="O19" s="41"/>
      <c r="P19" s="30"/>
      <c r="Q19" s="31"/>
      <c r="R19" s="41"/>
      <c r="S19" s="41"/>
      <c r="T19" s="41"/>
      <c r="U19" s="30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30"/>
      <c r="G20" s="111"/>
      <c r="H20" s="41"/>
      <c r="I20" s="41"/>
      <c r="J20" s="41"/>
      <c r="K20" s="30"/>
      <c r="L20" s="31"/>
      <c r="M20" s="41"/>
      <c r="N20" s="41"/>
      <c r="O20" s="41"/>
      <c r="P20" s="30"/>
      <c r="Q20" s="31"/>
      <c r="R20" s="41"/>
      <c r="S20" s="41"/>
      <c r="T20" s="41"/>
      <c r="U20" s="30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30"/>
      <c r="G21" s="111"/>
      <c r="H21" s="41"/>
      <c r="I21" s="41"/>
      <c r="J21" s="41"/>
      <c r="K21" s="30"/>
      <c r="L21" s="31"/>
      <c r="M21" s="41"/>
      <c r="N21" s="41"/>
      <c r="O21" s="41"/>
      <c r="P21" s="30"/>
      <c r="Q21" s="31"/>
      <c r="R21" s="41"/>
      <c r="S21" s="41"/>
      <c r="T21" s="41"/>
      <c r="U21" s="30"/>
      <c r="V21" s="31"/>
      <c r="W21" s="41"/>
      <c r="X21" s="41"/>
      <c r="Y21" s="41"/>
      <c r="Z21" s="32"/>
    </row>
    <row r="22" customFormat="false" ht="15.75" hidden="false" customHeight="false" outlineLevel="0" collapsed="false">
      <c r="A22" s="112"/>
      <c r="B22" s="113"/>
      <c r="C22" s="91"/>
      <c r="D22" s="91"/>
      <c r="E22" s="91"/>
      <c r="F22" s="114"/>
      <c r="G22" s="115"/>
      <c r="H22" s="91"/>
      <c r="I22" s="91"/>
      <c r="J22" s="91"/>
      <c r="K22" s="114"/>
      <c r="L22" s="31"/>
      <c r="M22" s="41"/>
      <c r="N22" s="41"/>
      <c r="O22" s="41"/>
      <c r="P22" s="30"/>
      <c r="Q22" s="31"/>
      <c r="R22" s="41"/>
      <c r="S22" s="41"/>
      <c r="T22" s="41"/>
      <c r="U22" s="30"/>
      <c r="V22" s="31"/>
      <c r="W22" s="41"/>
      <c r="X22" s="41"/>
      <c r="Y22" s="41"/>
      <c r="Z22" s="32"/>
    </row>
    <row r="23" customFormat="false" ht="15.75" hidden="false" customHeight="false" outlineLevel="0" collapsed="false"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4" customFormat="false" ht="15" hidden="false" customHeight="false" outlineLevel="0" collapsed="false">
      <c r="A24" s="97" t="s">
        <v>168</v>
      </c>
      <c r="B24" s="97"/>
      <c r="C24" s="97"/>
      <c r="D24" s="97"/>
      <c r="E24" s="97"/>
      <c r="F24" s="97"/>
      <c r="G24" s="97"/>
      <c r="H24" s="97"/>
      <c r="I24" s="97"/>
      <c r="J24" s="97"/>
    </row>
    <row r="25" customFormat="false" ht="15" hidden="false" customHeight="false" outlineLevel="0" collapsed="false">
      <c r="B25" s="17" t="s">
        <v>169</v>
      </c>
      <c r="C25" s="17"/>
      <c r="D25" s="17"/>
      <c r="E25" s="17"/>
      <c r="G25" s="17" t="s">
        <v>170</v>
      </c>
      <c r="H25" s="17"/>
      <c r="I25" s="17"/>
      <c r="J25" s="17"/>
      <c r="L25" s="97" t="s">
        <v>171</v>
      </c>
      <c r="M25" s="97"/>
    </row>
    <row r="26" customFormat="false" ht="15" hidden="false" customHeight="true" outlineLevel="0" collapsed="false">
      <c r="B26" s="17" t="s">
        <v>172</v>
      </c>
      <c r="C26" s="17" t="s">
        <v>158</v>
      </c>
      <c r="D26" s="17" t="s">
        <v>159</v>
      </c>
      <c r="E26" s="17" t="s">
        <v>173</v>
      </c>
      <c r="G26" s="17" t="s">
        <v>172</v>
      </c>
      <c r="H26" s="17" t="s">
        <v>158</v>
      </c>
      <c r="I26" s="17" t="s">
        <v>159</v>
      </c>
      <c r="J26" s="17" t="s">
        <v>174</v>
      </c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41" t="s">
        <v>52</v>
      </c>
      <c r="C27" s="41" t="n">
        <v>0</v>
      </c>
      <c r="D27" s="41" t="n">
        <v>51</v>
      </c>
      <c r="E27" s="32" t="n">
        <v>-5.5</v>
      </c>
      <c r="G27" s="41"/>
      <c r="H27" s="41"/>
      <c r="I27" s="41"/>
      <c r="J27" s="41"/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50</v>
      </c>
      <c r="C28" s="41" t="n">
        <v>0</v>
      </c>
      <c r="D28" s="41" t="n">
        <v>51</v>
      </c>
      <c r="E28" s="32" t="n">
        <v>-1.8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51</v>
      </c>
      <c r="C29" s="41" t="n">
        <v>0</v>
      </c>
      <c r="D29" s="41" t="n">
        <v>51</v>
      </c>
      <c r="E29" s="32" t="n">
        <v>-1.95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52</v>
      </c>
      <c r="C30" s="41" t="n">
        <v>15</v>
      </c>
      <c r="D30" s="41" t="n">
        <v>20</v>
      </c>
      <c r="E30" s="41" t="n">
        <v>8.25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50</v>
      </c>
      <c r="C31" s="41" t="n">
        <v>35</v>
      </c>
      <c r="D31" s="41" t="n">
        <v>40</v>
      </c>
      <c r="E31" s="41" t="n">
        <v>3.5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51</v>
      </c>
      <c r="C32" s="41" t="n">
        <v>45</v>
      </c>
      <c r="D32" s="41" t="n">
        <v>50</v>
      </c>
      <c r="E32" s="41" t="n">
        <v>2.85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 t="s">
        <v>52</v>
      </c>
      <c r="C33" s="41" t="n">
        <v>0</v>
      </c>
      <c r="D33" s="41" t="n">
        <v>0</v>
      </c>
      <c r="E33" s="41" t="n">
        <v>-10</v>
      </c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 t="s">
        <v>50</v>
      </c>
      <c r="C34" s="41" t="n">
        <v>0</v>
      </c>
      <c r="D34" s="41" t="n">
        <v>0</v>
      </c>
      <c r="E34" s="41" t="n">
        <v>-10</v>
      </c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 t="s">
        <v>51</v>
      </c>
      <c r="C35" s="41" t="n">
        <v>0</v>
      </c>
      <c r="D35" s="41" t="n">
        <v>0</v>
      </c>
      <c r="E35" s="41" t="n">
        <v>-10</v>
      </c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  <c r="Q37" s="117" t="s">
        <v>177</v>
      </c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G85" s="41"/>
      <c r="H85" s="41"/>
      <c r="I85" s="41"/>
      <c r="J85" s="41"/>
    </row>
    <row r="86" customFormat="false" ht="15" hidden="false" customHeight="false" outlineLevel="0" collapsed="false">
      <c r="G86" s="41"/>
      <c r="H86" s="41"/>
      <c r="I86" s="41"/>
      <c r="J86" s="41"/>
    </row>
  </sheetData>
  <mergeCells count="11">
    <mergeCell ref="F1:K1"/>
    <mergeCell ref="B7:F7"/>
    <mergeCell ref="G7:K7"/>
    <mergeCell ref="L7:P7"/>
    <mergeCell ref="Q7:U7"/>
    <mergeCell ref="V7:Z7"/>
    <mergeCell ref="A24:J24"/>
    <mergeCell ref="B25:E25"/>
    <mergeCell ref="G25:J25"/>
    <mergeCell ref="L25:M25"/>
    <mergeCell ref="M26:Q27"/>
  </mergeCells>
  <conditionalFormatting sqref="M16">
    <cfRule type="expression" priority="2" aboveAverage="0" equalAverage="0" bottom="0" percent="0" rank="0" text="" dxfId="342">
      <formula>LEN(TRIM(M16))=0</formula>
    </cfRule>
    <cfRule type="cellIs" priority="3" operator="equal" aboveAverage="0" equalAverage="0" bottom="0" percent="0" rank="0" text="" dxfId="343">
      <formula>0</formula>
    </cfRule>
  </conditionalFormatting>
  <conditionalFormatting sqref="M16">
    <cfRule type="expression" priority="4" aboveAverage="0" equalAverage="0" bottom="0" percent="0" rank="0" text="" dxfId="344">
      <formula>LEN(TRIM(M16))=0</formula>
    </cfRule>
    <cfRule type="cellIs" priority="5" operator="equal" aboveAverage="0" equalAverage="0" bottom="0" percent="0" rank="0" text="" dxfId="345">
      <formula>0</formula>
    </cfRule>
  </conditionalFormatting>
  <conditionalFormatting sqref="C3">
    <cfRule type="cellIs" priority="6" operator="notEqual" aboveAverage="0" equalAverage="0" bottom="0" percent="0" rank="0" text="" dxfId="346">
      <formula>MAX($E$9:$E$22)</formula>
    </cfRule>
  </conditionalFormatting>
  <conditionalFormatting sqref="M14">
    <cfRule type="expression" priority="7" aboveAverage="0" equalAverage="0" bottom="0" percent="0" rank="0" text="" dxfId="347">
      <formula>LEN(TRIM(M14))=0</formula>
    </cfRule>
    <cfRule type="cellIs" priority="8" operator="equal" aboveAverage="0" equalAverage="0" bottom="0" percent="0" rank="0" text="" dxfId="348">
      <formula>0</formula>
    </cfRule>
  </conditionalFormatting>
  <conditionalFormatting sqref="M14">
    <cfRule type="expression" priority="9" aboveAverage="0" equalAverage="0" bottom="0" percent="0" rank="0" text="" dxfId="349">
      <formula>LEN(TRIM(M14))=0</formula>
    </cfRule>
    <cfRule type="cellIs" priority="10" operator="equal" aboveAverage="0" equalAverage="0" bottom="0" percent="0" rank="0" text="" dxfId="350">
      <formula>0</formula>
    </cfRule>
  </conditionalFormatting>
  <dataValidations count="1">
    <dataValidation allowBlank="true" errorStyle="stop" operator="between" showDropDown="false" showErrorMessage="true" showInputMessage="true" sqref="F9:F22 K9:K22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9" activeCellId="0" sqref="E2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43"/>
    <col collapsed="false" customWidth="true" hidden="false" outlineLevel="0" max="4" min="4" style="88" width="8.43"/>
    <col collapsed="false" customWidth="true" hidden="false" outlineLevel="0" max="5" min="5" style="88" width="10.57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43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43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57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178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115.5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0.0001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9.5" hidden="false" customHeight="tru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8</v>
      </c>
      <c r="D9" s="41" t="n">
        <v>25</v>
      </c>
      <c r="E9" s="41" t="n">
        <v>115</v>
      </c>
      <c r="F9" s="118" t="s">
        <v>163</v>
      </c>
      <c r="G9" s="31" t="s">
        <v>179</v>
      </c>
      <c r="H9" s="41" t="n">
        <v>10</v>
      </c>
      <c r="I9" s="41" t="n">
        <v>-60.5</v>
      </c>
      <c r="J9" s="41" t="n">
        <v>-59.5</v>
      </c>
      <c r="K9" s="118" t="s">
        <v>165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12</v>
      </c>
      <c r="D10" s="41" t="n">
        <v>29.5</v>
      </c>
      <c r="E10" s="41" t="n">
        <v>35.5</v>
      </c>
      <c r="F10" s="118" t="s">
        <v>163</v>
      </c>
      <c r="G10" s="31" t="s">
        <v>179</v>
      </c>
      <c r="H10" s="41" t="n">
        <v>3</v>
      </c>
      <c r="I10" s="41" t="n">
        <v>-80</v>
      </c>
      <c r="J10" s="41" t="n">
        <v>10</v>
      </c>
      <c r="K10" s="118" t="s">
        <v>165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12</v>
      </c>
      <c r="D11" s="41" t="n">
        <v>69.5</v>
      </c>
      <c r="E11" s="41" t="n">
        <v>75.5</v>
      </c>
      <c r="F11" s="118" t="s">
        <v>163</v>
      </c>
      <c r="G11" s="31" t="s">
        <v>179</v>
      </c>
      <c r="H11" s="41" t="n">
        <v>3</v>
      </c>
      <c r="I11" s="41" t="n">
        <v>-80</v>
      </c>
      <c r="J11" s="41" t="n">
        <v>10</v>
      </c>
      <c r="K11" s="118" t="s">
        <v>165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12</v>
      </c>
      <c r="D12" s="41" t="n">
        <v>109.5</v>
      </c>
      <c r="E12" s="41" t="n">
        <v>115.5</v>
      </c>
      <c r="F12" s="118" t="s">
        <v>163</v>
      </c>
      <c r="G12" s="31" t="s">
        <v>179</v>
      </c>
      <c r="H12" s="41" t="n">
        <v>3</v>
      </c>
      <c r="I12" s="41" t="n">
        <v>-80</v>
      </c>
      <c r="J12" s="41" t="n">
        <v>10</v>
      </c>
      <c r="K12" s="118" t="s">
        <v>165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tru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</v>
      </c>
      <c r="D28" s="41" t="n">
        <v>166</v>
      </c>
      <c r="E28" s="32" t="n">
        <v>-0.46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45</v>
      </c>
      <c r="C29" s="41" t="n">
        <v>30</v>
      </c>
      <c r="D29" s="41" t="n">
        <v>35</v>
      </c>
      <c r="E29" s="32" t="n">
        <v>0.69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45</v>
      </c>
      <c r="C30" s="41" t="n">
        <v>70</v>
      </c>
      <c r="D30" s="41" t="n">
        <v>75</v>
      </c>
      <c r="E30" s="32" t="n">
        <v>0.7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45</v>
      </c>
      <c r="C31" s="41" t="n">
        <v>110</v>
      </c>
      <c r="D31" s="41" t="n">
        <v>115</v>
      </c>
      <c r="E31" s="41" t="n">
        <v>0.75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G87" s="41"/>
      <c r="H87" s="41"/>
      <c r="I87" s="41"/>
      <c r="J87" s="41"/>
    </row>
    <row r="90" customFormat="false" ht="15.75" hidden="false" customHeight="false" outlineLevel="0" collapsed="false"/>
    <row r="91" customFormat="false" ht="15.75" hidden="false" customHeight="false" outlineLevel="0" collapsed="false">
      <c r="C91" s="119" t="s">
        <v>50</v>
      </c>
      <c r="D91" s="41" t="n">
        <v>0</v>
      </c>
      <c r="E91" s="41" t="n">
        <v>166</v>
      </c>
    </row>
    <row r="92" customFormat="false" ht="15.75" hidden="false" customHeight="false" outlineLevel="0" collapsed="false">
      <c r="C92" s="119" t="s">
        <v>50</v>
      </c>
      <c r="D92" s="41" t="n">
        <v>20</v>
      </c>
      <c r="E92" s="41" t="n">
        <v>25</v>
      </c>
      <c r="F92" s="32" t="n">
        <v>0</v>
      </c>
      <c r="K92" s="119" t="n">
        <v>1</v>
      </c>
    </row>
    <row r="93" customFormat="false" ht="15.75" hidden="false" customHeight="false" outlineLevel="0" collapsed="false">
      <c r="C93" s="119" t="s">
        <v>50</v>
      </c>
      <c r="D93" s="41" t="n">
        <v>55</v>
      </c>
      <c r="E93" s="41" t="n">
        <v>60</v>
      </c>
      <c r="F93" s="32" t="n">
        <v>1</v>
      </c>
      <c r="K93" s="119" t="n">
        <v>1</v>
      </c>
      <c r="L93" s="120" t="s">
        <v>150</v>
      </c>
      <c r="M93" s="120" t="n">
        <v>12</v>
      </c>
      <c r="N93" s="120" t="n">
        <v>19</v>
      </c>
      <c r="O93" s="120" t="n">
        <v>26</v>
      </c>
      <c r="P93" s="120" t="s">
        <v>163</v>
      </c>
      <c r="Q93" s="120" t="s">
        <v>166</v>
      </c>
      <c r="R93" s="120" t="n">
        <v>5</v>
      </c>
      <c r="S93" s="120" t="n">
        <v>-80</v>
      </c>
      <c r="T93" s="120" t="n">
        <v>30</v>
      </c>
      <c r="U93" s="120" t="s">
        <v>165</v>
      </c>
    </row>
    <row r="94" customFormat="false" ht="15.75" hidden="false" customHeight="false" outlineLevel="0" collapsed="false">
      <c r="C94" s="119" t="s">
        <v>50</v>
      </c>
      <c r="D94" s="41" t="n">
        <v>70</v>
      </c>
      <c r="E94" s="41" t="n">
        <v>75</v>
      </c>
      <c r="F94" s="32" t="n">
        <v>1.7</v>
      </c>
      <c r="K94" s="119" t="n">
        <v>1</v>
      </c>
      <c r="L94" s="120" t="s">
        <v>150</v>
      </c>
      <c r="M94" s="120" t="n">
        <v>12</v>
      </c>
      <c r="N94" s="120" t="n">
        <v>54</v>
      </c>
      <c r="O94" s="120" t="n">
        <v>61</v>
      </c>
      <c r="P94" s="120" t="s">
        <v>163</v>
      </c>
      <c r="Q94" s="120" t="s">
        <v>166</v>
      </c>
      <c r="R94" s="120" t="n">
        <v>5</v>
      </c>
      <c r="S94" s="120" t="n">
        <v>-80</v>
      </c>
      <c r="T94" s="120" t="n">
        <v>30</v>
      </c>
      <c r="U94" s="120" t="s">
        <v>165</v>
      </c>
    </row>
    <row r="95" customFormat="false" ht="15.75" hidden="false" customHeight="false" outlineLevel="0" collapsed="false">
      <c r="F95" s="41" t="n">
        <v>2</v>
      </c>
      <c r="L95" s="120" t="s">
        <v>150</v>
      </c>
      <c r="M95" s="120" t="n">
        <v>12</v>
      </c>
      <c r="N95" s="120" t="n">
        <v>69</v>
      </c>
      <c r="O95" s="120" t="n">
        <v>76</v>
      </c>
      <c r="P95" s="120" t="s">
        <v>163</v>
      </c>
      <c r="Q95" s="120" t="s">
        <v>166</v>
      </c>
      <c r="R95" s="120" t="n">
        <v>5</v>
      </c>
      <c r="S95" s="120" t="n">
        <v>-80</v>
      </c>
      <c r="T95" s="120" t="n">
        <v>30</v>
      </c>
      <c r="U95" s="120" t="s">
        <v>165</v>
      </c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51">
      <formula>MAX($E$9:$E$23)</formula>
    </cfRule>
  </conditionalFormatting>
  <conditionalFormatting sqref="M16">
    <cfRule type="expression" priority="3" aboveAverage="0" equalAverage="0" bottom="0" percent="0" rank="0" text="" dxfId="352">
      <formula>LEN(TRIM(M16))=0</formula>
    </cfRule>
    <cfRule type="cellIs" priority="4" operator="equal" aboveAverage="0" equalAverage="0" bottom="0" percent="0" rank="0" text="" dxfId="353">
      <formula>0</formula>
    </cfRule>
  </conditionalFormatting>
  <conditionalFormatting sqref="M16">
    <cfRule type="expression" priority="5" aboveAverage="0" equalAverage="0" bottom="0" percent="0" rank="0" text="" dxfId="354">
      <formula>LEN(TRIM(M16))=0</formula>
    </cfRule>
    <cfRule type="cellIs" priority="6" operator="equal" aboveAverage="0" equalAverage="0" bottom="0" percent="0" rank="0" text="" dxfId="35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U28" activeCellId="0" sqref="U28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0.71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180</v>
      </c>
      <c r="D2" s="100" t="s">
        <v>106</v>
      </c>
      <c r="E2" s="41" t="n">
        <v>1</v>
      </c>
      <c r="F2" s="121" t="s">
        <v>107</v>
      </c>
      <c r="G2" s="122" t="s">
        <v>108</v>
      </c>
      <c r="M2" s="17" t="s">
        <v>109</v>
      </c>
      <c r="N2" s="122" t="s">
        <v>110</v>
      </c>
      <c r="O2" s="76"/>
      <c r="P2" s="76"/>
      <c r="Q2" s="17" t="s">
        <v>111</v>
      </c>
      <c r="R2" s="122" t="s">
        <v>112</v>
      </c>
      <c r="S2" s="76"/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20</v>
      </c>
      <c r="D3" s="100" t="s">
        <v>116</v>
      </c>
      <c r="E3" s="41" t="n">
        <v>0</v>
      </c>
      <c r="F3" s="2" t="s">
        <v>117</v>
      </c>
      <c r="G3" s="122" t="s">
        <v>118</v>
      </c>
      <c r="I3" s="99" t="s">
        <v>119</v>
      </c>
      <c r="J3" s="98" t="s">
        <v>120</v>
      </c>
      <c r="M3" s="17" t="s">
        <v>121</v>
      </c>
      <c r="N3" s="122" t="s">
        <v>122</v>
      </c>
      <c r="O3" s="76"/>
      <c r="P3" s="76"/>
      <c r="Q3" s="17" t="s">
        <v>123</v>
      </c>
      <c r="R3" s="122" t="s">
        <v>124</v>
      </c>
      <c r="S3" s="76"/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122" t="s">
        <v>133</v>
      </c>
      <c r="O4" s="76"/>
      <c r="P4" s="76"/>
      <c r="Q4" s="17" t="s">
        <v>134</v>
      </c>
      <c r="R4" s="122" t="s">
        <v>135</v>
      </c>
      <c r="S4" s="76"/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122" t="s">
        <v>141</v>
      </c>
      <c r="O5" s="76"/>
      <c r="P5" s="76"/>
      <c r="Q5" s="17" t="s">
        <v>142</v>
      </c>
      <c r="R5" s="122" t="s">
        <v>143</v>
      </c>
      <c r="S5" s="76"/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20</v>
      </c>
      <c r="D9" s="41" t="n">
        <v>0</v>
      </c>
      <c r="E9" s="41" t="n">
        <v>20</v>
      </c>
      <c r="F9" s="118" t="s">
        <v>163</v>
      </c>
      <c r="G9" s="31" t="s">
        <v>181</v>
      </c>
      <c r="H9" s="41" t="n">
        <v>10</v>
      </c>
      <c r="I9" s="41" t="n">
        <v>-80</v>
      </c>
      <c r="J9" s="41" t="n">
        <v>20</v>
      </c>
      <c r="K9" s="118" t="s">
        <v>182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20</v>
      </c>
      <c r="D10" s="41" t="n">
        <v>0</v>
      </c>
      <c r="E10" s="41" t="n">
        <v>20</v>
      </c>
      <c r="F10" s="118" t="s">
        <v>163</v>
      </c>
      <c r="G10" s="31" t="s">
        <v>166</v>
      </c>
      <c r="H10" s="41" t="n">
        <v>10</v>
      </c>
      <c r="I10" s="41" t="n">
        <v>-80</v>
      </c>
      <c r="J10" s="41" t="n">
        <v>20</v>
      </c>
      <c r="K10" s="118" t="s">
        <v>182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44</v>
      </c>
      <c r="C28" s="41" t="n">
        <v>5</v>
      </c>
      <c r="D28" s="41" t="n">
        <v>7</v>
      </c>
      <c r="E28" s="41" t="n">
        <v>2.9</v>
      </c>
      <c r="G28" s="41"/>
      <c r="H28" s="41"/>
      <c r="I28" s="41"/>
      <c r="J28" s="41"/>
      <c r="L28" s="31"/>
      <c r="M28" s="123"/>
    </row>
    <row r="29" customFormat="false" ht="15" hidden="false" customHeight="false" outlineLevel="0" collapsed="false">
      <c r="B29" s="41" t="s">
        <v>44</v>
      </c>
      <c r="C29" s="41" t="n">
        <v>9</v>
      </c>
      <c r="D29" s="41" t="n">
        <v>11</v>
      </c>
      <c r="E29" s="41" t="n">
        <v>3.1</v>
      </c>
      <c r="G29" s="41"/>
      <c r="H29" s="41"/>
      <c r="I29" s="41"/>
      <c r="J29" s="41"/>
      <c r="L29" s="31"/>
      <c r="M29" s="123"/>
    </row>
    <row r="30" customFormat="false" ht="15" hidden="false" customHeight="false" outlineLevel="0" collapsed="false">
      <c r="B30" s="41" t="s">
        <v>44</v>
      </c>
      <c r="C30" s="41" t="n">
        <v>13</v>
      </c>
      <c r="D30" s="41" t="n">
        <v>15</v>
      </c>
      <c r="E30" s="41" t="n">
        <v>3.3</v>
      </c>
      <c r="G30" s="41"/>
      <c r="H30" s="41"/>
      <c r="I30" s="41"/>
      <c r="J30" s="41"/>
      <c r="L30" s="31"/>
      <c r="M30" s="123"/>
    </row>
    <row r="31" customFormat="false" ht="15" hidden="false" customHeight="false" outlineLevel="0" collapsed="false">
      <c r="B31" s="41" t="s">
        <v>44</v>
      </c>
      <c r="C31" s="41" t="n">
        <v>17</v>
      </c>
      <c r="D31" s="41" t="n">
        <v>19</v>
      </c>
      <c r="E31" s="41" t="n">
        <v>4</v>
      </c>
      <c r="G31" s="41"/>
      <c r="H31" s="41"/>
      <c r="I31" s="41"/>
      <c r="J31" s="41"/>
      <c r="L31" s="31"/>
      <c r="M31" s="123"/>
    </row>
    <row r="32" customFormat="false" ht="15" hidden="false" customHeight="false" outlineLevel="0" collapsed="false">
      <c r="B32" s="41" t="s">
        <v>45</v>
      </c>
      <c r="C32" s="41" t="n">
        <v>0</v>
      </c>
      <c r="D32" s="41" t="n">
        <v>20</v>
      </c>
      <c r="E32" s="41" t="n">
        <v>-1</v>
      </c>
      <c r="G32" s="41"/>
      <c r="H32" s="41"/>
      <c r="I32" s="41"/>
      <c r="J32" s="41"/>
      <c r="L32" s="31"/>
      <c r="M32" s="123"/>
    </row>
    <row r="33" customFormat="false" ht="15" hidden="false" customHeight="false" outlineLevel="0" collapsed="false">
      <c r="B33" s="41" t="s">
        <v>50</v>
      </c>
      <c r="C33" s="41" t="n">
        <v>0</v>
      </c>
      <c r="D33" s="41" t="n">
        <v>20</v>
      </c>
      <c r="E33" s="41" t="n">
        <v>-0.5</v>
      </c>
      <c r="G33" s="41"/>
      <c r="H33" s="41"/>
      <c r="I33" s="41"/>
      <c r="J33" s="41"/>
      <c r="L33" s="31"/>
      <c r="M33" s="123"/>
    </row>
    <row r="34" customFormat="false" ht="15" hidden="false" customHeight="false" outlineLevel="0" collapsed="false">
      <c r="B34" s="41" t="s">
        <v>43</v>
      </c>
      <c r="C34" s="41" t="n">
        <v>0</v>
      </c>
      <c r="D34" s="41" t="n">
        <v>20</v>
      </c>
      <c r="E34" s="41" t="n">
        <v>-0.5</v>
      </c>
      <c r="G34" s="41"/>
      <c r="H34" s="41"/>
      <c r="I34" s="41"/>
      <c r="J34" s="41"/>
      <c r="L34" s="31"/>
      <c r="M34" s="123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23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23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124"/>
      <c r="M37" s="123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124"/>
      <c r="M38" s="123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124"/>
      <c r="M39" s="123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124"/>
      <c r="M40" s="123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124"/>
      <c r="M41" s="123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124"/>
      <c r="M42" s="123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124"/>
      <c r="M43" s="123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124"/>
      <c r="M44" s="123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56">
      <formula>MAX($E$9:$E$23)</formula>
    </cfRule>
  </conditionalFormatting>
  <conditionalFormatting sqref="M16">
    <cfRule type="expression" priority="3" aboveAverage="0" equalAverage="0" bottom="0" percent="0" rank="0" text="" dxfId="357">
      <formula>LEN(TRIM(M16))=0</formula>
    </cfRule>
    <cfRule type="cellIs" priority="4" operator="equal" aboveAverage="0" equalAverage="0" bottom="0" percent="0" rank="0" text="" dxfId="358">
      <formula>0</formula>
    </cfRule>
  </conditionalFormatting>
  <conditionalFormatting sqref="M16">
    <cfRule type="expression" priority="5" aboveAverage="0" equalAverage="0" bottom="0" percent="0" rank="0" text="" dxfId="359">
      <formula>LEN(TRIM(M16))=0</formula>
    </cfRule>
    <cfRule type="cellIs" priority="6" operator="equal" aboveAverage="0" equalAverage="0" bottom="0" percent="0" rank="0" text="" dxfId="36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183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8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8</v>
      </c>
      <c r="D9" s="41" t="n">
        <v>4</v>
      </c>
      <c r="E9" s="41" t="n">
        <v>8</v>
      </c>
      <c r="F9" s="118" t="s">
        <v>163</v>
      </c>
      <c r="G9" s="31" t="s">
        <v>179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8</v>
      </c>
      <c r="D10" s="41" t="n">
        <v>4</v>
      </c>
      <c r="E10" s="41" t="n">
        <v>8</v>
      </c>
      <c r="F10" s="118" t="s">
        <v>163</v>
      </c>
      <c r="G10" s="31" t="s">
        <v>185</v>
      </c>
      <c r="H10" s="41" t="n">
        <v>10</v>
      </c>
      <c r="I10" s="41" t="n">
        <v>-60</v>
      </c>
      <c r="J10" s="41" t="n">
        <v>-50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8</v>
      </c>
      <c r="D11" s="41" t="n">
        <v>4</v>
      </c>
      <c r="E11" s="41" t="n">
        <v>8</v>
      </c>
      <c r="F11" s="118" t="s">
        <v>163</v>
      </c>
      <c r="G11" s="31" t="s">
        <v>187</v>
      </c>
      <c r="H11" s="41" t="n">
        <v>10</v>
      </c>
      <c r="I11" s="41" t="n">
        <v>-70</v>
      </c>
      <c r="J11" s="41" t="n">
        <v>-60</v>
      </c>
      <c r="K11" s="118" t="s">
        <v>186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35</v>
      </c>
      <c r="C28" s="41" t="n">
        <v>0.1</v>
      </c>
      <c r="D28" s="41" t="n">
        <v>8.5</v>
      </c>
      <c r="E28" s="41" t="n">
        <v>0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45</v>
      </c>
      <c r="C29" s="41" t="n">
        <v>5</v>
      </c>
      <c r="D29" s="41" t="n">
        <v>5.05</v>
      </c>
      <c r="E29" s="41" t="n">
        <v>5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45</v>
      </c>
      <c r="C30" s="41" t="n">
        <v>5.72</v>
      </c>
      <c r="D30" s="41" t="n">
        <v>5.77</v>
      </c>
      <c r="E30" s="41" t="n">
        <v>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45</v>
      </c>
      <c r="C31" s="41" t="n">
        <v>6.44</v>
      </c>
      <c r="D31" s="41" t="n">
        <v>6.49</v>
      </c>
      <c r="E31" s="41" t="n">
        <v>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61">
      <formula>MAX($E$9:$E$23)</formula>
    </cfRule>
  </conditionalFormatting>
  <conditionalFormatting sqref="M16">
    <cfRule type="expression" priority="3" aboveAverage="0" equalAverage="0" bottom="0" percent="0" rank="0" text="" dxfId="362">
      <formula>LEN(TRIM(M16))=0</formula>
    </cfRule>
    <cfRule type="cellIs" priority="4" operator="equal" aboveAverage="0" equalAverage="0" bottom="0" percent="0" rank="0" text="" dxfId="363">
      <formula>0</formula>
    </cfRule>
  </conditionalFormatting>
  <conditionalFormatting sqref="M16">
    <cfRule type="expression" priority="5" aboveAverage="0" equalAverage="0" bottom="0" percent="0" rank="0" text="" dxfId="364">
      <formula>LEN(TRIM(M16))=0</formula>
    </cfRule>
    <cfRule type="cellIs" priority="6" operator="equal" aboveAverage="0" equalAverage="0" bottom="0" percent="0" rank="0" text="" dxfId="36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188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10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0.0001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10</v>
      </c>
      <c r="F9" s="118" t="s">
        <v>184</v>
      </c>
      <c r="G9" s="31" t="s">
        <v>179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10</v>
      </c>
      <c r="F10" s="118" t="s">
        <v>186</v>
      </c>
      <c r="G10" s="31" t="s">
        <v>189</v>
      </c>
      <c r="H10" s="41" t="n">
        <v>10</v>
      </c>
      <c r="I10" s="41" t="n">
        <v>-65</v>
      </c>
      <c r="J10" s="41" t="n">
        <v>-55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34</v>
      </c>
      <c r="C28" s="41" t="n">
        <v>0.1</v>
      </c>
      <c r="D28" s="41" t="n">
        <v>16</v>
      </c>
      <c r="E28" s="41" t="n">
        <v>0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45</v>
      </c>
      <c r="C29" s="41" t="n">
        <v>5</v>
      </c>
      <c r="D29" s="41" t="n">
        <v>10</v>
      </c>
      <c r="E29" s="41" t="n">
        <v>5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54</v>
      </c>
      <c r="C30" s="41" t="n">
        <v>5</v>
      </c>
      <c r="D30" s="41" t="n">
        <v>10</v>
      </c>
      <c r="E30" s="41" t="n">
        <v>-2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45</v>
      </c>
      <c r="C31" s="41" t="n">
        <v>0</v>
      </c>
      <c r="D31" s="41" t="n">
        <v>10</v>
      </c>
      <c r="E31" s="41" t="n">
        <v>-2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66">
      <formula>MAX($E$9:$E$23)</formula>
    </cfRule>
  </conditionalFormatting>
  <conditionalFormatting sqref="M16">
    <cfRule type="expression" priority="3" aboveAverage="0" equalAverage="0" bottom="0" percent="0" rank="0" text="" dxfId="367">
      <formula>LEN(TRIM(M16))=0</formula>
    </cfRule>
    <cfRule type="cellIs" priority="4" operator="equal" aboveAverage="0" equalAverage="0" bottom="0" percent="0" rank="0" text="" dxfId="368">
      <formula>0</formula>
    </cfRule>
  </conditionalFormatting>
  <conditionalFormatting sqref="M16">
    <cfRule type="expression" priority="5" aboveAverage="0" equalAverage="0" bottom="0" percent="0" rank="0" text="" dxfId="369">
      <formula>LEN(TRIM(M16))=0</formula>
    </cfRule>
    <cfRule type="cellIs" priority="6" operator="equal" aboveAverage="0" equalAverage="0" bottom="0" percent="0" rank="0" text="" dxfId="37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190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16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8</v>
      </c>
      <c r="D9" s="41" t="n">
        <v>8</v>
      </c>
      <c r="E9" s="41" t="n">
        <v>16</v>
      </c>
      <c r="F9" s="118" t="s">
        <v>184</v>
      </c>
      <c r="G9" s="31" t="s">
        <v>191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/>
      <c r="B10" s="110"/>
      <c r="C10" s="41"/>
      <c r="D10" s="41"/>
      <c r="E10" s="41"/>
      <c r="F10" s="118"/>
      <c r="G10" s="31"/>
      <c r="H10" s="41"/>
      <c r="I10" s="41"/>
      <c r="J10" s="41"/>
      <c r="K10" s="118"/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8</v>
      </c>
      <c r="D11" s="41" t="n">
        <v>8</v>
      </c>
      <c r="E11" s="41" t="n">
        <v>16</v>
      </c>
      <c r="F11" s="118" t="s">
        <v>186</v>
      </c>
      <c r="G11" s="31" t="s">
        <v>187</v>
      </c>
      <c r="H11" s="41" t="n">
        <v>10</v>
      </c>
      <c r="I11" s="41" t="n">
        <v>-65</v>
      </c>
      <c r="J11" s="41" t="n">
        <v>-55</v>
      </c>
      <c r="K11" s="118" t="s">
        <v>186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0.1</v>
      </c>
      <c r="D28" s="41" t="n">
        <v>16</v>
      </c>
      <c r="E28" s="41" t="n">
        <v>0.1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48</v>
      </c>
      <c r="C29" s="41" t="n">
        <v>10</v>
      </c>
      <c r="D29" s="41" t="n">
        <v>14.2</v>
      </c>
      <c r="E29" s="41" t="n">
        <v>7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46</v>
      </c>
      <c r="C30" s="41" t="n">
        <v>0.1</v>
      </c>
      <c r="D30" s="41" t="n">
        <v>16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38</v>
      </c>
      <c r="C31" s="41" t="n">
        <v>0.1</v>
      </c>
      <c r="D31" s="41" t="n">
        <v>16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71">
      <formula>MAX($E$9:$E$23)</formula>
    </cfRule>
  </conditionalFormatting>
  <conditionalFormatting sqref="M16">
    <cfRule type="expression" priority="3" aboveAverage="0" equalAverage="0" bottom="0" percent="0" rank="0" text="" dxfId="372">
      <formula>LEN(TRIM(M16))=0</formula>
    </cfRule>
    <cfRule type="cellIs" priority="4" operator="equal" aboveAverage="0" equalAverage="0" bottom="0" percent="0" rank="0" text="" dxfId="373">
      <formula>0</formula>
    </cfRule>
  </conditionalFormatting>
  <conditionalFormatting sqref="M16">
    <cfRule type="expression" priority="5" aboveAverage="0" equalAverage="0" bottom="0" percent="0" rank="0" text="" dxfId="374">
      <formula>LEN(TRIM(M16))=0</formula>
    </cfRule>
    <cfRule type="cellIs" priority="6" operator="equal" aboveAverage="0" equalAverage="0" bottom="0" percent="0" rank="0" text="" dxfId="37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192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23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15</v>
      </c>
      <c r="D9" s="41" t="n">
        <v>8</v>
      </c>
      <c r="E9" s="41" t="n">
        <v>23</v>
      </c>
      <c r="F9" s="118" t="s">
        <v>184</v>
      </c>
      <c r="G9" s="31" t="s">
        <v>191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15</v>
      </c>
      <c r="D10" s="41" t="n">
        <v>8</v>
      </c>
      <c r="E10" s="41" t="n">
        <v>23</v>
      </c>
      <c r="F10" s="118" t="s">
        <v>186</v>
      </c>
      <c r="G10" s="31" t="s">
        <v>179</v>
      </c>
      <c r="H10" s="41" t="n">
        <v>10</v>
      </c>
      <c r="I10" s="41" t="n">
        <v>-55</v>
      </c>
      <c r="J10" s="41" t="n">
        <v>-45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15</v>
      </c>
      <c r="D11" s="41" t="n">
        <v>8</v>
      </c>
      <c r="E11" s="41" t="n">
        <v>23</v>
      </c>
      <c r="F11" s="118" t="s">
        <v>186</v>
      </c>
      <c r="G11" s="31" t="s">
        <v>187</v>
      </c>
      <c r="H11" s="41" t="n">
        <v>10</v>
      </c>
      <c r="I11" s="41" t="n">
        <v>-65</v>
      </c>
      <c r="J11" s="41" t="n">
        <v>-55</v>
      </c>
      <c r="K11" s="118" t="s">
        <v>186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0.1</v>
      </c>
      <c r="D28" s="41" t="n">
        <v>23</v>
      </c>
      <c r="E28" s="41" t="n">
        <v>0.1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48</v>
      </c>
      <c r="C29" s="41" t="n">
        <v>10</v>
      </c>
      <c r="D29" s="41" t="n">
        <v>21.62</v>
      </c>
      <c r="E29" s="41" t="n">
        <v>7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46</v>
      </c>
      <c r="C30" s="41" t="n">
        <v>0.1</v>
      </c>
      <c r="D30" s="41" t="n">
        <v>23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38</v>
      </c>
      <c r="C31" s="41" t="n">
        <v>0.1</v>
      </c>
      <c r="D31" s="41" t="n">
        <v>23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76">
      <formula>MAX($E$9:$E$23)</formula>
    </cfRule>
  </conditionalFormatting>
  <conditionalFormatting sqref="M16">
    <cfRule type="expression" priority="3" aboveAverage="0" equalAverage="0" bottom="0" percent="0" rank="0" text="" dxfId="377">
      <formula>LEN(TRIM(M16))=0</formula>
    </cfRule>
    <cfRule type="cellIs" priority="4" operator="equal" aboveAverage="0" equalAverage="0" bottom="0" percent="0" rank="0" text="" dxfId="378">
      <formula>0</formula>
    </cfRule>
  </conditionalFormatting>
  <conditionalFormatting sqref="M16">
    <cfRule type="expression" priority="5" aboveAverage="0" equalAverage="0" bottom="0" percent="0" rank="0" text="" dxfId="379">
      <formula>LEN(TRIM(M16))=0</formula>
    </cfRule>
    <cfRule type="cellIs" priority="6" operator="equal" aboveAverage="0" equalAverage="0" bottom="0" percent="0" rank="0" text="" dxfId="38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193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30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15</v>
      </c>
      <c r="D9" s="41" t="n">
        <v>0</v>
      </c>
      <c r="E9" s="41" t="n">
        <v>30</v>
      </c>
      <c r="F9" s="118" t="s">
        <v>184</v>
      </c>
      <c r="G9" s="31" t="s">
        <v>194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15</v>
      </c>
      <c r="D10" s="41" t="n">
        <v>0</v>
      </c>
      <c r="E10" s="41" t="n">
        <v>30</v>
      </c>
      <c r="F10" s="118" t="s">
        <v>186</v>
      </c>
      <c r="G10" s="31" t="s">
        <v>179</v>
      </c>
      <c r="H10" s="41" t="n">
        <v>14</v>
      </c>
      <c r="I10" s="41" t="n">
        <v>-70</v>
      </c>
      <c r="J10" s="41" t="n">
        <v>-56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0.1</v>
      </c>
      <c r="D28" s="41" t="n">
        <v>30</v>
      </c>
      <c r="E28" s="41" t="n">
        <v>-1.2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41</v>
      </c>
      <c r="C29" s="41" t="n">
        <v>10</v>
      </c>
      <c r="D29" s="41" t="n">
        <v>26.75</v>
      </c>
      <c r="E29" s="41" t="n">
        <v>0.677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46</v>
      </c>
      <c r="C30" s="41" t="n">
        <v>0.1</v>
      </c>
      <c r="D30" s="41" t="n">
        <v>30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38</v>
      </c>
      <c r="C31" s="41" t="n">
        <v>0.1</v>
      </c>
      <c r="D31" s="41" t="n">
        <v>30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54</v>
      </c>
      <c r="C32" s="41" t="n">
        <v>0.1</v>
      </c>
      <c r="D32" s="41" t="n">
        <v>30</v>
      </c>
      <c r="E32" s="41" t="n">
        <v>-1.2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81">
      <formula>MAX($E$9:$E$23)</formula>
    </cfRule>
  </conditionalFormatting>
  <conditionalFormatting sqref="M16">
    <cfRule type="expression" priority="3" aboveAverage="0" equalAverage="0" bottom="0" percent="0" rank="0" text="" dxfId="382">
      <formula>LEN(TRIM(M16))=0</formula>
    </cfRule>
    <cfRule type="cellIs" priority="4" operator="equal" aboveAverage="0" equalAverage="0" bottom="0" percent="0" rank="0" text="" dxfId="383">
      <formula>0</formula>
    </cfRule>
  </conditionalFormatting>
  <conditionalFormatting sqref="M16">
    <cfRule type="expression" priority="5" aboveAverage="0" equalAverage="0" bottom="0" percent="0" rank="0" text="" dxfId="384">
      <formula>LEN(TRIM(M16))=0</formula>
    </cfRule>
    <cfRule type="cellIs" priority="6" operator="equal" aboveAverage="0" equalAverage="0" bottom="0" percent="0" rank="0" text="" dxfId="38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195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8.5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7.5</v>
      </c>
      <c r="E9" s="41" t="n">
        <v>8.5</v>
      </c>
      <c r="F9" s="118" t="s">
        <v>163</v>
      </c>
      <c r="G9" s="31" t="s">
        <v>196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7.5</v>
      </c>
      <c r="E10" s="41" t="n">
        <v>8.5</v>
      </c>
      <c r="F10" s="118" t="s">
        <v>163</v>
      </c>
      <c r="G10" s="31" t="s">
        <v>187</v>
      </c>
      <c r="H10" s="41" t="n">
        <v>10</v>
      </c>
      <c r="I10" s="41" t="n">
        <v>-81</v>
      </c>
      <c r="J10" s="41" t="n">
        <v>-71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35</v>
      </c>
      <c r="C28" s="41" t="n">
        <v>1</v>
      </c>
      <c r="D28" s="41" t="n">
        <v>8.5</v>
      </c>
      <c r="E28" s="41" t="n">
        <v>-5.5673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35</v>
      </c>
      <c r="C29" s="41" t="n">
        <v>0.1</v>
      </c>
      <c r="D29" s="41" t="n">
        <v>2</v>
      </c>
      <c r="E29" s="41" t="n">
        <v>-30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36</v>
      </c>
      <c r="C30" s="41" t="n">
        <v>8</v>
      </c>
      <c r="D30" s="41" t="n">
        <v>8.05</v>
      </c>
      <c r="E30" s="41" t="n">
        <v>10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86">
      <formula>MAX($E$9:$E$23)</formula>
    </cfRule>
  </conditionalFormatting>
  <conditionalFormatting sqref="M16">
    <cfRule type="expression" priority="3" aboveAverage="0" equalAverage="0" bottom="0" percent="0" rank="0" text="" dxfId="387">
      <formula>LEN(TRIM(M16))=0</formula>
    </cfRule>
    <cfRule type="cellIs" priority="4" operator="equal" aboveAverage="0" equalAverage="0" bottom="0" percent="0" rank="0" text="" dxfId="388">
      <formula>0</formula>
    </cfRule>
  </conditionalFormatting>
  <conditionalFormatting sqref="M16">
    <cfRule type="expression" priority="5" aboveAverage="0" equalAverage="0" bottom="0" percent="0" rank="0" text="" dxfId="389">
      <formula>LEN(TRIM(M16))=0</formula>
    </cfRule>
    <cfRule type="cellIs" priority="6" operator="equal" aboveAverage="0" equalAverage="0" bottom="0" percent="0" rank="0" text="" dxfId="39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197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20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20</v>
      </c>
      <c r="F9" s="118" t="s">
        <v>163</v>
      </c>
      <c r="G9" s="31" t="s">
        <v>198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20</v>
      </c>
      <c r="F10" s="118" t="s">
        <v>163</v>
      </c>
      <c r="G10" s="31" t="s">
        <v>187</v>
      </c>
      <c r="H10" s="41" t="n">
        <v>10</v>
      </c>
      <c r="I10" s="41" t="n">
        <v>-70</v>
      </c>
      <c r="J10" s="41" t="n">
        <v>-60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35</v>
      </c>
      <c r="C28" s="41" t="n">
        <v>0.5</v>
      </c>
      <c r="D28" s="41" t="n">
        <v>20</v>
      </c>
      <c r="E28" s="41" t="n">
        <v>-1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49</v>
      </c>
      <c r="C29" s="41" t="n">
        <v>10</v>
      </c>
      <c r="D29" s="41" t="n">
        <v>12</v>
      </c>
      <c r="E29" s="41" t="n">
        <v>10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38</v>
      </c>
      <c r="C30" s="41" t="n">
        <v>0</v>
      </c>
      <c r="D30" s="41" t="n">
        <v>20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46</v>
      </c>
      <c r="C31" s="41" t="n">
        <v>0</v>
      </c>
      <c r="D31" s="41" t="n">
        <v>20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36</v>
      </c>
      <c r="C32" s="41" t="n">
        <v>0</v>
      </c>
      <c r="D32" s="41" t="n">
        <v>20</v>
      </c>
      <c r="E32" s="41" t="n">
        <v>-5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 t="s">
        <v>42</v>
      </c>
      <c r="C33" s="41" t="n">
        <v>0</v>
      </c>
      <c r="D33" s="41" t="n">
        <v>20</v>
      </c>
      <c r="E33" s="41" t="n">
        <v>-5</v>
      </c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91">
      <formula>MAX($E$9:$E$23)</formula>
    </cfRule>
  </conditionalFormatting>
  <conditionalFormatting sqref="M16">
    <cfRule type="expression" priority="3" aboveAverage="0" equalAverage="0" bottom="0" percent="0" rank="0" text="" dxfId="392">
      <formula>LEN(TRIM(M16))=0</formula>
    </cfRule>
    <cfRule type="cellIs" priority="4" operator="equal" aboveAverage="0" equalAverage="0" bottom="0" percent="0" rank="0" text="" dxfId="393">
      <formula>0</formula>
    </cfRule>
  </conditionalFormatting>
  <conditionalFormatting sqref="M16">
    <cfRule type="expression" priority="5" aboveAverage="0" equalAverage="0" bottom="0" percent="0" rank="0" text="" dxfId="394">
      <formula>LEN(TRIM(M16))=0</formula>
    </cfRule>
    <cfRule type="cellIs" priority="6" operator="equal" aboveAverage="0" equalAverage="0" bottom="0" percent="0" rank="0" text="" dxfId="39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46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10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10</v>
      </c>
      <c r="F9" s="118" t="s">
        <v>163</v>
      </c>
      <c r="G9" s="31" t="s">
        <v>199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10</v>
      </c>
      <c r="F10" s="118" t="s">
        <v>163</v>
      </c>
      <c r="G10" s="31" t="s">
        <v>191</v>
      </c>
      <c r="H10" s="41" t="n">
        <v>10</v>
      </c>
      <c r="I10" s="41" t="n">
        <v>-60</v>
      </c>
      <c r="J10" s="41" t="n">
        <v>-55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/>
      <c r="B11" s="110"/>
      <c r="C11" s="41"/>
      <c r="D11" s="41"/>
      <c r="E11" s="41"/>
      <c r="F11" s="118"/>
      <c r="G11" s="31"/>
      <c r="H11" s="41"/>
      <c r="I11" s="41"/>
      <c r="J11" s="41"/>
      <c r="K11" s="118"/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46</v>
      </c>
      <c r="C28" s="41" t="n">
        <v>2</v>
      </c>
      <c r="D28" s="41" t="n">
        <v>7</v>
      </c>
      <c r="E28" s="41" t="n">
        <v>1.65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39</v>
      </c>
      <c r="C29" s="41" t="n">
        <v>0</v>
      </c>
      <c r="D29" s="41" t="n">
        <v>10</v>
      </c>
      <c r="E29" s="41" t="n">
        <v>-5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38</v>
      </c>
      <c r="C30" s="41" t="n">
        <v>0</v>
      </c>
      <c r="D30" s="41" t="n">
        <v>10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47</v>
      </c>
      <c r="C31" s="41" t="n">
        <v>0</v>
      </c>
      <c r="D31" s="41" t="n">
        <v>10</v>
      </c>
      <c r="E31" s="41" t="n">
        <v>-15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40</v>
      </c>
      <c r="C32" s="41" t="n">
        <v>0</v>
      </c>
      <c r="D32" s="41" t="n">
        <v>10</v>
      </c>
      <c r="E32" s="41" t="n">
        <v>-2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396">
      <formula>MAX($E$9:$E$23)</formula>
    </cfRule>
  </conditionalFormatting>
  <conditionalFormatting sqref="M16">
    <cfRule type="expression" priority="3" aboveAverage="0" equalAverage="0" bottom="0" percent="0" rank="0" text="" dxfId="397">
      <formula>LEN(TRIM(M16))=0</formula>
    </cfRule>
    <cfRule type="cellIs" priority="4" operator="equal" aboveAverage="0" equalAverage="0" bottom="0" percent="0" rank="0" text="" dxfId="398">
      <formula>0</formula>
    </cfRule>
  </conditionalFormatting>
  <conditionalFormatting sqref="M16">
    <cfRule type="expression" priority="5" aboveAverage="0" equalAverage="0" bottom="0" percent="0" rank="0" text="" dxfId="399">
      <formula>LEN(TRIM(M16))=0</formula>
    </cfRule>
    <cfRule type="cellIs" priority="6" operator="equal" aboveAverage="0" equalAverage="0" bottom="0" percent="0" rank="0" text="" dxfId="40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45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3.3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3.3</v>
      </c>
      <c r="F9" s="118" t="s">
        <v>163</v>
      </c>
      <c r="G9" s="31" t="s">
        <v>179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3.3</v>
      </c>
      <c r="F10" s="118" t="s">
        <v>163</v>
      </c>
      <c r="G10" s="31" t="s">
        <v>200</v>
      </c>
      <c r="H10" s="41" t="n">
        <v>10</v>
      </c>
      <c r="I10" s="41" t="n">
        <v>-75</v>
      </c>
      <c r="J10" s="41" t="n">
        <v>-55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10</v>
      </c>
      <c r="D11" s="41" t="n">
        <v>0</v>
      </c>
      <c r="E11" s="41" t="n">
        <v>3.3</v>
      </c>
      <c r="F11" s="118" t="s">
        <v>163</v>
      </c>
      <c r="G11" s="31" t="s">
        <v>201</v>
      </c>
      <c r="H11" s="41" t="n">
        <v>10</v>
      </c>
      <c r="I11" s="41" t="n">
        <v>-75</v>
      </c>
      <c r="J11" s="41" t="n">
        <v>-55</v>
      </c>
      <c r="K11" s="118" t="s">
        <v>202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10</v>
      </c>
      <c r="D12" s="41" t="n">
        <v>0</v>
      </c>
      <c r="E12" s="41" t="n">
        <v>3.3</v>
      </c>
      <c r="F12" s="118" t="s">
        <v>163</v>
      </c>
      <c r="G12" s="31" t="s">
        <v>185</v>
      </c>
      <c r="H12" s="41" t="n">
        <v>10</v>
      </c>
      <c r="I12" s="41" t="n">
        <v>-75</v>
      </c>
      <c r="J12" s="41" t="n">
        <v>-55</v>
      </c>
      <c r="K12" s="118" t="s">
        <v>202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43</v>
      </c>
      <c r="C28" s="41" t="n">
        <v>0.1</v>
      </c>
      <c r="D28" s="41" t="n">
        <v>3.3</v>
      </c>
      <c r="E28" s="41" t="n">
        <v>3.4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47</v>
      </c>
      <c r="C29" s="41" t="n">
        <v>0.1</v>
      </c>
      <c r="D29" s="41" t="n">
        <v>3.3</v>
      </c>
      <c r="E29" s="41" t="n">
        <v>-1.85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45</v>
      </c>
      <c r="C30" s="41" t="n">
        <v>0.3</v>
      </c>
      <c r="D30" s="41" t="n">
        <v>0.35</v>
      </c>
      <c r="E30" s="41" t="n">
        <v>5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01">
      <formula>MAX($E$9:$E$23)</formula>
    </cfRule>
  </conditionalFormatting>
  <conditionalFormatting sqref="M16">
    <cfRule type="expression" priority="3" aboveAverage="0" equalAverage="0" bottom="0" percent="0" rank="0" text="" dxfId="402">
      <formula>LEN(TRIM(M16))=0</formula>
    </cfRule>
    <cfRule type="cellIs" priority="4" operator="equal" aboveAverage="0" equalAverage="0" bottom="0" percent="0" rank="0" text="" dxfId="403">
      <formula>0</formula>
    </cfRule>
  </conditionalFormatting>
  <conditionalFormatting sqref="M16">
    <cfRule type="expression" priority="5" aboveAverage="0" equalAverage="0" bottom="0" percent="0" rank="0" text="" dxfId="404">
      <formula>LEN(TRIM(M16))=0</formula>
    </cfRule>
    <cfRule type="cellIs" priority="6" operator="equal" aboveAverage="0" equalAverage="0" bottom="0" percent="0" rank="0" text="" dxfId="40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43" activeCellId="0" sqref="G43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3.28"/>
    <col collapsed="false" customWidth="true" hidden="false" outlineLevel="0" max="4" min="4" style="88" width="8.43"/>
    <col collapsed="false" customWidth="true" hidden="false" outlineLevel="0" max="5" min="5" style="88" width="10.71"/>
    <col collapsed="false" customWidth="false" hidden="false" outlineLevel="0" max="6" min="6" style="88" width="9.14"/>
    <col collapsed="false" customWidth="true" hidden="false" outlineLevel="0" max="7" min="7" style="88" width="14.85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1.14"/>
    <col collapsed="false" customWidth="true" hidden="false" outlineLevel="0" max="12" min="12" style="88" width="17.57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6" min="15" style="88" width="10.14"/>
    <col collapsed="false" customWidth="true" hidden="false" outlineLevel="0" max="17" min="17" style="88" width="17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0.85"/>
    <col collapsed="false" customWidth="true" hidden="false" outlineLevel="0" max="22" min="22" style="88" width="16"/>
    <col collapsed="false" customWidth="true" hidden="false" outlineLevel="0" max="24" min="23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203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43</v>
      </c>
      <c r="D3" s="100" t="s">
        <v>116</v>
      </c>
      <c r="E3" s="41" t="n">
        <v>1</v>
      </c>
      <c r="F3" s="2" t="s">
        <v>117</v>
      </c>
      <c r="G3" s="98" t="s">
        <v>118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0.0001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/>
      <c r="R5" s="98"/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204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20</v>
      </c>
      <c r="D9" s="41" t="n">
        <v>3</v>
      </c>
      <c r="E9" s="41" t="n">
        <v>43</v>
      </c>
      <c r="F9" s="118" t="s">
        <v>163</v>
      </c>
      <c r="G9" s="31" t="s">
        <v>200</v>
      </c>
      <c r="H9" s="41" t="n">
        <v>5</v>
      </c>
      <c r="I9" s="41" t="n">
        <v>-75</v>
      </c>
      <c r="J9" s="41" t="n">
        <v>-50</v>
      </c>
      <c r="K9" s="118" t="s">
        <v>165</v>
      </c>
      <c r="L9" s="31" t="s">
        <v>201</v>
      </c>
      <c r="M9" s="41" t="n">
        <v>5</v>
      </c>
      <c r="N9" s="41" t="n">
        <v>-75</v>
      </c>
      <c r="O9" s="41" t="n">
        <v>-50</v>
      </c>
      <c r="P9" s="118" t="s">
        <v>182</v>
      </c>
      <c r="Q9" s="31" t="s">
        <v>187</v>
      </c>
      <c r="R9" s="41" t="n">
        <v>5</v>
      </c>
      <c r="S9" s="41" t="n">
        <v>-75</v>
      </c>
      <c r="T9" s="41" t="n">
        <v>-50</v>
      </c>
      <c r="U9" s="118" t="s">
        <v>202</v>
      </c>
      <c r="V9" s="31" t="s">
        <v>189</v>
      </c>
      <c r="W9" s="41" t="n">
        <v>5</v>
      </c>
      <c r="X9" s="41" t="n">
        <v>-75</v>
      </c>
      <c r="Y9" s="41" t="n">
        <v>-50</v>
      </c>
      <c r="Z9" s="118" t="s">
        <v>205</v>
      </c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20</v>
      </c>
      <c r="D10" s="41" t="n">
        <v>3</v>
      </c>
      <c r="E10" s="41" t="n">
        <v>43</v>
      </c>
      <c r="F10" s="118" t="s">
        <v>163</v>
      </c>
      <c r="G10" s="31" t="s">
        <v>181</v>
      </c>
      <c r="H10" s="41" t="n">
        <v>5</v>
      </c>
      <c r="I10" s="41" t="n">
        <v>-75</v>
      </c>
      <c r="J10" s="41" t="n">
        <v>-50</v>
      </c>
      <c r="K10" s="118" t="s">
        <v>186</v>
      </c>
      <c r="L10" s="31" t="s">
        <v>196</v>
      </c>
      <c r="M10" s="41" t="n">
        <v>5</v>
      </c>
      <c r="N10" s="41" t="n">
        <v>-75</v>
      </c>
      <c r="O10" s="41" t="n">
        <v>-50</v>
      </c>
      <c r="P10" s="118" t="s">
        <v>205</v>
      </c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20</v>
      </c>
      <c r="D11" s="41" t="n">
        <v>3</v>
      </c>
      <c r="E11" s="41" t="n">
        <v>43</v>
      </c>
      <c r="F11" s="118" t="s">
        <v>163</v>
      </c>
      <c r="G11" s="31" t="s">
        <v>164</v>
      </c>
      <c r="H11" s="41" t="n">
        <v>5</v>
      </c>
      <c r="I11" s="41" t="n">
        <v>-75</v>
      </c>
      <c r="J11" s="41" t="n">
        <v>-50</v>
      </c>
      <c r="K11" s="118" t="s">
        <v>182</v>
      </c>
      <c r="L11" s="31" t="s">
        <v>166</v>
      </c>
      <c r="M11" s="41" t="n">
        <v>5</v>
      </c>
      <c r="N11" s="41" t="n">
        <v>-75</v>
      </c>
      <c r="O11" s="41" t="n">
        <v>-50</v>
      </c>
      <c r="P11" s="118" t="s">
        <v>206</v>
      </c>
      <c r="Q11" s="31" t="s">
        <v>167</v>
      </c>
      <c r="R11" s="41" t="n">
        <v>5</v>
      </c>
      <c r="S11" s="41" t="n">
        <v>-75</v>
      </c>
      <c r="T11" s="41" t="n">
        <v>-50</v>
      </c>
      <c r="U11" s="118" t="s">
        <v>186</v>
      </c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/>
      <c r="B12" s="110"/>
      <c r="C12" s="41"/>
      <c r="D12" s="41"/>
      <c r="E12" s="41"/>
      <c r="F12" s="118"/>
      <c r="G12" s="31"/>
      <c r="H12" s="41"/>
      <c r="I12" s="41"/>
      <c r="J12" s="41"/>
      <c r="K12" s="118"/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3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32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32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32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32"/>
      <c r="L20" s="31"/>
      <c r="M20" s="41"/>
      <c r="N20" s="41"/>
      <c r="O20" s="41"/>
      <c r="P20" s="32"/>
      <c r="Q20" s="31"/>
      <c r="R20" s="41"/>
      <c r="S20" s="41"/>
      <c r="T20" s="41"/>
      <c r="U20" s="32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32"/>
      <c r="L21" s="31"/>
      <c r="M21" s="41"/>
      <c r="N21" s="41"/>
      <c r="O21" s="41"/>
      <c r="P21" s="32"/>
      <c r="Q21" s="31"/>
      <c r="R21" s="41"/>
      <c r="S21" s="41"/>
      <c r="T21" s="41"/>
      <c r="U21" s="32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32"/>
      <c r="L22" s="31"/>
      <c r="M22" s="41"/>
      <c r="N22" s="41"/>
      <c r="O22" s="41"/>
      <c r="P22" s="32"/>
      <c r="Q22" s="31"/>
      <c r="R22" s="41"/>
      <c r="S22" s="41"/>
      <c r="T22" s="41"/>
      <c r="U22" s="32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92"/>
      <c r="L23" s="90"/>
      <c r="M23" s="91"/>
      <c r="N23" s="91"/>
      <c r="O23" s="91"/>
      <c r="P23" s="92"/>
      <c r="Q23" s="90"/>
      <c r="R23" s="91"/>
      <c r="S23" s="91"/>
      <c r="T23" s="91"/>
      <c r="U23" s="92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</v>
      </c>
      <c r="D28" s="41" t="n">
        <v>43</v>
      </c>
      <c r="E28" s="41" t="n">
        <v>-2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47</v>
      </c>
      <c r="C29" s="41" t="n">
        <v>0</v>
      </c>
      <c r="D29" s="41" t="n">
        <v>43</v>
      </c>
      <c r="E29" s="41" t="n">
        <v>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35</v>
      </c>
      <c r="C30" s="41" t="n">
        <v>0</v>
      </c>
      <c r="D30" s="41" t="n">
        <v>43</v>
      </c>
      <c r="E30" s="41" t="n">
        <v>0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34</v>
      </c>
      <c r="C31" s="41" t="n">
        <v>0</v>
      </c>
      <c r="D31" s="41" t="n">
        <v>43</v>
      </c>
      <c r="E31" s="41" t="n">
        <v>0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43</v>
      </c>
      <c r="C32" s="41" t="n">
        <v>10</v>
      </c>
      <c r="D32" s="41" t="n">
        <v>12</v>
      </c>
      <c r="E32" s="41" t="n">
        <v>-1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 t="s">
        <v>47</v>
      </c>
      <c r="C33" s="41" t="n">
        <v>13</v>
      </c>
      <c r="D33" s="41" t="n">
        <v>15</v>
      </c>
      <c r="E33" s="41" t="n">
        <v>-1</v>
      </c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 t="s">
        <v>35</v>
      </c>
      <c r="C34" s="41" t="n">
        <v>17</v>
      </c>
      <c r="D34" s="41" t="n">
        <v>19</v>
      </c>
      <c r="E34" s="41" t="n">
        <v>-1</v>
      </c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 t="s">
        <v>34</v>
      </c>
      <c r="C35" s="41" t="n">
        <v>21</v>
      </c>
      <c r="D35" s="41" t="n">
        <v>23</v>
      </c>
      <c r="E35" s="41" t="n">
        <v>-1</v>
      </c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 t="s">
        <v>44</v>
      </c>
      <c r="C36" s="41" t="n">
        <v>25</v>
      </c>
      <c r="D36" s="41" t="n">
        <v>27</v>
      </c>
      <c r="E36" s="41" t="n">
        <v>-1</v>
      </c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 t="s">
        <v>50</v>
      </c>
      <c r="C37" s="41" t="n">
        <v>29</v>
      </c>
      <c r="D37" s="41" t="n">
        <v>31</v>
      </c>
      <c r="E37" s="41" t="n">
        <v>-1</v>
      </c>
      <c r="G37" s="41"/>
      <c r="H37" s="41"/>
      <c r="I37" s="41"/>
      <c r="J37" s="41"/>
      <c r="L37" s="31"/>
      <c r="M37" s="1"/>
    </row>
    <row r="38" customFormat="false" ht="15" hidden="false" customHeight="false" outlineLevel="0" collapsed="false">
      <c r="B38" s="41" t="s">
        <v>52</v>
      </c>
      <c r="C38" s="41" t="n">
        <v>33</v>
      </c>
      <c r="D38" s="41" t="n">
        <v>35</v>
      </c>
      <c r="E38" s="41" t="n">
        <v>-1</v>
      </c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 t="s">
        <v>51</v>
      </c>
      <c r="C39" s="41" t="n">
        <v>37</v>
      </c>
      <c r="D39" s="41" t="n">
        <v>39</v>
      </c>
      <c r="E39" s="41" t="n">
        <v>-1</v>
      </c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 t="s">
        <v>36</v>
      </c>
      <c r="C40" s="41" t="n">
        <v>40</v>
      </c>
      <c r="D40" s="41" t="n">
        <v>42</v>
      </c>
      <c r="E40" s="41" t="n">
        <v>-1</v>
      </c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06">
      <formula>MAX($E$9:$E$23)</formula>
    </cfRule>
  </conditionalFormatting>
  <conditionalFormatting sqref="G73:G87">
    <cfRule type="uniqueValues" priority="3" aboveAverage="0" equalAverage="0" bottom="0" percent="0" rank="0" text="" dxfId="407"/>
  </conditionalFormatting>
  <conditionalFormatting sqref="H73:I87 C28:D30 C34:D34 C36:D36 C38:D87">
    <cfRule type="cellIs" priority="4" operator="greaterThan" aboveAverage="0" equalAverage="0" bottom="0" percent="0" rank="0" text="" dxfId="408">
      <formula>$C$3</formula>
    </cfRule>
  </conditionalFormatting>
  <conditionalFormatting sqref="G64:G72">
    <cfRule type="uniqueValues" priority="5" aboveAverage="0" equalAverage="0" bottom="0" percent="0" rank="0" text="" dxfId="409"/>
  </conditionalFormatting>
  <conditionalFormatting sqref="H42">
    <cfRule type="cellIs" priority="6" operator="greaterThan" aboveAverage="0" equalAverage="0" bottom="0" percent="0" rank="0" text="" dxfId="410">
      <formula>$C$3</formula>
    </cfRule>
  </conditionalFormatting>
  <conditionalFormatting sqref="G43:G49 G63">
    <cfRule type="uniqueValues" priority="7" aboveAverage="0" equalAverage="0" bottom="0" percent="0" rank="0" text="" dxfId="411"/>
  </conditionalFormatting>
  <conditionalFormatting sqref="H49">
    <cfRule type="cellIs" priority="8" operator="greaterThan" aboveAverage="0" equalAverage="0" bottom="0" percent="0" rank="0" text="" dxfId="412">
      <formula>$C$3</formula>
    </cfRule>
  </conditionalFormatting>
  <conditionalFormatting sqref="H63:I63">
    <cfRule type="cellIs" priority="9" operator="greaterThan" aboveAverage="0" equalAverage="0" bottom="0" percent="0" rank="0" text="" dxfId="413">
      <formula>$C$3</formula>
    </cfRule>
  </conditionalFormatting>
  <conditionalFormatting sqref="H65:I72">
    <cfRule type="cellIs" priority="10" operator="greaterThan" aboveAverage="0" equalAverage="0" bottom="0" percent="0" rank="0" text="" dxfId="414">
      <formula>$C$3</formula>
    </cfRule>
  </conditionalFormatting>
  <conditionalFormatting sqref="H64:I64">
    <cfRule type="cellIs" priority="11" operator="greaterThan" aboveAverage="0" equalAverage="0" bottom="0" percent="0" rank="0" text="" dxfId="415">
      <formula>$C$3</formula>
    </cfRule>
  </conditionalFormatting>
  <conditionalFormatting sqref="G42">
    <cfRule type="uniqueValues" priority="12" aboveAverage="0" equalAverage="0" bottom="0" percent="0" rank="0" text="" dxfId="416"/>
  </conditionalFormatting>
  <conditionalFormatting sqref="H42">
    <cfRule type="cellIs" priority="13" operator="greaterThan" aboveAverage="0" equalAverage="0" bottom="0" percent="0" rank="0" text="" dxfId="417">
      <formula>$C$3</formula>
    </cfRule>
  </conditionalFormatting>
  <conditionalFormatting sqref="H49">
    <cfRule type="cellIs" priority="14" operator="greaterThan" aboveAverage="0" equalAverage="0" bottom="0" percent="0" rank="0" text="" dxfId="418">
      <formula>$C$3</formula>
    </cfRule>
  </conditionalFormatting>
  <conditionalFormatting sqref="G56">
    <cfRule type="uniqueValues" priority="15" aboveAverage="0" equalAverage="0" bottom="0" percent="0" rank="0" text="" dxfId="419"/>
  </conditionalFormatting>
  <conditionalFormatting sqref="G50:G55">
    <cfRule type="uniqueValues" priority="16" aboveAverage="0" equalAverage="0" bottom="0" percent="0" rank="0" text="" dxfId="420"/>
  </conditionalFormatting>
  <conditionalFormatting sqref="H56">
    <cfRule type="cellIs" priority="17" operator="greaterThan" aboveAverage="0" equalAverage="0" bottom="0" percent="0" rank="0" text="" dxfId="421">
      <formula>$C$3</formula>
    </cfRule>
  </conditionalFormatting>
  <conditionalFormatting sqref="G57:G62">
    <cfRule type="uniqueValues" priority="18" aboveAverage="0" equalAverage="0" bottom="0" percent="0" rank="0" text="" dxfId="422"/>
  </conditionalFormatting>
  <conditionalFormatting sqref="H37:I37 H39:I41">
    <cfRule type="cellIs" priority="19" operator="greaterThan" aboveAverage="0" equalAverage="0" bottom="0" percent="0" rank="0" text="" dxfId="423">
      <formula>$C$3</formula>
    </cfRule>
  </conditionalFormatting>
  <conditionalFormatting sqref="H43:I48">
    <cfRule type="cellIs" priority="20" operator="greaterThan" aboveAverage="0" equalAverage="0" bottom="0" percent="0" rank="0" text="" dxfId="424">
      <formula>$C$3</formula>
    </cfRule>
  </conditionalFormatting>
  <conditionalFormatting sqref="H50:I55">
    <cfRule type="cellIs" priority="21" operator="greaterThan" aboveAverage="0" equalAverage="0" bottom="0" percent="0" rank="0" text="" dxfId="425">
      <formula>$C$3</formula>
    </cfRule>
  </conditionalFormatting>
  <conditionalFormatting sqref="H57:I62">
    <cfRule type="cellIs" priority="22" operator="greaterThan" aboveAverage="0" equalAverage="0" bottom="0" percent="0" rank="0" text="" dxfId="426">
      <formula>$C$3</formula>
    </cfRule>
  </conditionalFormatting>
  <conditionalFormatting sqref="I42">
    <cfRule type="cellIs" priority="23" operator="notEqual" aboveAverage="0" equalAverage="0" bottom="0" percent="0" rank="0" text="" dxfId="427">
      <formula>MAX($E$9:$E$23)</formula>
    </cfRule>
  </conditionalFormatting>
  <conditionalFormatting sqref="I49">
    <cfRule type="cellIs" priority="24" operator="notEqual" aboveAverage="0" equalAverage="0" bottom="0" percent="0" rank="0" text="" dxfId="428">
      <formula>MAX($E$9:$E$23)</formula>
    </cfRule>
  </conditionalFormatting>
  <conditionalFormatting sqref="I56">
    <cfRule type="cellIs" priority="25" operator="notEqual" aboveAverage="0" equalAverage="0" bottom="0" percent="0" rank="0" text="" dxfId="429">
      <formula>MAX($E$9:$E$23)</formula>
    </cfRule>
  </conditionalFormatting>
  <conditionalFormatting sqref="G28">
    <cfRule type="uniqueValues" priority="26" aboveAverage="0" equalAverage="0" bottom="0" percent="0" rank="0" text="" dxfId="430"/>
  </conditionalFormatting>
  <conditionalFormatting sqref="H28">
    <cfRule type="cellIs" priority="27" operator="greaterThan" aboveAverage="0" equalAverage="0" bottom="0" percent="0" rank="0" text="" dxfId="431">
      <formula>$C$3</formula>
    </cfRule>
  </conditionalFormatting>
  <conditionalFormatting sqref="H29:I36">
    <cfRule type="cellIs" priority="28" operator="greaterThan" aboveAverage="0" equalAverage="0" bottom="0" percent="0" rank="0" text="" dxfId="432">
      <formula>$C$3</formula>
    </cfRule>
  </conditionalFormatting>
  <conditionalFormatting sqref="I28">
    <cfRule type="cellIs" priority="29" operator="notEqual" aboveAverage="0" equalAverage="0" bottom="0" percent="0" rank="0" text="" dxfId="433">
      <formula>MAX($E$9:$E$23)</formula>
    </cfRule>
  </conditionalFormatting>
  <conditionalFormatting sqref="H38:I38">
    <cfRule type="cellIs" priority="30" operator="greaterThan" aboveAverage="0" equalAverage="0" bottom="0" percent="0" rank="0" text="" dxfId="434">
      <formula>$C$3</formula>
    </cfRule>
  </conditionalFormatting>
  <conditionalFormatting sqref="G35:G45">
    <cfRule type="uniqueValues" priority="31" aboveAverage="0" equalAverage="0" bottom="0" percent="0" rank="0" text="" dxfId="435"/>
  </conditionalFormatting>
  <conditionalFormatting sqref="G29:G36">
    <cfRule type="uniqueValues" priority="32" aboveAverage="0" equalAverage="0" bottom="0" percent="0" rank="0" text="" dxfId="436"/>
  </conditionalFormatting>
  <conditionalFormatting sqref="H36:I36">
    <cfRule type="cellIs" priority="33" operator="greaterThan" aboveAverage="0" equalAverage="0" bottom="0" percent="0" rank="0" text="" dxfId="437">
      <formula>$C$3</formula>
    </cfRule>
  </conditionalFormatting>
  <conditionalFormatting sqref="H37:I37">
    <cfRule type="cellIs" priority="34" operator="greaterThan" aboveAverage="0" equalAverage="0" bottom="0" percent="0" rank="0" text="" dxfId="438">
      <formula>$C$3</formula>
    </cfRule>
  </conditionalFormatting>
  <conditionalFormatting sqref="H36:I36">
    <cfRule type="cellIs" priority="35" operator="greaterThan" aboveAverage="0" equalAverage="0" bottom="0" percent="0" rank="0" text="" dxfId="439">
      <formula>$C$3</formula>
    </cfRule>
  </conditionalFormatting>
  <conditionalFormatting sqref="H35:I35">
    <cfRule type="cellIs" priority="36" operator="greaterThan" aboveAverage="0" equalAverage="0" bottom="0" percent="0" rank="0" text="" dxfId="440">
      <formula>$C$3</formula>
    </cfRule>
  </conditionalFormatting>
  <conditionalFormatting sqref="H36:I36">
    <cfRule type="cellIs" priority="37" operator="greaterThan" aboveAverage="0" equalAverage="0" bottom="0" percent="0" rank="0" text="" dxfId="441">
      <formula>$C$3</formula>
    </cfRule>
  </conditionalFormatting>
  <conditionalFormatting sqref="C31:D34">
    <cfRule type="cellIs" priority="38" operator="greaterThan" aboveAverage="0" equalAverage="0" bottom="0" percent="0" rank="0" text="" dxfId="442">
      <formula>$C$3</formula>
    </cfRule>
  </conditionalFormatting>
  <conditionalFormatting sqref="C35:D35">
    <cfRule type="cellIs" priority="39" operator="greaterThan" aboveAverage="0" equalAverage="0" bottom="0" percent="0" rank="0" text="" dxfId="443">
      <formula>$C$3</formula>
    </cfRule>
  </conditionalFormatting>
  <conditionalFormatting sqref="C35:D35">
    <cfRule type="cellIs" priority="40" operator="greaterThan" aboveAverage="0" equalAverage="0" bottom="0" percent="0" rank="0" text="" dxfId="444">
      <formula>$C$3</formula>
    </cfRule>
  </conditionalFormatting>
  <conditionalFormatting sqref="C37:D37">
    <cfRule type="cellIs" priority="41" operator="greaterThan" aboveAverage="0" equalAverage="0" bottom="0" percent="0" rank="0" text="" dxfId="445">
      <formula>$C$3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1" activeCellId="0" sqref="N31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48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3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3</v>
      </c>
      <c r="D9" s="41" t="n">
        <v>0</v>
      </c>
      <c r="E9" s="41" t="n">
        <v>3</v>
      </c>
      <c r="F9" s="118" t="s">
        <v>163</v>
      </c>
      <c r="G9" s="31" t="s">
        <v>191</v>
      </c>
      <c r="H9" s="41" t="n">
        <v>10</v>
      </c>
      <c r="I9" s="41" t="n">
        <v>-85</v>
      </c>
      <c r="J9" s="41" t="n">
        <v>-55</v>
      </c>
      <c r="K9" s="118" t="s">
        <v>163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118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3</v>
      </c>
      <c r="D10" s="41" t="n">
        <v>0</v>
      </c>
      <c r="E10" s="41" t="n">
        <v>3</v>
      </c>
      <c r="F10" s="118" t="s">
        <v>163</v>
      </c>
      <c r="G10" s="31" t="s">
        <v>196</v>
      </c>
      <c r="H10" s="41" t="n">
        <v>8</v>
      </c>
      <c r="I10" s="41" t="n">
        <v>-72</v>
      </c>
      <c r="J10" s="41" t="n">
        <v>-68</v>
      </c>
      <c r="K10" s="118" t="s">
        <v>163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118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3</v>
      </c>
      <c r="D11" s="41" t="n">
        <v>0</v>
      </c>
      <c r="E11" s="41" t="n">
        <v>3</v>
      </c>
      <c r="F11" s="118" t="s">
        <v>163</v>
      </c>
      <c r="G11" s="31" t="s">
        <v>207</v>
      </c>
      <c r="H11" s="41" t="n">
        <v>10</v>
      </c>
      <c r="I11" s="41" t="n">
        <v>-90</v>
      </c>
      <c r="J11" s="41" t="n">
        <v>-80</v>
      </c>
      <c r="K11" s="118" t="s">
        <v>163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118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3</v>
      </c>
      <c r="D12" s="41" t="n">
        <v>0</v>
      </c>
      <c r="E12" s="41" t="n">
        <v>3</v>
      </c>
      <c r="F12" s="118" t="s">
        <v>163</v>
      </c>
      <c r="G12" s="31" t="s">
        <v>208</v>
      </c>
      <c r="H12" s="41" t="n">
        <v>10</v>
      </c>
      <c r="I12" s="41" t="n">
        <v>-90</v>
      </c>
      <c r="J12" s="41" t="n">
        <v>-80</v>
      </c>
      <c r="K12" s="118" t="s">
        <v>163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118"/>
    </row>
    <row r="13" customFormat="false" ht="15" hidden="false" customHeight="false" outlineLevel="0" collapsed="false">
      <c r="A13" s="87" t="n">
        <v>1</v>
      </c>
      <c r="B13" s="110" t="s">
        <v>150</v>
      </c>
      <c r="C13" s="41" t="n">
        <v>3</v>
      </c>
      <c r="D13" s="41" t="n">
        <v>0</v>
      </c>
      <c r="E13" s="41" t="n">
        <v>3</v>
      </c>
      <c r="F13" s="118" t="s">
        <v>163</v>
      </c>
      <c r="G13" s="31" t="s">
        <v>199</v>
      </c>
      <c r="H13" s="41" t="n">
        <v>10</v>
      </c>
      <c r="I13" s="41" t="n">
        <v>-90</v>
      </c>
      <c r="J13" s="41" t="n">
        <v>-80</v>
      </c>
      <c r="K13" s="118" t="s">
        <v>163</v>
      </c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 t="n">
        <v>1</v>
      </c>
      <c r="B14" s="110" t="s">
        <v>150</v>
      </c>
      <c r="C14" s="41" t="n">
        <v>3</v>
      </c>
      <c r="D14" s="41" t="n">
        <v>0</v>
      </c>
      <c r="E14" s="41" t="n">
        <v>3</v>
      </c>
      <c r="F14" s="118" t="s">
        <v>163</v>
      </c>
      <c r="G14" s="31" t="s">
        <v>209</v>
      </c>
      <c r="H14" s="41" t="n">
        <v>10</v>
      </c>
      <c r="I14" s="41" t="n">
        <v>-90</v>
      </c>
      <c r="J14" s="41" t="n">
        <v>-80</v>
      </c>
      <c r="K14" s="118" t="s">
        <v>163</v>
      </c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48</v>
      </c>
      <c r="C28" s="41" t="n">
        <v>1</v>
      </c>
      <c r="D28" s="41" t="n">
        <v>2</v>
      </c>
      <c r="E28" s="41" t="n">
        <v>-1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/>
      <c r="C29" s="41"/>
      <c r="D29" s="41"/>
      <c r="E29" s="41"/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/>
      <c r="C30" s="41"/>
      <c r="D30" s="41"/>
      <c r="E30" s="41"/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46">
      <formula>MAX($E$9:$E$23)</formula>
    </cfRule>
  </conditionalFormatting>
  <conditionalFormatting sqref="M16">
    <cfRule type="expression" priority="3" aboveAverage="0" equalAverage="0" bottom="0" percent="0" rank="0" text="" dxfId="447">
      <formula>LEN(TRIM(M16))=0</formula>
    </cfRule>
    <cfRule type="cellIs" priority="4" operator="equal" aboveAverage="0" equalAverage="0" bottom="0" percent="0" rank="0" text="" dxfId="448">
      <formula>0</formula>
    </cfRule>
  </conditionalFormatting>
  <conditionalFormatting sqref="M16">
    <cfRule type="expression" priority="5" aboveAverage="0" equalAverage="0" bottom="0" percent="0" rank="0" text="" dxfId="449">
      <formula>LEN(TRIM(M16))=0</formula>
    </cfRule>
    <cfRule type="cellIs" priority="6" operator="equal" aboveAverage="0" equalAverage="0" bottom="0" percent="0" rank="0" text="" dxfId="45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36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17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16</v>
      </c>
      <c r="D9" s="41" t="n">
        <v>1</v>
      </c>
      <c r="E9" s="41" t="n">
        <v>17</v>
      </c>
      <c r="F9" s="118" t="s">
        <v>163</v>
      </c>
      <c r="G9" s="31" t="s">
        <v>196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118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16</v>
      </c>
      <c r="D10" s="41" t="n">
        <v>1</v>
      </c>
      <c r="E10" s="41" t="n">
        <v>17</v>
      </c>
      <c r="F10" s="118" t="s">
        <v>163</v>
      </c>
      <c r="G10" s="31" t="s">
        <v>196</v>
      </c>
      <c r="H10" s="41" t="n">
        <v>8</v>
      </c>
      <c r="I10" s="41" t="n">
        <v>-72</v>
      </c>
      <c r="J10" s="41" t="n">
        <v>-68</v>
      </c>
      <c r="K10" s="118" t="s">
        <v>184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118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14</v>
      </c>
      <c r="D11" s="41" t="n">
        <v>3</v>
      </c>
      <c r="E11" s="41" t="n">
        <v>17</v>
      </c>
      <c r="F11" s="118" t="s">
        <v>163</v>
      </c>
      <c r="G11" s="31" t="s">
        <v>196</v>
      </c>
      <c r="H11" s="41" t="n">
        <v>10</v>
      </c>
      <c r="I11" s="41" t="n">
        <v>-90</v>
      </c>
      <c r="J11" s="41" t="n">
        <v>-80</v>
      </c>
      <c r="K11" s="118" t="s">
        <v>184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118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20</v>
      </c>
      <c r="D12" s="41" t="n">
        <v>6.75</v>
      </c>
      <c r="E12" s="41" t="n">
        <v>17</v>
      </c>
      <c r="F12" s="118" t="s">
        <v>163</v>
      </c>
      <c r="G12" s="31" t="s">
        <v>191</v>
      </c>
      <c r="H12" s="41" t="n">
        <v>12</v>
      </c>
      <c r="I12" s="41" t="n">
        <v>-60.2</v>
      </c>
      <c r="J12" s="41" t="n">
        <v>-59</v>
      </c>
      <c r="K12" s="118" t="s">
        <v>184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118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36</v>
      </c>
      <c r="C28" s="41" t="n">
        <v>0.1</v>
      </c>
      <c r="D28" s="41" t="n">
        <v>20</v>
      </c>
      <c r="E28" s="41" t="n">
        <v>-0.6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36</v>
      </c>
      <c r="C29" s="41" t="n">
        <v>2</v>
      </c>
      <c r="D29" s="41" t="n">
        <v>7</v>
      </c>
      <c r="E29" s="41" t="n">
        <v>-1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36</v>
      </c>
      <c r="C30" s="41" t="n">
        <v>10</v>
      </c>
      <c r="D30" s="41" t="n">
        <v>15</v>
      </c>
      <c r="E30" s="41" t="n">
        <v>4.6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51">
      <formula>MAX($E$9:$E$23)</formula>
    </cfRule>
  </conditionalFormatting>
  <conditionalFormatting sqref="M16">
    <cfRule type="expression" priority="3" aboveAverage="0" equalAverage="0" bottom="0" percent="0" rank="0" text="" dxfId="452">
      <formula>LEN(TRIM(M16))=0</formula>
    </cfRule>
    <cfRule type="cellIs" priority="4" operator="equal" aboveAverage="0" equalAverage="0" bottom="0" percent="0" rank="0" text="" dxfId="453">
      <formula>0</formula>
    </cfRule>
  </conditionalFormatting>
  <conditionalFormatting sqref="M16">
    <cfRule type="expression" priority="5" aboveAverage="0" equalAverage="0" bottom="0" percent="0" rank="0" text="" dxfId="454">
      <formula>LEN(TRIM(M16))=0</formula>
    </cfRule>
    <cfRule type="cellIs" priority="6" operator="equal" aboveAverage="0" equalAverage="0" bottom="0" percent="0" rank="0" text="" dxfId="45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E54" activeCellId="0" sqref="E54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131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56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16</v>
      </c>
      <c r="D9" s="41" t="n">
        <v>5</v>
      </c>
      <c r="E9" s="41" t="n">
        <v>21</v>
      </c>
      <c r="F9" s="118" t="s">
        <v>163</v>
      </c>
      <c r="G9" s="31" t="s">
        <v>189</v>
      </c>
      <c r="H9" s="41" t="n">
        <v>10</v>
      </c>
      <c r="I9" s="41" t="n">
        <v>-80</v>
      </c>
      <c r="J9" s="41" t="n">
        <v>20</v>
      </c>
      <c r="K9" s="118" t="s">
        <v>184</v>
      </c>
      <c r="L9" s="31" t="s">
        <v>196</v>
      </c>
      <c r="M9" s="41" t="n">
        <v>10</v>
      </c>
      <c r="N9" s="41" t="n">
        <v>-80</v>
      </c>
      <c r="O9" s="41" t="n">
        <v>20</v>
      </c>
      <c r="P9" s="118" t="s">
        <v>202</v>
      </c>
      <c r="Q9" s="31" t="s">
        <v>210</v>
      </c>
      <c r="R9" s="41" t="n">
        <v>10</v>
      </c>
      <c r="S9" s="41" t="n">
        <v>-80</v>
      </c>
      <c r="T9" s="41" t="n">
        <v>20</v>
      </c>
      <c r="U9" s="118" t="s">
        <v>165</v>
      </c>
      <c r="V9" s="31" t="s">
        <v>208</v>
      </c>
      <c r="W9" s="41" t="n">
        <v>10</v>
      </c>
      <c r="X9" s="41" t="n">
        <v>-80</v>
      </c>
      <c r="Y9" s="41" t="n">
        <v>20</v>
      </c>
      <c r="Z9" s="118" t="s">
        <v>182</v>
      </c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21</v>
      </c>
      <c r="E10" s="41" t="n">
        <v>41</v>
      </c>
      <c r="F10" s="118" t="s">
        <v>163</v>
      </c>
      <c r="G10" s="31" t="s">
        <v>194</v>
      </c>
      <c r="H10" s="41" t="n">
        <v>10</v>
      </c>
      <c r="I10" s="41" t="n">
        <v>-80</v>
      </c>
      <c r="J10" s="41" t="n">
        <v>20</v>
      </c>
      <c r="K10" s="118" t="s">
        <v>184</v>
      </c>
      <c r="L10" s="31" t="s">
        <v>209</v>
      </c>
      <c r="M10" s="41" t="n">
        <v>10</v>
      </c>
      <c r="N10" s="41" t="n">
        <v>-80</v>
      </c>
      <c r="O10" s="41" t="n">
        <v>20</v>
      </c>
      <c r="P10" s="118" t="s">
        <v>202</v>
      </c>
      <c r="Q10" s="31" t="s">
        <v>200</v>
      </c>
      <c r="R10" s="41" t="n">
        <v>10</v>
      </c>
      <c r="S10" s="41" t="n">
        <v>-80</v>
      </c>
      <c r="T10" s="41" t="n">
        <v>20</v>
      </c>
      <c r="U10" s="118" t="s">
        <v>165</v>
      </c>
      <c r="V10" s="31" t="s">
        <v>179</v>
      </c>
      <c r="W10" s="41" t="n">
        <v>10</v>
      </c>
      <c r="X10" s="41" t="n">
        <v>-80</v>
      </c>
      <c r="Y10" s="41" t="n">
        <v>20</v>
      </c>
      <c r="Z10" s="118" t="s">
        <v>182</v>
      </c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12</v>
      </c>
      <c r="D11" s="41" t="n">
        <v>44</v>
      </c>
      <c r="E11" s="41" t="n">
        <v>56</v>
      </c>
      <c r="F11" s="118" t="s">
        <v>163</v>
      </c>
      <c r="G11" s="31" t="s">
        <v>199</v>
      </c>
      <c r="H11" s="41" t="n">
        <v>10</v>
      </c>
      <c r="I11" s="41" t="n">
        <v>-80</v>
      </c>
      <c r="J11" s="41" t="n">
        <v>20</v>
      </c>
      <c r="K11" s="118" t="s">
        <v>184</v>
      </c>
      <c r="L11" s="31" t="s">
        <v>201</v>
      </c>
      <c r="M11" s="41" t="n">
        <v>10</v>
      </c>
      <c r="N11" s="41" t="n">
        <v>-80</v>
      </c>
      <c r="O11" s="41" t="n">
        <v>20</v>
      </c>
      <c r="P11" s="118" t="s">
        <v>202</v>
      </c>
      <c r="Q11" s="31" t="s">
        <v>191</v>
      </c>
      <c r="R11" s="41" t="n">
        <v>10</v>
      </c>
      <c r="S11" s="41" t="n">
        <v>-80</v>
      </c>
      <c r="T11" s="41" t="n">
        <v>20</v>
      </c>
      <c r="U11" s="118" t="s">
        <v>165</v>
      </c>
      <c r="V11" s="31"/>
      <c r="W11" s="41"/>
      <c r="X11" s="41"/>
      <c r="Y11" s="41"/>
      <c r="Z11" s="118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8</v>
      </c>
      <c r="D12" s="41" t="n">
        <v>0</v>
      </c>
      <c r="E12" s="41" t="n">
        <v>56</v>
      </c>
      <c r="F12" s="118" t="s">
        <v>163</v>
      </c>
      <c r="G12" s="31" t="s">
        <v>189</v>
      </c>
      <c r="H12" s="41" t="n">
        <v>10</v>
      </c>
      <c r="I12" s="41" t="n">
        <v>-65</v>
      </c>
      <c r="J12" s="41" t="n">
        <v>-55</v>
      </c>
      <c r="K12" s="118" t="s">
        <v>184</v>
      </c>
      <c r="L12" s="31" t="s">
        <v>200</v>
      </c>
      <c r="M12" s="41" t="n">
        <v>10</v>
      </c>
      <c r="N12" s="41" t="n">
        <v>-75</v>
      </c>
      <c r="O12" s="41" t="n">
        <v>-55</v>
      </c>
      <c r="P12" s="118" t="s">
        <v>202</v>
      </c>
      <c r="Q12" s="31" t="s">
        <v>201</v>
      </c>
      <c r="R12" s="41" t="n">
        <v>10</v>
      </c>
      <c r="S12" s="41" t="n">
        <v>-75</v>
      </c>
      <c r="T12" s="41" t="n">
        <v>-55</v>
      </c>
      <c r="U12" s="118" t="s">
        <v>165</v>
      </c>
      <c r="V12" s="31"/>
      <c r="W12" s="41"/>
      <c r="X12" s="41"/>
      <c r="Y12" s="41"/>
      <c r="Z12" s="118"/>
    </row>
    <row r="13" customFormat="false" ht="15" hidden="false" customHeight="false" outlineLevel="0" collapsed="false">
      <c r="A13" s="87" t="n">
        <v>1</v>
      </c>
      <c r="B13" s="110" t="s">
        <v>150</v>
      </c>
      <c r="C13" s="41" t="n">
        <v>8</v>
      </c>
      <c r="D13" s="41" t="n">
        <v>0</v>
      </c>
      <c r="E13" s="41" t="n">
        <v>56</v>
      </c>
      <c r="F13" s="118" t="s">
        <v>163</v>
      </c>
      <c r="G13" s="31" t="s">
        <v>181</v>
      </c>
      <c r="H13" s="41" t="n">
        <v>10</v>
      </c>
      <c r="I13" s="41" t="n">
        <v>-65</v>
      </c>
      <c r="J13" s="41" t="n">
        <v>-55</v>
      </c>
      <c r="K13" s="118" t="s">
        <v>184</v>
      </c>
      <c r="L13" s="31" t="s">
        <v>187</v>
      </c>
      <c r="M13" s="41" t="n">
        <v>10</v>
      </c>
      <c r="N13" s="41" t="n">
        <v>-105</v>
      </c>
      <c r="O13" s="41" t="n">
        <v>-95</v>
      </c>
      <c r="P13" s="118" t="s">
        <v>202</v>
      </c>
      <c r="Q13" s="31" t="s">
        <v>187</v>
      </c>
      <c r="R13" s="41" t="n">
        <v>6</v>
      </c>
      <c r="S13" s="41" t="n">
        <v>-80</v>
      </c>
      <c r="T13" s="41" t="n">
        <v>-50</v>
      </c>
      <c r="U13" s="118" t="s">
        <v>206</v>
      </c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45</v>
      </c>
      <c r="C28" s="41" t="n">
        <v>0.1</v>
      </c>
      <c r="D28" s="41" t="n">
        <v>56</v>
      </c>
      <c r="E28" s="41" t="n">
        <v>-1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34</v>
      </c>
      <c r="C29" s="41" t="n">
        <v>5</v>
      </c>
      <c r="D29" s="41" t="n">
        <v>5.05</v>
      </c>
      <c r="E29" s="41" t="n">
        <v>10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36</v>
      </c>
      <c r="C30" s="41" t="n">
        <v>10</v>
      </c>
      <c r="D30" s="41" t="n">
        <v>10.05</v>
      </c>
      <c r="E30" s="41" t="n">
        <v>10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37</v>
      </c>
      <c r="C31" s="41" t="n">
        <v>15</v>
      </c>
      <c r="D31" s="41" t="n">
        <v>15.05</v>
      </c>
      <c r="E31" s="41" t="n">
        <v>10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 t="s">
        <v>40</v>
      </c>
      <c r="C32" s="41" t="n">
        <v>20</v>
      </c>
      <c r="D32" s="41" t="n">
        <v>20.05</v>
      </c>
      <c r="E32" s="41" t="n">
        <v>10</v>
      </c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 t="s">
        <v>41</v>
      </c>
      <c r="C33" s="41" t="n">
        <v>25</v>
      </c>
      <c r="D33" s="41" t="n">
        <v>25.05</v>
      </c>
      <c r="E33" s="41" t="n">
        <v>2</v>
      </c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 t="s">
        <v>42</v>
      </c>
      <c r="C34" s="41" t="n">
        <v>30</v>
      </c>
      <c r="D34" s="41" t="n">
        <v>30.05</v>
      </c>
      <c r="E34" s="41" t="n">
        <v>10</v>
      </c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 t="s">
        <v>43</v>
      </c>
      <c r="C35" s="41" t="n">
        <v>35</v>
      </c>
      <c r="D35" s="41" t="n">
        <v>36</v>
      </c>
      <c r="E35" s="41" t="n">
        <v>-0.5</v>
      </c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 t="s">
        <v>43</v>
      </c>
      <c r="C36" s="41" t="n">
        <v>35</v>
      </c>
      <c r="D36" s="41" t="n">
        <v>35.01</v>
      </c>
      <c r="E36" s="41" t="n">
        <v>30</v>
      </c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 t="s">
        <v>45</v>
      </c>
      <c r="C37" s="41" t="n">
        <v>40</v>
      </c>
      <c r="D37" s="41" t="n">
        <v>40.05</v>
      </c>
      <c r="E37" s="41" t="n">
        <v>10</v>
      </c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 t="s">
        <v>46</v>
      </c>
      <c r="C38" s="41" t="n">
        <v>45</v>
      </c>
      <c r="D38" s="41" t="n">
        <v>45.05</v>
      </c>
      <c r="E38" s="41" t="n">
        <v>10</v>
      </c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 t="s">
        <v>47</v>
      </c>
      <c r="C39" s="41" t="n">
        <v>50</v>
      </c>
      <c r="D39" s="41" t="n">
        <v>50.02</v>
      </c>
      <c r="E39" s="41" t="n">
        <v>10</v>
      </c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 t="s">
        <v>37</v>
      </c>
      <c r="C40" s="41" t="n">
        <v>55</v>
      </c>
      <c r="D40" s="41" t="n">
        <v>56</v>
      </c>
      <c r="E40" s="41" t="n">
        <v>-1</v>
      </c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 t="s">
        <v>48</v>
      </c>
      <c r="C41" s="41" t="n">
        <v>55</v>
      </c>
      <c r="D41" s="41" t="n">
        <v>55.05</v>
      </c>
      <c r="E41" s="41" t="n">
        <v>15</v>
      </c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 t="s">
        <v>34</v>
      </c>
      <c r="C42" s="41" t="n">
        <v>0.1</v>
      </c>
      <c r="D42" s="41" t="n">
        <v>51</v>
      </c>
      <c r="E42" s="41" t="n">
        <v>0.4</v>
      </c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 t="s">
        <v>34</v>
      </c>
      <c r="C43" s="41" t="n">
        <v>51</v>
      </c>
      <c r="D43" s="41" t="n">
        <v>56</v>
      </c>
      <c r="E43" s="41" t="n">
        <v>0.62377</v>
      </c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 t="s">
        <v>43</v>
      </c>
      <c r="C44" s="41" t="n">
        <v>0.1</v>
      </c>
      <c r="D44" s="41" t="n">
        <v>21</v>
      </c>
      <c r="E44" s="41" t="n">
        <v>0</v>
      </c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 t="s">
        <v>43</v>
      </c>
      <c r="C45" s="41" t="n">
        <v>21</v>
      </c>
      <c r="D45" s="41" t="n">
        <v>26</v>
      </c>
      <c r="E45" s="41" t="n">
        <v>3.5315</v>
      </c>
      <c r="G45" s="41"/>
      <c r="H45" s="41"/>
      <c r="I45" s="41"/>
      <c r="J45" s="41"/>
    </row>
    <row r="46" customFormat="false" ht="15" hidden="false" customHeight="false" outlineLevel="0" collapsed="false">
      <c r="B46" s="41" t="s">
        <v>43</v>
      </c>
      <c r="C46" s="41" t="n">
        <v>26</v>
      </c>
      <c r="D46" s="41" t="n">
        <v>56</v>
      </c>
      <c r="E46" s="41" t="n">
        <v>3.5315</v>
      </c>
      <c r="G46" s="41"/>
      <c r="H46" s="41"/>
      <c r="I46" s="41"/>
      <c r="J46" s="41"/>
    </row>
    <row r="47" customFormat="false" ht="15" hidden="false" customHeight="false" outlineLevel="0" collapsed="false">
      <c r="B47" s="41" t="s">
        <v>47</v>
      </c>
      <c r="C47" s="41" t="n">
        <v>0.1</v>
      </c>
      <c r="D47" s="41" t="n">
        <v>31</v>
      </c>
      <c r="E47" s="41" t="n">
        <v>-1.6</v>
      </c>
      <c r="G47" s="41"/>
      <c r="H47" s="41"/>
      <c r="I47" s="41"/>
      <c r="J47" s="41"/>
    </row>
    <row r="48" customFormat="false" ht="15" hidden="false" customHeight="false" outlineLevel="0" collapsed="false">
      <c r="B48" s="41" t="s">
        <v>47</v>
      </c>
      <c r="C48" s="41" t="n">
        <v>31</v>
      </c>
      <c r="D48" s="41" t="n">
        <v>56</v>
      </c>
      <c r="E48" s="41" t="n">
        <v>-1</v>
      </c>
      <c r="G48" s="41"/>
      <c r="H48" s="41"/>
      <c r="I48" s="41"/>
      <c r="J48" s="41"/>
    </row>
    <row r="49" customFormat="false" ht="15" hidden="false" customHeight="false" outlineLevel="0" collapsed="false">
      <c r="B49" s="41" t="s">
        <v>44</v>
      </c>
      <c r="C49" s="41" t="n">
        <v>0.1</v>
      </c>
      <c r="D49" s="41" t="n">
        <v>31</v>
      </c>
      <c r="E49" s="41" t="n">
        <v>0.53932</v>
      </c>
      <c r="G49" s="41"/>
      <c r="H49" s="41"/>
      <c r="I49" s="41"/>
      <c r="J49" s="41"/>
    </row>
    <row r="50" customFormat="false" ht="15" hidden="false" customHeight="false" outlineLevel="0" collapsed="false">
      <c r="B50" s="41" t="s">
        <v>44</v>
      </c>
      <c r="C50" s="41" t="n">
        <v>31</v>
      </c>
      <c r="D50" s="41" t="n">
        <v>56</v>
      </c>
      <c r="E50" s="41" t="n">
        <v>1</v>
      </c>
      <c r="G50" s="41"/>
      <c r="H50" s="41"/>
      <c r="I50" s="41"/>
      <c r="J50" s="41"/>
    </row>
    <row r="51" customFormat="false" ht="15" hidden="false" customHeight="false" outlineLevel="0" collapsed="false">
      <c r="B51" s="41" t="s">
        <v>35</v>
      </c>
      <c r="C51" s="41" t="n">
        <v>0.1</v>
      </c>
      <c r="D51" s="41" t="n">
        <v>6</v>
      </c>
      <c r="E51" s="41" t="n">
        <v>-9.602</v>
      </c>
      <c r="G51" s="41"/>
      <c r="H51" s="41"/>
      <c r="I51" s="41"/>
      <c r="J51" s="41"/>
    </row>
    <row r="52" customFormat="false" ht="15" hidden="false" customHeight="false" outlineLevel="0" collapsed="false">
      <c r="B52" s="41" t="s">
        <v>35</v>
      </c>
      <c r="C52" s="41" t="n">
        <v>6</v>
      </c>
      <c r="D52" s="41" t="n">
        <v>11</v>
      </c>
      <c r="E52" s="41" t="n">
        <v>-3.5</v>
      </c>
      <c r="G52" s="41"/>
      <c r="H52" s="41"/>
      <c r="I52" s="41"/>
      <c r="J52" s="41"/>
    </row>
    <row r="53" customFormat="false" ht="15" hidden="false" customHeight="false" outlineLevel="0" collapsed="false">
      <c r="B53" s="41" t="s">
        <v>35</v>
      </c>
      <c r="C53" s="41" t="n">
        <v>11</v>
      </c>
      <c r="D53" s="41" t="n">
        <v>16</v>
      </c>
      <c r="E53" s="41" t="n">
        <v>0</v>
      </c>
      <c r="G53" s="41"/>
      <c r="H53" s="41"/>
      <c r="I53" s="41"/>
      <c r="J53" s="41"/>
    </row>
    <row r="54" customFormat="false" ht="15" hidden="false" customHeight="false" outlineLevel="0" collapsed="false">
      <c r="B54" s="41" t="s">
        <v>35</v>
      </c>
      <c r="C54" s="41" t="n">
        <v>16</v>
      </c>
      <c r="D54" s="41" t="n">
        <v>31</v>
      </c>
      <c r="E54" s="41" t="n">
        <v>-1.5632</v>
      </c>
      <c r="G54" s="41"/>
      <c r="H54" s="41"/>
      <c r="I54" s="41"/>
      <c r="J54" s="41"/>
    </row>
    <row r="55" customFormat="false" ht="15" hidden="false" customHeight="false" outlineLevel="0" collapsed="false">
      <c r="B55" s="41" t="s">
        <v>35</v>
      </c>
      <c r="C55" s="41" t="n">
        <v>31</v>
      </c>
      <c r="D55" s="41" t="n">
        <v>36</v>
      </c>
      <c r="E55" s="41" t="n">
        <v>-9.6022</v>
      </c>
      <c r="G55" s="41"/>
      <c r="H55" s="41"/>
      <c r="I55" s="41"/>
      <c r="J55" s="41"/>
    </row>
    <row r="56" customFormat="false" ht="15" hidden="false" customHeight="false" outlineLevel="0" collapsed="false">
      <c r="B56" s="41" t="s">
        <v>35</v>
      </c>
      <c r="C56" s="41" t="n">
        <v>36</v>
      </c>
      <c r="D56" s="41" t="n">
        <v>56</v>
      </c>
      <c r="E56" s="41" t="n">
        <v>0</v>
      </c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56">
      <formula>MAX($E$9:$E$23)</formula>
    </cfRule>
  </conditionalFormatting>
  <conditionalFormatting sqref="M16">
    <cfRule type="expression" priority="3" aboveAverage="0" equalAverage="0" bottom="0" percent="0" rank="0" text="" dxfId="457">
      <formula>LEN(TRIM(M16))=0</formula>
    </cfRule>
    <cfRule type="cellIs" priority="4" operator="equal" aboveAverage="0" equalAverage="0" bottom="0" percent="0" rank="0" text="" dxfId="458">
      <formula>0</formula>
    </cfRule>
  </conditionalFormatting>
  <conditionalFormatting sqref="M16">
    <cfRule type="expression" priority="5" aboveAverage="0" equalAverage="0" bottom="0" percent="0" rank="0" text="" dxfId="459">
      <formula>LEN(TRIM(M16))=0</formula>
    </cfRule>
    <cfRule type="cellIs" priority="6" operator="equal" aboveAverage="0" equalAverage="0" bottom="0" percent="0" rank="0" text="" dxfId="46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211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0.3</v>
      </c>
      <c r="F9" s="118" t="s">
        <v>163</v>
      </c>
      <c r="G9" s="31" t="s">
        <v>212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0.3</v>
      </c>
      <c r="F10" s="118" t="s">
        <v>163</v>
      </c>
      <c r="G10" s="31" t="s">
        <v>164</v>
      </c>
      <c r="H10" s="41" t="n">
        <v>10</v>
      </c>
      <c r="I10" s="41" t="n">
        <v>-80</v>
      </c>
      <c r="J10" s="41" t="n">
        <v>-60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10</v>
      </c>
      <c r="D11" s="41" t="n">
        <v>0</v>
      </c>
      <c r="E11" s="41" t="n">
        <v>0.3</v>
      </c>
      <c r="F11" s="118" t="s">
        <v>163</v>
      </c>
      <c r="G11" s="31" t="s">
        <v>166</v>
      </c>
      <c r="H11" s="41" t="n">
        <v>10</v>
      </c>
      <c r="I11" s="41" t="n">
        <v>-80</v>
      </c>
      <c r="J11" s="41" t="n">
        <v>-60</v>
      </c>
      <c r="K11" s="118" t="s">
        <v>202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10</v>
      </c>
      <c r="D12" s="41" t="n">
        <v>0</v>
      </c>
      <c r="E12" s="41" t="n">
        <v>0.3</v>
      </c>
      <c r="F12" s="118" t="s">
        <v>163</v>
      </c>
      <c r="G12" s="31" t="s">
        <v>167</v>
      </c>
      <c r="H12" s="41" t="n">
        <v>10</v>
      </c>
      <c r="I12" s="41" t="n">
        <v>-80</v>
      </c>
      <c r="J12" s="41" t="n">
        <v>-60</v>
      </c>
      <c r="K12" s="118" t="s">
        <v>165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/>
      <c r="B13" s="110"/>
      <c r="C13" s="41"/>
      <c r="D13" s="41"/>
      <c r="E13" s="41"/>
      <c r="F13" s="118"/>
      <c r="G13" s="31"/>
      <c r="H13" s="41"/>
      <c r="I13" s="41"/>
      <c r="J13" s="41"/>
      <c r="K13" s="118"/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213</v>
      </c>
      <c r="C28" s="41" t="n">
        <v>0.03</v>
      </c>
      <c r="D28" s="41" t="n">
        <v>0.1</v>
      </c>
      <c r="E28" s="41" t="n">
        <v>9.8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52</v>
      </c>
      <c r="C29" s="41" t="n">
        <v>0.03</v>
      </c>
      <c r="D29" s="41" t="n">
        <v>0.15</v>
      </c>
      <c r="E29" s="41" t="n">
        <v>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50</v>
      </c>
      <c r="C30" s="41" t="n">
        <v>0.03</v>
      </c>
      <c r="D30" s="41" t="n">
        <v>0.15</v>
      </c>
      <c r="E30" s="41" t="n">
        <v>0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51</v>
      </c>
      <c r="C31" s="41" t="n">
        <v>0.03</v>
      </c>
      <c r="D31" s="41" t="n">
        <v>0.15</v>
      </c>
      <c r="E31" s="41" t="n">
        <v>0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61">
      <formula>MAX($E$9:$E$23)</formula>
    </cfRule>
  </conditionalFormatting>
  <conditionalFormatting sqref="M16">
    <cfRule type="expression" priority="3" aboveAverage="0" equalAverage="0" bottom="0" percent="0" rank="0" text="" dxfId="462">
      <formula>LEN(TRIM(M16))=0</formula>
    </cfRule>
    <cfRule type="cellIs" priority="4" operator="equal" aboveAverage="0" equalAverage="0" bottom="0" percent="0" rank="0" text="" dxfId="463">
      <formula>0</formula>
    </cfRule>
  </conditionalFormatting>
  <conditionalFormatting sqref="M16">
    <cfRule type="expression" priority="5" aboveAverage="0" equalAverage="0" bottom="0" percent="0" rank="0" text="" dxfId="464">
      <formula>LEN(TRIM(M16))=0</formula>
    </cfRule>
    <cfRule type="cellIs" priority="6" operator="equal" aboveAverage="0" equalAverage="0" bottom="0" percent="0" rank="0" text="" dxfId="46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2.14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214</v>
      </c>
      <c r="D2" s="100" t="s">
        <v>106</v>
      </c>
      <c r="E2" s="41" t="n">
        <v>1</v>
      </c>
      <c r="F2" s="101" t="s">
        <v>107</v>
      </c>
      <c r="G2" s="98" t="s">
        <v>108</v>
      </c>
      <c r="M2" s="17" t="s">
        <v>109</v>
      </c>
      <c r="N2" s="98" t="s">
        <v>110</v>
      </c>
      <c r="Q2" s="17" t="s">
        <v>111</v>
      </c>
      <c r="R2" s="98" t="s">
        <v>112</v>
      </c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1</v>
      </c>
      <c r="D3" s="100" t="s">
        <v>116</v>
      </c>
      <c r="E3" s="41" t="n">
        <v>1</v>
      </c>
      <c r="F3" s="2" t="s">
        <v>117</v>
      </c>
      <c r="G3" s="98" t="s">
        <v>118</v>
      </c>
      <c r="I3" s="99" t="s">
        <v>119</v>
      </c>
      <c r="J3" s="98" t="s">
        <v>120</v>
      </c>
      <c r="M3" s="17" t="s">
        <v>121</v>
      </c>
      <c r="N3" s="98" t="s">
        <v>122</v>
      </c>
      <c r="Q3" s="17" t="s">
        <v>123</v>
      </c>
      <c r="R3" s="98" t="s">
        <v>124</v>
      </c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98" t="s">
        <v>133</v>
      </c>
      <c r="Q4" s="17" t="s">
        <v>134</v>
      </c>
      <c r="R4" s="98" t="s">
        <v>135</v>
      </c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98" t="s">
        <v>141</v>
      </c>
      <c r="Q5" s="17" t="s">
        <v>142</v>
      </c>
      <c r="R5" s="98" t="s">
        <v>143</v>
      </c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10</v>
      </c>
      <c r="D9" s="41" t="n">
        <v>0</v>
      </c>
      <c r="E9" s="41" t="n">
        <v>1</v>
      </c>
      <c r="F9" s="118" t="s">
        <v>163</v>
      </c>
      <c r="G9" s="31" t="s">
        <v>215</v>
      </c>
      <c r="H9" s="41" t="n">
        <v>10</v>
      </c>
      <c r="I9" s="41" t="n">
        <v>-80</v>
      </c>
      <c r="J9" s="41" t="n">
        <v>20</v>
      </c>
      <c r="K9" s="118" t="s">
        <v>184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10</v>
      </c>
      <c r="D10" s="41" t="n">
        <v>0</v>
      </c>
      <c r="E10" s="41" t="n">
        <v>1</v>
      </c>
      <c r="F10" s="118" t="s">
        <v>163</v>
      </c>
      <c r="G10" s="31" t="s">
        <v>164</v>
      </c>
      <c r="H10" s="41" t="n">
        <v>10</v>
      </c>
      <c r="I10" s="41" t="n">
        <v>-80</v>
      </c>
      <c r="J10" s="41" t="n">
        <v>20</v>
      </c>
      <c r="K10" s="118" t="s">
        <v>186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10</v>
      </c>
      <c r="D11" s="41" t="n">
        <v>0</v>
      </c>
      <c r="E11" s="41" t="n">
        <v>1</v>
      </c>
      <c r="F11" s="118" t="s">
        <v>163</v>
      </c>
      <c r="G11" s="31" t="s">
        <v>166</v>
      </c>
      <c r="H11" s="41" t="n">
        <v>10</v>
      </c>
      <c r="I11" s="41" t="n">
        <v>-80</v>
      </c>
      <c r="J11" s="41" t="n">
        <v>20</v>
      </c>
      <c r="K11" s="118" t="s">
        <v>202</v>
      </c>
      <c r="L11" s="31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10</v>
      </c>
      <c r="D12" s="41" t="n">
        <v>0</v>
      </c>
      <c r="E12" s="41" t="n">
        <v>1</v>
      </c>
      <c r="F12" s="118" t="s">
        <v>163</v>
      </c>
      <c r="G12" s="31" t="s">
        <v>167</v>
      </c>
      <c r="H12" s="41" t="n">
        <v>10</v>
      </c>
      <c r="I12" s="41" t="n">
        <v>-80</v>
      </c>
      <c r="J12" s="41" t="n">
        <v>20</v>
      </c>
      <c r="K12" s="118" t="s">
        <v>165</v>
      </c>
      <c r="L12" s="31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 t="n">
        <v>0</v>
      </c>
      <c r="B13" s="110" t="s">
        <v>150</v>
      </c>
      <c r="C13" s="41" t="n">
        <v>10</v>
      </c>
      <c r="D13" s="41" t="n">
        <v>0</v>
      </c>
      <c r="E13" s="41" t="n">
        <v>1</v>
      </c>
      <c r="F13" s="118" t="s">
        <v>163</v>
      </c>
      <c r="G13" s="31" t="s">
        <v>212</v>
      </c>
      <c r="H13" s="41" t="n">
        <v>10</v>
      </c>
      <c r="I13" s="41" t="n">
        <v>-80</v>
      </c>
      <c r="J13" s="41" t="n">
        <v>20</v>
      </c>
      <c r="K13" s="118" t="s">
        <v>165</v>
      </c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/>
      <c r="B14" s="110"/>
      <c r="C14" s="41"/>
      <c r="D14" s="41"/>
      <c r="E14" s="41"/>
      <c r="F14" s="118"/>
      <c r="G14" s="31"/>
      <c r="H14" s="41"/>
      <c r="I14" s="41"/>
      <c r="J14" s="41"/>
      <c r="K14" s="118"/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/>
      <c r="B15" s="110"/>
      <c r="C15" s="41"/>
      <c r="D15" s="41"/>
      <c r="E15" s="41"/>
      <c r="F15" s="118"/>
      <c r="G15" s="31"/>
      <c r="H15" s="41"/>
      <c r="I15" s="41"/>
      <c r="J15" s="41"/>
      <c r="K15" s="118"/>
      <c r="L15" s="31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/>
      <c r="B16" s="110"/>
      <c r="C16" s="41"/>
      <c r="D16" s="41"/>
      <c r="E16" s="41"/>
      <c r="F16" s="118"/>
      <c r="G16" s="31"/>
      <c r="H16" s="41"/>
      <c r="I16" s="41"/>
      <c r="J16" s="41"/>
      <c r="K16" s="118"/>
      <c r="L16" s="31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/>
      <c r="B17" s="110"/>
      <c r="C17" s="41"/>
      <c r="D17" s="41"/>
      <c r="E17" s="41"/>
      <c r="F17" s="118"/>
      <c r="G17" s="111"/>
      <c r="H17" s="41"/>
      <c r="I17" s="41"/>
      <c r="J17" s="41"/>
      <c r="K17" s="118"/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/>
      <c r="B18" s="110"/>
      <c r="C18" s="41"/>
      <c r="D18" s="41"/>
      <c r="E18" s="41"/>
      <c r="F18" s="118"/>
      <c r="G18" s="111"/>
      <c r="H18" s="41"/>
      <c r="I18" s="41"/>
      <c r="J18" s="41"/>
      <c r="K18" s="118"/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/>
      <c r="B19" s="110"/>
      <c r="C19" s="41"/>
      <c r="D19" s="41"/>
      <c r="E19" s="41"/>
      <c r="F19" s="118"/>
      <c r="G19" s="111"/>
      <c r="H19" s="41"/>
      <c r="I19" s="41"/>
      <c r="J19" s="41"/>
      <c r="K19" s="118"/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/>
      <c r="B20" s="110"/>
      <c r="C20" s="41"/>
      <c r="D20" s="41"/>
      <c r="E20" s="41"/>
      <c r="F20" s="118"/>
      <c r="G20" s="111"/>
      <c r="H20" s="41"/>
      <c r="I20" s="41"/>
      <c r="J20" s="41"/>
      <c r="K20" s="118"/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/>
      <c r="B21" s="110"/>
      <c r="C21" s="41"/>
      <c r="D21" s="41"/>
      <c r="E21" s="41"/>
      <c r="F21" s="118"/>
      <c r="G21" s="111"/>
      <c r="H21" s="41"/>
      <c r="I21" s="41"/>
      <c r="J21" s="41"/>
      <c r="K21" s="118"/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/>
      <c r="B22" s="110"/>
      <c r="C22" s="41"/>
      <c r="D22" s="41"/>
      <c r="E22" s="41"/>
      <c r="F22" s="118"/>
      <c r="G22" s="111"/>
      <c r="H22" s="41"/>
      <c r="I22" s="41"/>
      <c r="J22" s="41"/>
      <c r="K22" s="118"/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.75" hidden="false" customHeight="false" outlineLevel="0" collapsed="false">
      <c r="A23" s="112"/>
      <c r="B23" s="113"/>
      <c r="C23" s="91"/>
      <c r="D23" s="91"/>
      <c r="E23" s="91"/>
      <c r="F23" s="114"/>
      <c r="G23" s="115"/>
      <c r="H23" s="91"/>
      <c r="I23" s="91"/>
      <c r="J23" s="91"/>
      <c r="K23" s="114"/>
      <c r="L23" s="90"/>
      <c r="M23" s="91"/>
      <c r="N23" s="91"/>
      <c r="O23" s="91"/>
      <c r="P23" s="114"/>
      <c r="Q23" s="90"/>
      <c r="R23" s="91"/>
      <c r="S23" s="91"/>
      <c r="T23" s="91"/>
      <c r="U23" s="114"/>
      <c r="V23" s="90"/>
      <c r="W23" s="91"/>
      <c r="X23" s="91"/>
      <c r="Y23" s="91"/>
      <c r="Z23" s="92"/>
    </row>
    <row r="25" customFormat="false" ht="15" hidden="false" customHeight="false" outlineLevel="0" collapsed="false">
      <c r="A25" s="97" t="s">
        <v>168</v>
      </c>
      <c r="B25" s="97"/>
      <c r="C25" s="97"/>
      <c r="D25" s="97"/>
      <c r="E25" s="97"/>
      <c r="F25" s="97"/>
      <c r="G25" s="97"/>
      <c r="H25" s="97"/>
      <c r="I25" s="97"/>
      <c r="J25" s="97"/>
      <c r="L25" s="97" t="s">
        <v>171</v>
      </c>
      <c r="M25" s="97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6" t="s">
        <v>176</v>
      </c>
      <c r="N26" s="116"/>
      <c r="O26" s="116"/>
      <c r="P26" s="116"/>
      <c r="Q26" s="116"/>
    </row>
    <row r="27" customFormat="false" ht="1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6"/>
      <c r="N27" s="116"/>
      <c r="O27" s="116"/>
      <c r="P27" s="116"/>
      <c r="Q27" s="116"/>
    </row>
    <row r="28" customFormat="false" ht="15" hidden="false" customHeight="false" outlineLevel="0" collapsed="false">
      <c r="B28" s="41" t="s">
        <v>216</v>
      </c>
      <c r="C28" s="41" t="n">
        <v>0.2</v>
      </c>
      <c r="D28" s="41" t="n">
        <v>0.5</v>
      </c>
      <c r="E28" s="41" t="n">
        <v>9</v>
      </c>
      <c r="G28" s="41"/>
      <c r="H28" s="41"/>
      <c r="I28" s="41"/>
      <c r="J28" s="41"/>
      <c r="L28" s="31"/>
      <c r="M28" s="1"/>
    </row>
    <row r="29" customFormat="false" ht="15" hidden="false" customHeight="false" outlineLevel="0" collapsed="false">
      <c r="B29" s="41" t="s">
        <v>52</v>
      </c>
      <c r="C29" s="41" t="n">
        <v>0.2</v>
      </c>
      <c r="D29" s="41" t="n">
        <v>0.8</v>
      </c>
      <c r="E29" s="41" t="n">
        <v>0</v>
      </c>
      <c r="G29" s="41"/>
      <c r="H29" s="41"/>
      <c r="I29" s="41"/>
      <c r="J29" s="41"/>
      <c r="L29" s="31"/>
      <c r="M29" s="1"/>
    </row>
    <row r="30" customFormat="false" ht="15" hidden="false" customHeight="false" outlineLevel="0" collapsed="false">
      <c r="B30" s="41" t="s">
        <v>50</v>
      </c>
      <c r="C30" s="41" t="n">
        <v>0.2</v>
      </c>
      <c r="D30" s="41" t="n">
        <v>0.8</v>
      </c>
      <c r="E30" s="41" t="n">
        <v>0</v>
      </c>
      <c r="G30" s="41"/>
      <c r="H30" s="41"/>
      <c r="I30" s="41"/>
      <c r="J30" s="41"/>
      <c r="L30" s="31"/>
      <c r="M30" s="1"/>
    </row>
    <row r="31" customFormat="false" ht="15" hidden="false" customHeight="false" outlineLevel="0" collapsed="false">
      <c r="B31" s="41" t="s">
        <v>51</v>
      </c>
      <c r="C31" s="41" t="n">
        <v>0.2</v>
      </c>
      <c r="D31" s="41" t="n">
        <v>0.8</v>
      </c>
      <c r="E31" s="41" t="n">
        <v>0</v>
      </c>
      <c r="G31" s="41"/>
      <c r="H31" s="41"/>
      <c r="I31" s="41"/>
      <c r="J31" s="41"/>
      <c r="L31" s="31"/>
      <c r="M31" s="1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466">
      <formula>MAX($E$9:$E$23)</formula>
    </cfRule>
  </conditionalFormatting>
  <conditionalFormatting sqref="M16">
    <cfRule type="expression" priority="3" aboveAverage="0" equalAverage="0" bottom="0" percent="0" rank="0" text="" dxfId="467">
      <formula>LEN(TRIM(M16))=0</formula>
    </cfRule>
    <cfRule type="cellIs" priority="4" operator="equal" aboveAverage="0" equalAverage="0" bottom="0" percent="0" rank="0" text="" dxfId="468">
      <formula>0</formula>
    </cfRule>
  </conditionalFormatting>
  <conditionalFormatting sqref="M16">
    <cfRule type="expression" priority="5" aboveAverage="0" equalAverage="0" bottom="0" percent="0" rank="0" text="" dxfId="469">
      <formula>LEN(TRIM(M16))=0</formula>
    </cfRule>
    <cfRule type="cellIs" priority="6" operator="equal" aboveAverage="0" equalAverage="0" bottom="0" percent="0" rank="0" text="" dxfId="47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9.14453125" defaultRowHeight="15" zeroHeight="false" outlineLevelRow="0" outlineLevelCol="0"/>
  <cols>
    <col collapsed="false" customWidth="true" hidden="false" outlineLevel="0" max="2" min="1" style="88" width="8.43"/>
    <col collapsed="false" customWidth="true" hidden="false" outlineLevel="0" max="3" min="3" style="88" width="10.57"/>
    <col collapsed="false" customWidth="true" hidden="false" outlineLevel="0" max="4" min="4" style="88" width="8.43"/>
    <col collapsed="false" customWidth="true" hidden="false" outlineLevel="0" max="5" min="5" style="88" width="10.71"/>
    <col collapsed="false" customWidth="true" hidden="false" outlineLevel="0" max="6" min="6" style="88" width="8.85"/>
    <col collapsed="false" customWidth="true" hidden="false" outlineLevel="0" max="7" min="7" style="88" width="17"/>
    <col collapsed="false" customWidth="true" hidden="false" outlineLevel="0" max="8" min="8" style="88" width="9"/>
    <col collapsed="false" customWidth="true" hidden="false" outlineLevel="0" max="9" min="9" style="88" width="8.43"/>
    <col collapsed="false" customWidth="true" hidden="false" outlineLevel="0" max="10" min="10" style="88" width="10.14"/>
    <col collapsed="false" customWidth="true" hidden="false" outlineLevel="0" max="11" min="11" style="88" width="12.14"/>
    <col collapsed="false" customWidth="true" hidden="false" outlineLevel="0" max="12" min="12" style="88" width="19.14"/>
    <col collapsed="false" customWidth="true" hidden="false" outlineLevel="0" max="13" min="13" style="88" width="10.28"/>
    <col collapsed="false" customWidth="true" hidden="false" outlineLevel="0" max="14" min="14" style="88" width="8.43"/>
    <col collapsed="false" customWidth="true" hidden="false" outlineLevel="0" max="15" min="15" style="88" width="10.14"/>
    <col collapsed="false" customWidth="true" hidden="false" outlineLevel="0" max="16" min="16" style="88" width="9.85"/>
    <col collapsed="false" customWidth="true" hidden="false" outlineLevel="0" max="17" min="17" style="88" width="15.85"/>
    <col collapsed="false" customWidth="true" hidden="false" outlineLevel="0" max="19" min="18" style="88" width="8.43"/>
    <col collapsed="false" customWidth="true" hidden="false" outlineLevel="0" max="20" min="20" style="88" width="10.28"/>
    <col collapsed="false" customWidth="true" hidden="false" outlineLevel="0" max="21" min="21" style="88" width="17"/>
    <col collapsed="false" customWidth="true" hidden="false" outlineLevel="0" max="24" min="22" style="88" width="8.43"/>
    <col collapsed="false" customWidth="true" hidden="false" outlineLevel="0" max="25" min="25" style="88" width="11.14"/>
    <col collapsed="false" customWidth="true" hidden="false" outlineLevel="0" max="26" min="26" style="88" width="7.85"/>
    <col collapsed="false" customWidth="true" hidden="false" outlineLevel="0" max="27" min="27" style="88" width="15.71"/>
    <col collapsed="false" customWidth="true" hidden="false" outlineLevel="0" max="31" min="28" style="88" width="7.85"/>
    <col collapsed="false" customWidth="false" hidden="false" outlineLevel="0" max="1024" min="32" style="88" width="9.14"/>
  </cols>
  <sheetData>
    <row r="1" customFormat="false" ht="15" hidden="false" customHeight="false" outlineLevel="0" collapsed="false">
      <c r="F1" s="97" t="s">
        <v>98</v>
      </c>
      <c r="G1" s="97"/>
      <c r="H1" s="97"/>
      <c r="I1" s="97"/>
      <c r="J1" s="97"/>
      <c r="K1" s="97"/>
      <c r="L1" s="2" t="s">
        <v>99</v>
      </c>
      <c r="M1" s="17" t="s">
        <v>100</v>
      </c>
      <c r="N1" s="98" t="s">
        <v>101</v>
      </c>
      <c r="T1" s="98" t="s">
        <v>102</v>
      </c>
    </row>
    <row r="2" customFormat="false" ht="15" hidden="false" customHeight="false" outlineLevel="0" collapsed="false">
      <c r="A2" s="99" t="s">
        <v>103</v>
      </c>
      <c r="B2" s="100" t="s">
        <v>104</v>
      </c>
      <c r="C2" s="41" t="s">
        <v>217</v>
      </c>
      <c r="D2" s="100" t="s">
        <v>106</v>
      </c>
      <c r="E2" s="41" t="n">
        <v>1</v>
      </c>
      <c r="F2" s="121" t="s">
        <v>107</v>
      </c>
      <c r="G2" s="122" t="s">
        <v>108</v>
      </c>
      <c r="M2" s="17" t="s">
        <v>109</v>
      </c>
      <c r="N2" s="122" t="s">
        <v>110</v>
      </c>
      <c r="O2" s="76"/>
      <c r="P2" s="76"/>
      <c r="Q2" s="17" t="s">
        <v>111</v>
      </c>
      <c r="R2" s="122" t="s">
        <v>112</v>
      </c>
      <c r="S2" s="76"/>
      <c r="T2" s="17" t="s">
        <v>113</v>
      </c>
      <c r="U2" s="88" t="s">
        <v>114</v>
      </c>
    </row>
    <row r="3" customFormat="false" ht="15" hidden="false" customHeight="false" outlineLevel="0" collapsed="false">
      <c r="B3" s="100" t="s">
        <v>115</v>
      </c>
      <c r="C3" s="41" t="n">
        <v>90</v>
      </c>
      <c r="D3" s="100" t="s">
        <v>116</v>
      </c>
      <c r="E3" s="41" t="n">
        <v>1</v>
      </c>
      <c r="F3" s="2" t="s">
        <v>117</v>
      </c>
      <c r="G3" s="122" t="s">
        <v>118</v>
      </c>
      <c r="I3" s="99" t="s">
        <v>119</v>
      </c>
      <c r="J3" s="98" t="s">
        <v>120</v>
      </c>
      <c r="M3" s="17" t="s">
        <v>121</v>
      </c>
      <c r="N3" s="122" t="s">
        <v>122</v>
      </c>
      <c r="O3" s="76"/>
      <c r="P3" s="76"/>
      <c r="Q3" s="17" t="s">
        <v>123</v>
      </c>
      <c r="R3" s="122" t="s">
        <v>124</v>
      </c>
      <c r="S3" s="76"/>
      <c r="T3" s="17" t="s">
        <v>125</v>
      </c>
      <c r="U3" s="88" t="s">
        <v>126</v>
      </c>
    </row>
    <row r="4" customFormat="false" ht="15" hidden="false" customHeight="false" outlineLevel="0" collapsed="false">
      <c r="B4" s="100" t="s">
        <v>127</v>
      </c>
      <c r="C4" s="41" t="n">
        <v>5E-005</v>
      </c>
      <c r="D4" s="100" t="s">
        <v>128</v>
      </c>
      <c r="E4" s="41" t="n">
        <v>1</v>
      </c>
      <c r="F4" s="101" t="s">
        <v>129</v>
      </c>
      <c r="G4" s="98" t="s">
        <v>130</v>
      </c>
      <c r="I4" s="99" t="s">
        <v>131</v>
      </c>
      <c r="J4" s="102" t="s">
        <v>132</v>
      </c>
      <c r="M4" s="17" t="s">
        <v>14</v>
      </c>
      <c r="N4" s="122" t="s">
        <v>133</v>
      </c>
      <c r="O4" s="76"/>
      <c r="P4" s="76"/>
      <c r="Q4" s="17" t="s">
        <v>134</v>
      </c>
      <c r="R4" s="122" t="s">
        <v>135</v>
      </c>
      <c r="S4" s="76"/>
      <c r="T4" s="17" t="s">
        <v>136</v>
      </c>
      <c r="U4" s="88" t="s">
        <v>137</v>
      </c>
    </row>
    <row r="5" customFormat="false" ht="15" hidden="false" customHeight="false" outlineLevel="0" collapsed="false">
      <c r="B5" s="103" t="s">
        <v>138</v>
      </c>
      <c r="F5" s="2" t="s">
        <v>117</v>
      </c>
      <c r="G5" s="98" t="s">
        <v>139</v>
      </c>
      <c r="I5" s="88" t="s">
        <v>117</v>
      </c>
      <c r="J5" s="102" t="s">
        <v>140</v>
      </c>
      <c r="M5" s="17" t="s">
        <v>15</v>
      </c>
      <c r="N5" s="122" t="s">
        <v>141</v>
      </c>
      <c r="O5" s="76"/>
      <c r="P5" s="76"/>
      <c r="Q5" s="17" t="s">
        <v>142</v>
      </c>
      <c r="R5" s="122" t="s">
        <v>143</v>
      </c>
      <c r="S5" s="76"/>
      <c r="T5" s="17" t="s">
        <v>144</v>
      </c>
      <c r="U5" s="88" t="s">
        <v>145</v>
      </c>
    </row>
    <row r="6" customFormat="false" ht="15.75" hidden="false" customHeight="false" outlineLevel="0" collapsed="false">
      <c r="A6" s="104" t="s">
        <v>146</v>
      </c>
      <c r="J6" s="102" t="s">
        <v>147</v>
      </c>
      <c r="M6" s="25" t="s">
        <v>148</v>
      </c>
      <c r="N6" s="98" t="s">
        <v>149</v>
      </c>
    </row>
    <row r="7" customFormat="false" ht="15.75" hidden="false" customHeight="false" outlineLevel="0" collapsed="false">
      <c r="B7" s="105" t="s">
        <v>150</v>
      </c>
      <c r="C7" s="105"/>
      <c r="D7" s="105"/>
      <c r="E7" s="105"/>
      <c r="F7" s="105"/>
      <c r="G7" s="106" t="s">
        <v>151</v>
      </c>
      <c r="H7" s="106"/>
      <c r="I7" s="106"/>
      <c r="J7" s="106"/>
      <c r="K7" s="106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155</v>
      </c>
      <c r="B8" s="107" t="s">
        <v>156</v>
      </c>
      <c r="C8" s="17" t="s">
        <v>157</v>
      </c>
      <c r="D8" s="17" t="s">
        <v>158</v>
      </c>
      <c r="E8" s="17" t="s">
        <v>159</v>
      </c>
      <c r="F8" s="108" t="s">
        <v>160</v>
      </c>
      <c r="G8" s="109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5" hidden="false" customHeight="false" outlineLevel="0" collapsed="false">
      <c r="A9" s="87" t="n">
        <v>1</v>
      </c>
      <c r="B9" s="110" t="s">
        <v>150</v>
      </c>
      <c r="C9" s="41" t="n">
        <v>30</v>
      </c>
      <c r="D9" s="41" t="n">
        <v>0</v>
      </c>
      <c r="E9" s="41" t="n">
        <v>90</v>
      </c>
      <c r="F9" s="118" t="s">
        <v>205</v>
      </c>
      <c r="G9" s="31" t="s">
        <v>218</v>
      </c>
      <c r="H9" s="41" t="n">
        <v>1</v>
      </c>
      <c r="I9" s="41" t="n">
        <v>-80</v>
      </c>
      <c r="J9" s="41" t="n">
        <v>50</v>
      </c>
      <c r="K9" s="118" t="s">
        <v>205</v>
      </c>
      <c r="L9" s="31"/>
      <c r="M9" s="41"/>
      <c r="N9" s="41"/>
      <c r="O9" s="41"/>
      <c r="P9" s="118"/>
      <c r="Q9" s="31"/>
      <c r="R9" s="41"/>
      <c r="S9" s="41"/>
      <c r="T9" s="41"/>
      <c r="U9" s="118"/>
      <c r="V9" s="31"/>
      <c r="W9" s="41"/>
      <c r="X9" s="41"/>
      <c r="Y9" s="41"/>
      <c r="Z9" s="32"/>
    </row>
    <row r="10" customFormat="false" ht="15" hidden="false" customHeight="false" outlineLevel="0" collapsed="false">
      <c r="A10" s="87" t="n">
        <v>1</v>
      </c>
      <c r="B10" s="110" t="s">
        <v>150</v>
      </c>
      <c r="C10" s="41" t="n">
        <v>30</v>
      </c>
      <c r="D10" s="41" t="n">
        <v>0</v>
      </c>
      <c r="E10" s="41" t="n">
        <v>90</v>
      </c>
      <c r="F10" s="118" t="s">
        <v>205</v>
      </c>
      <c r="G10" s="31" t="s">
        <v>208</v>
      </c>
      <c r="H10" s="41" t="n">
        <v>1</v>
      </c>
      <c r="I10" s="41" t="n">
        <v>-80</v>
      </c>
      <c r="J10" s="41" t="n">
        <v>50</v>
      </c>
      <c r="K10" s="118" t="s">
        <v>205</v>
      </c>
      <c r="L10" s="31"/>
      <c r="M10" s="41"/>
      <c r="N10" s="41"/>
      <c r="O10" s="41"/>
      <c r="P10" s="118"/>
      <c r="Q10" s="31"/>
      <c r="R10" s="41"/>
      <c r="S10" s="41"/>
      <c r="T10" s="41"/>
      <c r="U10" s="118"/>
      <c r="V10" s="31"/>
      <c r="W10" s="41"/>
      <c r="X10" s="41"/>
      <c r="Y10" s="41"/>
      <c r="Z10" s="32"/>
    </row>
    <row r="11" customFormat="false" ht="15" hidden="false" customHeight="false" outlineLevel="0" collapsed="false">
      <c r="A11" s="87" t="n">
        <v>1</v>
      </c>
      <c r="B11" s="110" t="s">
        <v>150</v>
      </c>
      <c r="C11" s="41" t="n">
        <v>30</v>
      </c>
      <c r="D11" s="41" t="n">
        <v>0</v>
      </c>
      <c r="E11" s="41" t="n">
        <v>90</v>
      </c>
      <c r="F11" s="118" t="s">
        <v>202</v>
      </c>
      <c r="G11" s="31" t="s">
        <v>199</v>
      </c>
      <c r="H11" s="41" t="n">
        <v>1</v>
      </c>
      <c r="I11" s="41" t="n">
        <v>-80</v>
      </c>
      <c r="J11" s="41" t="n">
        <v>50</v>
      </c>
      <c r="K11" s="118" t="s">
        <v>186</v>
      </c>
      <c r="L11" s="28"/>
      <c r="M11" s="41"/>
      <c r="N11" s="41"/>
      <c r="O11" s="41"/>
      <c r="P11" s="118"/>
      <c r="Q11" s="31"/>
      <c r="R11" s="41"/>
      <c r="S11" s="41"/>
      <c r="T11" s="41"/>
      <c r="U11" s="118"/>
      <c r="V11" s="31"/>
      <c r="W11" s="41"/>
      <c r="X11" s="41"/>
      <c r="Y11" s="41"/>
      <c r="Z11" s="32"/>
    </row>
    <row r="12" customFormat="false" ht="15" hidden="false" customHeight="false" outlineLevel="0" collapsed="false">
      <c r="A12" s="87" t="n">
        <v>1</v>
      </c>
      <c r="B12" s="110" t="s">
        <v>150</v>
      </c>
      <c r="C12" s="41" t="n">
        <v>30</v>
      </c>
      <c r="D12" s="41" t="n">
        <v>0</v>
      </c>
      <c r="E12" s="41" t="n">
        <v>90</v>
      </c>
      <c r="F12" s="118" t="s">
        <v>202</v>
      </c>
      <c r="G12" s="31" t="s">
        <v>196</v>
      </c>
      <c r="H12" s="41" t="n">
        <v>1</v>
      </c>
      <c r="I12" s="41" t="n">
        <v>-80</v>
      </c>
      <c r="J12" s="41" t="n">
        <v>50</v>
      </c>
      <c r="K12" s="118" t="s">
        <v>186</v>
      </c>
      <c r="L12" s="28"/>
      <c r="M12" s="41"/>
      <c r="N12" s="41"/>
      <c r="O12" s="41"/>
      <c r="P12" s="118"/>
      <c r="Q12" s="31"/>
      <c r="R12" s="41"/>
      <c r="S12" s="41"/>
      <c r="T12" s="41"/>
      <c r="U12" s="118"/>
      <c r="V12" s="31"/>
      <c r="W12" s="41"/>
      <c r="X12" s="41"/>
      <c r="Y12" s="41"/>
      <c r="Z12" s="32"/>
    </row>
    <row r="13" customFormat="false" ht="15" hidden="false" customHeight="false" outlineLevel="0" collapsed="false">
      <c r="A13" s="87" t="n">
        <v>1</v>
      </c>
      <c r="B13" s="110" t="s">
        <v>150</v>
      </c>
      <c r="C13" s="41" t="n">
        <v>30</v>
      </c>
      <c r="D13" s="41" t="n">
        <v>0</v>
      </c>
      <c r="E13" s="41" t="n">
        <v>90</v>
      </c>
      <c r="F13" s="118" t="s">
        <v>202</v>
      </c>
      <c r="G13" s="31" t="s">
        <v>191</v>
      </c>
      <c r="H13" s="41" t="n">
        <v>1</v>
      </c>
      <c r="I13" s="41" t="n">
        <v>-80</v>
      </c>
      <c r="J13" s="41" t="n">
        <v>50</v>
      </c>
      <c r="K13" s="118" t="s">
        <v>186</v>
      </c>
      <c r="L13" s="31"/>
      <c r="M13" s="41"/>
      <c r="N13" s="41"/>
      <c r="O13" s="41"/>
      <c r="P13" s="118"/>
      <c r="Q13" s="31"/>
      <c r="R13" s="41"/>
      <c r="S13" s="41"/>
      <c r="T13" s="41"/>
      <c r="U13" s="118"/>
      <c r="V13" s="31"/>
      <c r="W13" s="41"/>
      <c r="X13" s="41"/>
      <c r="Y13" s="41"/>
      <c r="Z13" s="32"/>
    </row>
    <row r="14" customFormat="false" ht="15" hidden="false" customHeight="false" outlineLevel="0" collapsed="false">
      <c r="A14" s="87" t="n">
        <v>1</v>
      </c>
      <c r="B14" s="110" t="s">
        <v>150</v>
      </c>
      <c r="C14" s="41" t="n">
        <v>30</v>
      </c>
      <c r="D14" s="41" t="n">
        <v>0</v>
      </c>
      <c r="E14" s="41" t="n">
        <v>90</v>
      </c>
      <c r="F14" s="118" t="s">
        <v>205</v>
      </c>
      <c r="G14" s="31" t="s">
        <v>194</v>
      </c>
      <c r="H14" s="41" t="n">
        <v>1</v>
      </c>
      <c r="I14" s="41" t="n">
        <v>-80</v>
      </c>
      <c r="J14" s="41" t="n">
        <v>50</v>
      </c>
      <c r="K14" s="118" t="s">
        <v>205</v>
      </c>
      <c r="L14" s="31"/>
      <c r="M14" s="41"/>
      <c r="N14" s="41"/>
      <c r="O14" s="41"/>
      <c r="P14" s="118"/>
      <c r="Q14" s="31"/>
      <c r="R14" s="41"/>
      <c r="S14" s="41"/>
      <c r="T14" s="41"/>
      <c r="U14" s="118"/>
      <c r="V14" s="31"/>
      <c r="W14" s="41"/>
      <c r="X14" s="41"/>
      <c r="Y14" s="41"/>
      <c r="Z14" s="32"/>
    </row>
    <row r="15" customFormat="false" ht="15" hidden="false" customHeight="false" outlineLevel="0" collapsed="false">
      <c r="A15" s="87" t="n">
        <v>2</v>
      </c>
      <c r="B15" s="110" t="s">
        <v>150</v>
      </c>
      <c r="C15" s="41" t="n">
        <v>30</v>
      </c>
      <c r="D15" s="41" t="n">
        <v>0</v>
      </c>
      <c r="E15" s="41" t="n">
        <v>90</v>
      </c>
      <c r="F15" s="118" t="s">
        <v>202</v>
      </c>
      <c r="G15" s="31" t="s">
        <v>187</v>
      </c>
      <c r="H15" s="41" t="n">
        <v>1</v>
      </c>
      <c r="I15" s="41" t="n">
        <v>-80</v>
      </c>
      <c r="J15" s="41" t="n">
        <v>50</v>
      </c>
      <c r="K15" s="118" t="s">
        <v>165</v>
      </c>
      <c r="L15" s="28"/>
      <c r="M15" s="41"/>
      <c r="N15" s="41"/>
      <c r="O15" s="41"/>
      <c r="P15" s="118"/>
      <c r="Q15" s="31"/>
      <c r="R15" s="41"/>
      <c r="S15" s="41"/>
      <c r="T15" s="41"/>
      <c r="U15" s="118"/>
      <c r="V15" s="31"/>
      <c r="W15" s="41"/>
      <c r="X15" s="41"/>
      <c r="Y15" s="41"/>
      <c r="Z15" s="32"/>
    </row>
    <row r="16" customFormat="false" ht="15" hidden="false" customHeight="false" outlineLevel="0" collapsed="false">
      <c r="A16" s="87" t="n">
        <v>1</v>
      </c>
      <c r="B16" s="110" t="s">
        <v>150</v>
      </c>
      <c r="C16" s="41" t="n">
        <v>30</v>
      </c>
      <c r="D16" s="41" t="n">
        <v>0</v>
      </c>
      <c r="E16" s="41" t="n">
        <v>90</v>
      </c>
      <c r="F16" s="118" t="s">
        <v>202</v>
      </c>
      <c r="G16" s="31" t="s">
        <v>189</v>
      </c>
      <c r="H16" s="41" t="n">
        <v>1</v>
      </c>
      <c r="I16" s="41" t="n">
        <v>-80</v>
      </c>
      <c r="J16" s="41" t="n">
        <v>50</v>
      </c>
      <c r="K16" s="118" t="s">
        <v>202</v>
      </c>
      <c r="L16" s="28"/>
      <c r="M16" s="41"/>
      <c r="N16" s="41"/>
      <c r="O16" s="41"/>
      <c r="P16" s="118"/>
      <c r="Q16" s="31"/>
      <c r="R16" s="41"/>
      <c r="S16" s="41"/>
      <c r="T16" s="41"/>
      <c r="U16" s="118"/>
      <c r="V16" s="31"/>
      <c r="W16" s="41"/>
      <c r="X16" s="41"/>
      <c r="Y16" s="41"/>
      <c r="Z16" s="32"/>
    </row>
    <row r="17" customFormat="false" ht="15" hidden="false" customHeight="false" outlineLevel="0" collapsed="false">
      <c r="A17" s="87" t="n">
        <v>1</v>
      </c>
      <c r="B17" s="110" t="s">
        <v>150</v>
      </c>
      <c r="C17" s="41" t="n">
        <v>30</v>
      </c>
      <c r="D17" s="41" t="n">
        <v>0</v>
      </c>
      <c r="E17" s="41" t="n">
        <v>90</v>
      </c>
      <c r="F17" s="118" t="s">
        <v>202</v>
      </c>
      <c r="G17" s="31" t="s">
        <v>201</v>
      </c>
      <c r="H17" s="41" t="n">
        <v>1</v>
      </c>
      <c r="I17" s="41" t="n">
        <v>-80</v>
      </c>
      <c r="J17" s="41" t="n">
        <v>50</v>
      </c>
      <c r="K17" s="118" t="s">
        <v>202</v>
      </c>
      <c r="L17" s="31"/>
      <c r="M17" s="41"/>
      <c r="N17" s="41"/>
      <c r="O17" s="41"/>
      <c r="P17" s="118"/>
      <c r="Q17" s="31"/>
      <c r="R17" s="41"/>
      <c r="S17" s="41"/>
      <c r="T17" s="41"/>
      <c r="U17" s="118"/>
      <c r="V17" s="31"/>
      <c r="W17" s="41"/>
      <c r="X17" s="41"/>
      <c r="Y17" s="41"/>
      <c r="Z17" s="32"/>
    </row>
    <row r="18" customFormat="false" ht="15" hidden="false" customHeight="false" outlineLevel="0" collapsed="false">
      <c r="A18" s="87" t="n">
        <v>1</v>
      </c>
      <c r="B18" s="110" t="s">
        <v>150</v>
      </c>
      <c r="C18" s="41" t="n">
        <v>30</v>
      </c>
      <c r="D18" s="41" t="n">
        <v>0</v>
      </c>
      <c r="E18" s="41" t="n">
        <v>90</v>
      </c>
      <c r="F18" s="118" t="s">
        <v>202</v>
      </c>
      <c r="G18" s="31" t="s">
        <v>200</v>
      </c>
      <c r="H18" s="41" t="n">
        <v>1</v>
      </c>
      <c r="I18" s="41" t="n">
        <v>-80</v>
      </c>
      <c r="J18" s="41" t="n">
        <v>50</v>
      </c>
      <c r="K18" s="118" t="s">
        <v>202</v>
      </c>
      <c r="L18" s="31"/>
      <c r="M18" s="41"/>
      <c r="N18" s="41"/>
      <c r="O18" s="41"/>
      <c r="P18" s="118"/>
      <c r="Q18" s="31"/>
      <c r="R18" s="41"/>
      <c r="S18" s="41"/>
      <c r="T18" s="41"/>
      <c r="U18" s="118"/>
      <c r="V18" s="31"/>
      <c r="W18" s="41"/>
      <c r="X18" s="41"/>
      <c r="Y18" s="41"/>
      <c r="Z18" s="32"/>
    </row>
    <row r="19" customFormat="false" ht="15" hidden="false" customHeight="false" outlineLevel="0" collapsed="false">
      <c r="A19" s="87" t="n">
        <v>1</v>
      </c>
      <c r="B19" s="110" t="s">
        <v>150</v>
      </c>
      <c r="C19" s="41" t="n">
        <v>30</v>
      </c>
      <c r="D19" s="41" t="n">
        <v>0</v>
      </c>
      <c r="E19" s="41" t="n">
        <v>90</v>
      </c>
      <c r="F19" s="118" t="s">
        <v>202</v>
      </c>
      <c r="G19" s="31" t="s">
        <v>219</v>
      </c>
      <c r="H19" s="41" t="n">
        <v>1</v>
      </c>
      <c r="I19" s="41" t="n">
        <v>-80</v>
      </c>
      <c r="J19" s="41" t="n">
        <v>50</v>
      </c>
      <c r="K19" s="118" t="s">
        <v>202</v>
      </c>
      <c r="L19" s="31"/>
      <c r="M19" s="41"/>
      <c r="N19" s="41"/>
      <c r="O19" s="41"/>
      <c r="P19" s="118"/>
      <c r="Q19" s="31"/>
      <c r="R19" s="41"/>
      <c r="S19" s="41"/>
      <c r="T19" s="41"/>
      <c r="U19" s="118"/>
      <c r="V19" s="31"/>
      <c r="W19" s="41"/>
      <c r="X19" s="41"/>
      <c r="Y19" s="41"/>
      <c r="Z19" s="32"/>
    </row>
    <row r="20" customFormat="false" ht="15" hidden="false" customHeight="false" outlineLevel="0" collapsed="false">
      <c r="A20" s="87" t="n">
        <v>1</v>
      </c>
      <c r="B20" s="110" t="s">
        <v>150</v>
      </c>
      <c r="C20" s="41" t="n">
        <v>30</v>
      </c>
      <c r="D20" s="41" t="n">
        <v>0</v>
      </c>
      <c r="E20" s="41" t="n">
        <v>90</v>
      </c>
      <c r="F20" s="118" t="s">
        <v>202</v>
      </c>
      <c r="G20" s="31" t="s">
        <v>164</v>
      </c>
      <c r="H20" s="41" t="n">
        <v>1</v>
      </c>
      <c r="I20" s="41" t="n">
        <v>-80</v>
      </c>
      <c r="J20" s="41" t="n">
        <v>50</v>
      </c>
      <c r="K20" s="118" t="s">
        <v>202</v>
      </c>
      <c r="L20" s="31"/>
      <c r="M20" s="41"/>
      <c r="N20" s="41"/>
      <c r="O20" s="41"/>
      <c r="P20" s="118"/>
      <c r="Q20" s="31"/>
      <c r="R20" s="41"/>
      <c r="S20" s="41"/>
      <c r="T20" s="41"/>
      <c r="U20" s="118"/>
      <c r="V20" s="31"/>
      <c r="W20" s="41"/>
      <c r="X20" s="41"/>
      <c r="Y20" s="41"/>
      <c r="Z20" s="32"/>
    </row>
    <row r="21" customFormat="false" ht="15" hidden="false" customHeight="false" outlineLevel="0" collapsed="false">
      <c r="A21" s="87" t="n">
        <v>1</v>
      </c>
      <c r="B21" s="110" t="s">
        <v>150</v>
      </c>
      <c r="C21" s="41" t="n">
        <v>30</v>
      </c>
      <c r="D21" s="41" t="n">
        <v>0</v>
      </c>
      <c r="E21" s="41" t="n">
        <v>90</v>
      </c>
      <c r="F21" s="118" t="s">
        <v>202</v>
      </c>
      <c r="G21" s="31" t="s">
        <v>166</v>
      </c>
      <c r="H21" s="41" t="n">
        <v>1</v>
      </c>
      <c r="I21" s="41" t="n">
        <v>-80</v>
      </c>
      <c r="J21" s="41" t="n">
        <v>50</v>
      </c>
      <c r="K21" s="118" t="s">
        <v>202</v>
      </c>
      <c r="L21" s="31"/>
      <c r="M21" s="41"/>
      <c r="N21" s="41"/>
      <c r="O21" s="41"/>
      <c r="P21" s="118"/>
      <c r="Q21" s="31"/>
      <c r="R21" s="41"/>
      <c r="S21" s="41"/>
      <c r="T21" s="41"/>
      <c r="U21" s="118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87" t="n">
        <v>1</v>
      </c>
      <c r="B22" s="110" t="s">
        <v>150</v>
      </c>
      <c r="C22" s="41" t="n">
        <v>30</v>
      </c>
      <c r="D22" s="41" t="n">
        <v>0</v>
      </c>
      <c r="E22" s="41" t="n">
        <v>90</v>
      </c>
      <c r="F22" s="118" t="s">
        <v>202</v>
      </c>
      <c r="G22" s="31" t="s">
        <v>167</v>
      </c>
      <c r="H22" s="41" t="n">
        <v>1</v>
      </c>
      <c r="I22" s="41" t="n">
        <v>-80</v>
      </c>
      <c r="J22" s="41" t="n">
        <v>50</v>
      </c>
      <c r="K22" s="118" t="s">
        <v>202</v>
      </c>
      <c r="L22" s="31"/>
      <c r="M22" s="41"/>
      <c r="N22" s="41"/>
      <c r="O22" s="41"/>
      <c r="P22" s="118"/>
      <c r="Q22" s="31"/>
      <c r="R22" s="41"/>
      <c r="S22" s="41"/>
      <c r="T22" s="41"/>
      <c r="U22" s="118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87" t="n">
        <v>1</v>
      </c>
      <c r="B23" s="110" t="s">
        <v>150</v>
      </c>
      <c r="C23" s="41" t="n">
        <v>30</v>
      </c>
      <c r="D23" s="41" t="n">
        <v>0</v>
      </c>
      <c r="E23" s="41" t="n">
        <v>90</v>
      </c>
      <c r="F23" s="118" t="s">
        <v>163</v>
      </c>
      <c r="G23" s="31" t="s">
        <v>179</v>
      </c>
      <c r="H23" s="41" t="n">
        <v>1</v>
      </c>
      <c r="I23" s="41" t="n">
        <v>-80</v>
      </c>
      <c r="J23" s="41" t="n">
        <v>50</v>
      </c>
      <c r="K23" s="118" t="s">
        <v>163</v>
      </c>
      <c r="L23" s="28"/>
      <c r="M23" s="41"/>
      <c r="N23" s="41"/>
      <c r="O23" s="41"/>
      <c r="P23" s="118"/>
      <c r="Q23" s="31"/>
      <c r="R23" s="41"/>
      <c r="S23" s="41"/>
      <c r="T23" s="41"/>
      <c r="U23" s="118"/>
      <c r="V23" s="31"/>
      <c r="W23" s="41"/>
      <c r="X23" s="41"/>
      <c r="Y23" s="41"/>
      <c r="Z23" s="32"/>
    </row>
    <row r="24" customFormat="false" ht="15" hidden="false" customHeight="false" outlineLevel="0" collapsed="false">
      <c r="A24" s="87" t="n">
        <v>4</v>
      </c>
      <c r="B24" s="110" t="s">
        <v>150</v>
      </c>
      <c r="C24" s="41" t="n">
        <v>30</v>
      </c>
      <c r="D24" s="41" t="n">
        <v>0</v>
      </c>
      <c r="E24" s="41" t="n">
        <v>90</v>
      </c>
      <c r="F24" s="118" t="s">
        <v>163</v>
      </c>
      <c r="G24" s="31" t="s">
        <v>185</v>
      </c>
      <c r="H24" s="41" t="n">
        <v>1</v>
      </c>
      <c r="I24" s="41" t="n">
        <v>-80</v>
      </c>
      <c r="J24" s="41" t="n">
        <v>50</v>
      </c>
      <c r="K24" s="118" t="s">
        <v>163</v>
      </c>
      <c r="L24" s="28"/>
      <c r="M24" s="41"/>
      <c r="N24" s="41"/>
      <c r="O24" s="41"/>
      <c r="P24" s="118"/>
      <c r="Q24" s="31"/>
      <c r="R24" s="41"/>
      <c r="S24" s="41"/>
      <c r="T24" s="41"/>
      <c r="U24" s="118"/>
      <c r="V24" s="31"/>
      <c r="W24" s="41"/>
      <c r="X24" s="41"/>
      <c r="Y24" s="41"/>
      <c r="Z24" s="32"/>
    </row>
    <row r="26" customFormat="false" ht="15" hidden="false" customHeight="false" outlineLevel="0" collapsed="false">
      <c r="A26" s="97" t="s">
        <v>168</v>
      </c>
      <c r="B26" s="97"/>
      <c r="C26" s="97"/>
      <c r="D26" s="97"/>
      <c r="E26" s="97"/>
      <c r="F26" s="97"/>
      <c r="G26" s="97"/>
      <c r="H26" s="97"/>
      <c r="I26" s="97"/>
      <c r="J26" s="97"/>
      <c r="L26" s="97" t="s">
        <v>171</v>
      </c>
      <c r="M26" s="97"/>
    </row>
    <row r="27" customFormat="false" ht="15" hidden="false" customHeight="true" outlineLevel="0" collapsed="false">
      <c r="B27" s="17" t="s">
        <v>169</v>
      </c>
      <c r="C27" s="17"/>
      <c r="D27" s="17"/>
      <c r="E27" s="17"/>
      <c r="G27" s="17" t="s">
        <v>170</v>
      </c>
      <c r="H27" s="17"/>
      <c r="I27" s="17"/>
      <c r="J27" s="17"/>
      <c r="L27" s="31" t="s">
        <v>175</v>
      </c>
      <c r="M27" s="116" t="s">
        <v>176</v>
      </c>
      <c r="N27" s="116"/>
      <c r="O27" s="116"/>
      <c r="P27" s="116"/>
      <c r="Q27" s="116"/>
    </row>
    <row r="28" customFormat="false" ht="15" hidden="false" customHeight="false" outlineLevel="0" collapsed="false">
      <c r="B28" s="17" t="s">
        <v>172</v>
      </c>
      <c r="C28" s="17" t="s">
        <v>158</v>
      </c>
      <c r="D28" s="17" t="s">
        <v>159</v>
      </c>
      <c r="E28" s="17" t="s">
        <v>173</v>
      </c>
      <c r="G28" s="17" t="s">
        <v>172</v>
      </c>
      <c r="H28" s="17" t="s">
        <v>158</v>
      </c>
      <c r="I28" s="17" t="s">
        <v>159</v>
      </c>
      <c r="J28" s="17" t="s">
        <v>174</v>
      </c>
      <c r="L28" s="31"/>
      <c r="M28" s="116"/>
      <c r="N28" s="116"/>
      <c r="O28" s="116"/>
      <c r="P28" s="116"/>
      <c r="Q28" s="116"/>
    </row>
    <row r="29" customFormat="false" ht="15" hidden="false" customHeight="false" outlineLevel="0" collapsed="false">
      <c r="B29" s="41" t="s">
        <v>49</v>
      </c>
      <c r="C29" s="41" t="n">
        <v>2</v>
      </c>
      <c r="D29" s="41" t="n">
        <v>120</v>
      </c>
      <c r="E29" s="41" t="n">
        <v>2</v>
      </c>
      <c r="G29" s="41"/>
      <c r="H29" s="41"/>
      <c r="I29" s="41"/>
      <c r="J29" s="41"/>
      <c r="L29" s="31"/>
      <c r="M29" s="123"/>
    </row>
    <row r="30" customFormat="false" ht="15" hidden="false" customHeight="false" outlineLevel="0" collapsed="false">
      <c r="B30" s="41"/>
      <c r="C30" s="41"/>
      <c r="D30" s="41"/>
      <c r="E30" s="41"/>
      <c r="G30" s="41"/>
      <c r="H30" s="41"/>
      <c r="I30" s="41"/>
      <c r="J30" s="41"/>
      <c r="L30" s="31"/>
      <c r="M30" s="123"/>
    </row>
    <row r="31" customFormat="false" ht="1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23"/>
    </row>
    <row r="32" customFormat="false" ht="1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23"/>
    </row>
    <row r="33" customFormat="false" ht="1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23"/>
    </row>
    <row r="34" customFormat="false" ht="1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23"/>
    </row>
    <row r="35" customFormat="false" ht="1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23"/>
    </row>
    <row r="36" customFormat="false" ht="1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23"/>
    </row>
    <row r="37" customFormat="false" ht="1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31"/>
      <c r="M37" s="123"/>
    </row>
    <row r="38" customFormat="false" ht="1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124"/>
      <c r="M38" s="123"/>
    </row>
    <row r="39" customFormat="false" ht="1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124"/>
      <c r="M39" s="123"/>
    </row>
    <row r="40" customFormat="false" ht="1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124"/>
      <c r="M40" s="123"/>
    </row>
    <row r="41" customFormat="false" ht="1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124"/>
      <c r="M41" s="123"/>
    </row>
    <row r="42" customFormat="false" ht="1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124"/>
      <c r="M42" s="123"/>
    </row>
    <row r="43" customFormat="false" ht="1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124"/>
      <c r="M43" s="123"/>
    </row>
    <row r="44" customFormat="false" ht="1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124"/>
      <c r="M44" s="123"/>
    </row>
    <row r="45" customFormat="false" ht="1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  <c r="L45" s="124"/>
      <c r="M45" s="123"/>
    </row>
    <row r="46" customFormat="false" ht="1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  <row r="88" customFormat="false" ht="15" hidden="false" customHeight="false" outlineLevel="0" collapsed="false">
      <c r="B88" s="41"/>
      <c r="C88" s="41"/>
      <c r="D88" s="41"/>
      <c r="E88" s="41"/>
      <c r="G88" s="41"/>
      <c r="H88" s="41"/>
      <c r="I88" s="41"/>
      <c r="J88" s="41"/>
    </row>
  </sheetData>
  <mergeCells count="11">
    <mergeCell ref="F1:K1"/>
    <mergeCell ref="B7:F7"/>
    <mergeCell ref="G7:K7"/>
    <mergeCell ref="L7:P7"/>
    <mergeCell ref="Q7:U7"/>
    <mergeCell ref="V7:Z7"/>
    <mergeCell ref="A26:J26"/>
    <mergeCell ref="L26:M26"/>
    <mergeCell ref="B27:E27"/>
    <mergeCell ref="G27:J27"/>
    <mergeCell ref="M27:Q28"/>
  </mergeCells>
  <conditionalFormatting sqref="M16">
    <cfRule type="expression" priority="2" aboveAverage="0" equalAverage="0" bottom="0" percent="0" rank="0" text="" dxfId="471">
      <formula>LEN(TRIM(M16))=0</formula>
    </cfRule>
    <cfRule type="cellIs" priority="3" operator="equal" aboveAverage="0" equalAverage="0" bottom="0" percent="0" rank="0" text="" dxfId="472">
      <formula>0</formula>
    </cfRule>
  </conditionalFormatting>
  <conditionalFormatting sqref="M16">
    <cfRule type="expression" priority="4" aboveAverage="0" equalAverage="0" bottom="0" percent="0" rank="0" text="" dxfId="473">
      <formula>LEN(TRIM(M16))=0</formula>
    </cfRule>
    <cfRule type="cellIs" priority="5" operator="equal" aboveAverage="0" equalAverage="0" bottom="0" percent="0" rank="0" text="" dxfId="474">
      <formula>0</formula>
    </cfRule>
  </conditionalFormatting>
  <conditionalFormatting sqref="C3">
    <cfRule type="cellIs" priority="6" operator="notEqual" aboveAverage="0" equalAverage="0" bottom="0" percent="0" rank="0" text="" dxfId="475">
      <formula>MAX($E$9:$E$24)</formula>
    </cfRule>
  </conditionalFormatting>
  <conditionalFormatting sqref="M15">
    <cfRule type="expression" priority="7" aboveAverage="0" equalAverage="0" bottom="0" percent="0" rank="0" text="" dxfId="476">
      <formula>LEN(TRIM(M15))=0</formula>
    </cfRule>
    <cfRule type="cellIs" priority="8" operator="equal" aboveAverage="0" equalAverage="0" bottom="0" percent="0" rank="0" text="" dxfId="477">
      <formula>0</formula>
    </cfRule>
  </conditionalFormatting>
  <conditionalFormatting sqref="M15">
    <cfRule type="expression" priority="9" aboveAverage="0" equalAverage="0" bottom="0" percent="0" rank="0" text="" dxfId="478">
      <formula>LEN(TRIM(M15))=0</formula>
    </cfRule>
    <cfRule type="cellIs" priority="10" operator="equal" aboveAverage="0" equalAverage="0" bottom="0" percent="0" rank="0" text="" dxfId="479">
      <formula>0</formula>
    </cfRule>
  </conditionalFormatting>
  <dataValidations count="1">
    <dataValidation allowBlank="true" errorStyle="stop" operator="between" showDropDown="false" showErrorMessage="true" showInputMessage="true" sqref="F9:F24 K9:K24 P9:P24 U9:U24 Z9:Z24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O9" activeCellId="0" sqref="O9"/>
    </sheetView>
  </sheetViews>
  <sheetFormatPr defaultColWidth="9.14453125" defaultRowHeight="15" zeroHeight="false" outlineLevelRow="0" outlineLevelCol="0"/>
  <cols>
    <col collapsed="false" customWidth="true" hidden="false" outlineLevel="0" max="1" min="1" style="125" width="4.14"/>
    <col collapsed="false" customWidth="false" hidden="false" outlineLevel="0" max="2" min="2" style="125" width="9.14"/>
    <col collapsed="false" customWidth="true" hidden="false" outlineLevel="0" max="23" min="3" style="125" width="6.71"/>
    <col collapsed="false" customWidth="false" hidden="false" outlineLevel="0" max="1024" min="24" style="125" width="9.14"/>
  </cols>
  <sheetData>
    <row r="1" customFormat="false" ht="15.75" hidden="false" customHeight="false" outlineLevel="0" collapsed="false">
      <c r="A1" s="126"/>
      <c r="B1" s="126"/>
      <c r="C1" s="127" t="s">
        <v>220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</row>
    <row r="2" customFormat="false" ht="15.75" hidden="false" customHeight="false" outlineLevel="0" collapsed="false">
      <c r="A2" s="126"/>
      <c r="B2" s="126"/>
      <c r="C2" s="128" t="str">
        <f aca="false">Neu!$B4</f>
        <v>B4</v>
      </c>
      <c r="D2" s="129" t="str">
        <f aca="false">Neu!$B5</f>
        <v>B8</v>
      </c>
      <c r="E2" s="129" t="str">
        <f aca="false">Neu!$B6</f>
        <v>B20</v>
      </c>
      <c r="F2" s="129" t="str">
        <f aca="false">Neu!$B7</f>
        <v>B30</v>
      </c>
      <c r="G2" s="129" t="str">
        <f aca="false">Neu!$B8</f>
        <v>B31s</v>
      </c>
      <c r="H2" s="129" t="str">
        <f aca="false">Neu!$B9</f>
        <v>B31a</v>
      </c>
      <c r="I2" s="129" t="str">
        <f aca="false">Neu!$B10</f>
        <v>B34</v>
      </c>
      <c r="J2" s="129" t="str">
        <f aca="false">Neu!$B11</f>
        <v>B35</v>
      </c>
      <c r="K2" s="129" t="str">
        <f aca="false">Neu!$B12</f>
        <v>B40</v>
      </c>
      <c r="L2" s="129" t="str">
        <f aca="false">Neu!$B13</f>
        <v>B51s</v>
      </c>
      <c r="M2" s="129" t="str">
        <f aca="false">Neu!$B14</f>
        <v>B71</v>
      </c>
      <c r="N2" s="129" t="str">
        <f aca="false">Neu!$B15</f>
        <v>B52</v>
      </c>
      <c r="O2" s="129" t="str">
        <f aca="false">Neu!$B16</f>
        <v>B63</v>
      </c>
      <c r="P2" s="129" t="str">
        <f aca="false">Neu!$B17</f>
        <v>B64s</v>
      </c>
      <c r="Q2" s="129" t="str">
        <f aca="false">Neu!$B18</f>
        <v>B65</v>
      </c>
      <c r="R2" s="129" t="str">
        <f aca="false">Neu!$B19</f>
        <v>CBI2</v>
      </c>
      <c r="S2" s="129" t="str">
        <f aca="false">Neu!$B20</f>
        <v>B6</v>
      </c>
      <c r="T2" s="129" t="str">
        <f aca="false">Neu!$B21</f>
        <v>B9</v>
      </c>
      <c r="U2" s="129" t="str">
        <f aca="false">Neu!$B22</f>
        <v>B3</v>
      </c>
      <c r="V2" s="129" t="str">
        <f aca="false">Neu!$B23</f>
        <v>B91</v>
      </c>
      <c r="W2" s="130" t="str">
        <f aca="false">Neu!$B24</f>
        <v>B52b</v>
      </c>
    </row>
    <row r="3" customFormat="false" ht="14.25" hidden="false" customHeight="true" outlineLevel="0" collapsed="false">
      <c r="A3" s="131" t="s">
        <v>221</v>
      </c>
      <c r="B3" s="27" t="str">
        <f aca="false">Neu!B4</f>
        <v>B4</v>
      </c>
      <c r="C3" s="132"/>
      <c r="D3" s="133" t="n">
        <v>2</v>
      </c>
      <c r="E3" s="133"/>
      <c r="F3" s="133"/>
      <c r="G3" s="133" t="n">
        <v>0.1</v>
      </c>
      <c r="H3" s="134"/>
      <c r="I3" s="133"/>
      <c r="J3" s="133"/>
      <c r="K3" s="133"/>
      <c r="L3" s="133" t="n">
        <v>0.1</v>
      </c>
      <c r="M3" s="133"/>
      <c r="N3" s="133" t="n">
        <v>2</v>
      </c>
      <c r="O3" s="133"/>
      <c r="P3" s="133" t="n">
        <v>0.1</v>
      </c>
      <c r="Q3" s="133"/>
      <c r="R3" s="133"/>
      <c r="S3" s="133" t="n">
        <v>10.2</v>
      </c>
      <c r="T3" s="133" t="n">
        <v>11</v>
      </c>
      <c r="U3" s="133" t="n">
        <v>8.8</v>
      </c>
      <c r="V3" s="133"/>
      <c r="W3" s="133" t="n">
        <v>2</v>
      </c>
      <c r="X3" s="135" t="s">
        <v>222</v>
      </c>
      <c r="Y3" s="125" t="s">
        <v>223</v>
      </c>
      <c r="Z3" s="136"/>
      <c r="AA3" s="136"/>
      <c r="AB3" s="136"/>
      <c r="AC3" s="136"/>
      <c r="AD3" s="136"/>
    </row>
    <row r="4" customFormat="false" ht="14.25" hidden="false" customHeight="true" outlineLevel="0" collapsed="false">
      <c r="A4" s="131"/>
      <c r="B4" s="27"/>
      <c r="C4" s="137"/>
      <c r="D4" s="138"/>
      <c r="E4" s="138"/>
      <c r="F4" s="138"/>
      <c r="G4" s="138"/>
      <c r="H4" s="139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5" t="s">
        <v>224</v>
      </c>
      <c r="Y4" s="140" t="n">
        <f aca="false">MAX($C$3:$W$44)-(ROW(Y4)-4)*0.5</f>
        <v>11</v>
      </c>
      <c r="Z4" s="136"/>
      <c r="AA4" s="136"/>
      <c r="AB4" s="136"/>
      <c r="AC4" s="136"/>
      <c r="AD4" s="136"/>
    </row>
    <row r="5" customFormat="false" ht="14.25" hidden="false" customHeight="true" outlineLevel="0" collapsed="false">
      <c r="A5" s="131"/>
      <c r="B5" s="42" t="str">
        <f aca="false">Neu!B5</f>
        <v>B8</v>
      </c>
      <c r="C5" s="141"/>
      <c r="D5" s="142"/>
      <c r="E5" s="143"/>
      <c r="F5" s="143"/>
      <c r="G5" s="143"/>
      <c r="H5" s="144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36"/>
      <c r="Y5" s="140" t="n">
        <f aca="false">MAX($C$3:$W$44)-(ROW(Y5)-4)*0.5</f>
        <v>10.5</v>
      </c>
      <c r="Z5" s="136"/>
      <c r="AA5" s="136"/>
      <c r="AB5" s="136"/>
      <c r="AC5" s="136"/>
      <c r="AD5" s="136"/>
    </row>
    <row r="6" customFormat="false" ht="14.25" hidden="false" customHeight="true" outlineLevel="0" collapsed="false">
      <c r="A6" s="131"/>
      <c r="B6" s="42"/>
      <c r="C6" s="145"/>
      <c r="D6" s="146"/>
      <c r="E6" s="147"/>
      <c r="F6" s="147"/>
      <c r="G6" s="147"/>
      <c r="H6" s="148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36"/>
      <c r="Y6" s="140" t="n">
        <f aca="false">MAX($C$3:$W$44)-(ROW(Y6)-4)*0.5</f>
        <v>10</v>
      </c>
      <c r="Z6" s="136"/>
      <c r="AA6" s="136"/>
      <c r="AB6" s="136"/>
      <c r="AC6" s="136"/>
      <c r="AD6" s="136"/>
    </row>
    <row r="7" customFormat="false" ht="14.25" hidden="false" customHeight="true" outlineLevel="0" collapsed="false">
      <c r="A7" s="131"/>
      <c r="B7" s="42" t="str">
        <f aca="false">Neu!B6</f>
        <v>B20</v>
      </c>
      <c r="C7" s="141" t="n">
        <v>0.1</v>
      </c>
      <c r="D7" s="143" t="n">
        <v>0.23</v>
      </c>
      <c r="E7" s="142"/>
      <c r="F7" s="143"/>
      <c r="G7" s="143"/>
      <c r="H7" s="144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36"/>
      <c r="Y7" s="140" t="n">
        <f aca="false">MAX($C$3:$W$44)-(ROW(Y7)-4)*0.5</f>
        <v>9.5</v>
      </c>
      <c r="Z7" s="136"/>
      <c r="AA7" s="136"/>
      <c r="AB7" s="136"/>
      <c r="AC7" s="136"/>
      <c r="AD7" s="136"/>
    </row>
    <row r="8" customFormat="false" ht="14.25" hidden="false" customHeight="true" outlineLevel="0" collapsed="false">
      <c r="A8" s="131"/>
      <c r="B8" s="42"/>
      <c r="C8" s="145" t="n">
        <v>0.5</v>
      </c>
      <c r="D8" s="147" t="n">
        <v>0.15</v>
      </c>
      <c r="E8" s="146"/>
      <c r="F8" s="147"/>
      <c r="G8" s="147"/>
      <c r="H8" s="148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36"/>
      <c r="Y8" s="140" t="n">
        <f aca="false">MAX($C$3:$W$44)-(ROW(Y8)-4)*0.5</f>
        <v>9</v>
      </c>
      <c r="Z8" s="136"/>
      <c r="AA8" s="136"/>
      <c r="AB8" s="136"/>
      <c r="AC8" s="136"/>
      <c r="AD8" s="136"/>
    </row>
    <row r="9" customFormat="false" ht="14.25" hidden="false" customHeight="true" outlineLevel="0" collapsed="false">
      <c r="A9" s="131"/>
      <c r="B9" s="42" t="str">
        <f aca="false">Neu!B7</f>
        <v>B30</v>
      </c>
      <c r="C9" s="141"/>
      <c r="D9" s="143" t="n">
        <v>0.2</v>
      </c>
      <c r="E9" s="143"/>
      <c r="F9" s="142"/>
      <c r="G9" s="143" t="n">
        <v>0.5</v>
      </c>
      <c r="H9" s="144"/>
      <c r="I9" s="143"/>
      <c r="J9" s="143"/>
      <c r="K9" s="143"/>
      <c r="L9" s="143"/>
      <c r="M9" s="143"/>
      <c r="N9" s="143"/>
      <c r="O9" s="143" t="n">
        <v>0.25</v>
      </c>
      <c r="P9" s="143" t="n">
        <v>0.4</v>
      </c>
      <c r="Q9" s="143"/>
      <c r="R9" s="143"/>
      <c r="S9" s="143"/>
      <c r="T9" s="143"/>
      <c r="U9" s="143"/>
      <c r="V9" s="143"/>
      <c r="W9" s="143"/>
      <c r="X9" s="136"/>
      <c r="Y9" s="140" t="n">
        <f aca="false">MAX($C$3:$W$44)-(ROW(Y9)-4)*0.5</f>
        <v>8.5</v>
      </c>
      <c r="Z9" s="136"/>
      <c r="AA9" s="136"/>
      <c r="AB9" s="136"/>
      <c r="AC9" s="136"/>
      <c r="AD9" s="136"/>
    </row>
    <row r="10" customFormat="false" ht="14.25" hidden="false" customHeight="true" outlineLevel="0" collapsed="false">
      <c r="A10" s="131"/>
      <c r="B10" s="42"/>
      <c r="C10" s="145"/>
      <c r="D10" s="147" t="n">
        <v>2</v>
      </c>
      <c r="E10" s="147"/>
      <c r="F10" s="146"/>
      <c r="G10" s="147"/>
      <c r="H10" s="148"/>
      <c r="I10" s="147"/>
      <c r="J10" s="147"/>
      <c r="K10" s="147"/>
      <c r="L10" s="147"/>
      <c r="M10" s="147"/>
      <c r="N10" s="147"/>
      <c r="O10" s="147"/>
      <c r="P10" s="147" t="n">
        <v>1</v>
      </c>
      <c r="Q10" s="147"/>
      <c r="R10" s="147"/>
      <c r="S10" s="147"/>
      <c r="T10" s="147"/>
      <c r="U10" s="147"/>
      <c r="V10" s="147"/>
      <c r="W10" s="147"/>
      <c r="X10" s="136"/>
      <c r="Y10" s="140" t="n">
        <f aca="false">MAX($C$3:$W$44)-(ROW(Y10)-4)*0.5</f>
        <v>8</v>
      </c>
      <c r="Z10" s="136"/>
      <c r="AA10" s="136"/>
      <c r="AB10" s="136"/>
      <c r="AC10" s="136"/>
      <c r="AD10" s="136"/>
    </row>
    <row r="11" customFormat="false" ht="14.25" hidden="false" customHeight="true" outlineLevel="0" collapsed="false">
      <c r="A11" s="131"/>
      <c r="B11" s="42" t="str">
        <f aca="false">Neu!B8</f>
        <v>B31s</v>
      </c>
      <c r="C11" s="141"/>
      <c r="D11" s="143"/>
      <c r="E11" s="143"/>
      <c r="F11" s="143"/>
      <c r="G11" s="142"/>
      <c r="H11" s="144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36"/>
      <c r="Y11" s="140" t="n">
        <f aca="false">MAX($C$3:$W$44)-(ROW(Y11)-4)*0.5</f>
        <v>7.5</v>
      </c>
      <c r="Z11" s="136"/>
      <c r="AA11" s="136"/>
      <c r="AB11" s="136"/>
      <c r="AC11" s="136"/>
      <c r="AD11" s="136"/>
    </row>
    <row r="12" customFormat="false" ht="14.25" hidden="false" customHeight="true" outlineLevel="0" collapsed="false">
      <c r="A12" s="131"/>
      <c r="B12" s="42"/>
      <c r="C12" s="145"/>
      <c r="D12" s="147"/>
      <c r="E12" s="147"/>
      <c r="F12" s="147"/>
      <c r="G12" s="146"/>
      <c r="H12" s="148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36"/>
      <c r="Y12" s="140" t="n">
        <f aca="false">MAX($C$3:$W$44)-(ROW(Y12)-4)*0.5</f>
        <v>7</v>
      </c>
      <c r="Z12" s="136"/>
      <c r="AA12" s="136"/>
      <c r="AB12" s="136"/>
      <c r="AC12" s="136"/>
      <c r="AD12" s="136"/>
    </row>
    <row r="13" customFormat="false" ht="14.25" hidden="false" customHeight="true" outlineLevel="0" collapsed="false">
      <c r="A13" s="131"/>
      <c r="B13" s="42" t="str">
        <f aca="false">Neu!B9</f>
        <v>B31a</v>
      </c>
      <c r="C13" s="141"/>
      <c r="D13" s="143"/>
      <c r="E13" s="143"/>
      <c r="F13" s="143"/>
      <c r="G13" s="143"/>
      <c r="H13" s="149"/>
      <c r="I13" s="143"/>
      <c r="J13" s="143"/>
      <c r="K13" s="143"/>
      <c r="L13" s="143"/>
      <c r="M13" s="143"/>
      <c r="N13" s="143"/>
      <c r="O13" s="143"/>
      <c r="P13" s="143" t="n">
        <v>0.3</v>
      </c>
      <c r="Q13" s="143"/>
      <c r="R13" s="143"/>
      <c r="S13" s="143"/>
      <c r="T13" s="143"/>
      <c r="U13" s="143"/>
      <c r="V13" s="143"/>
      <c r="W13" s="143"/>
      <c r="X13" s="136"/>
      <c r="Y13" s="140" t="n">
        <f aca="false">MAX($C$3:$W$44)-(ROW(Y13)-4)*0.5</f>
        <v>6.5</v>
      </c>
      <c r="Z13" s="136"/>
      <c r="AA13" s="136"/>
      <c r="AB13" s="136"/>
      <c r="AC13" s="136"/>
      <c r="AD13" s="136"/>
    </row>
    <row r="14" customFormat="false" ht="14.25" hidden="false" customHeight="true" outlineLevel="0" collapsed="false">
      <c r="A14" s="131"/>
      <c r="B14" s="42"/>
      <c r="C14" s="150"/>
      <c r="D14" s="138"/>
      <c r="E14" s="138"/>
      <c r="F14" s="138"/>
      <c r="G14" s="138" t="n">
        <v>3.8</v>
      </c>
      <c r="H14" s="151"/>
      <c r="I14" s="138"/>
      <c r="J14" s="138"/>
      <c r="K14" s="138"/>
      <c r="L14" s="138"/>
      <c r="M14" s="138"/>
      <c r="N14" s="138"/>
      <c r="O14" s="138"/>
      <c r="P14" s="138"/>
      <c r="Q14" s="147" t="n">
        <v>5</v>
      </c>
      <c r="R14" s="138"/>
      <c r="S14" s="138"/>
      <c r="T14" s="138"/>
      <c r="U14" s="138"/>
      <c r="V14" s="138"/>
      <c r="W14" s="138"/>
      <c r="X14" s="136"/>
      <c r="Y14" s="140" t="n">
        <f aca="false">MAX($C$3:$W$44)-(ROW(Y14)-4)*0.5</f>
        <v>6</v>
      </c>
      <c r="Z14" s="136"/>
      <c r="AA14" s="136"/>
      <c r="AB14" s="136"/>
      <c r="AC14" s="136"/>
      <c r="AD14" s="136"/>
    </row>
    <row r="15" customFormat="false" ht="14.25" hidden="false" customHeight="true" outlineLevel="0" collapsed="false">
      <c r="A15" s="131"/>
      <c r="B15" s="42" t="str">
        <f aca="false">Neu!B10</f>
        <v>B34</v>
      </c>
      <c r="C15" s="141"/>
      <c r="D15" s="143" t="n">
        <v>0.05</v>
      </c>
      <c r="E15" s="143" t="n">
        <v>0.5</v>
      </c>
      <c r="F15" s="143"/>
      <c r="G15" s="143" t="n">
        <v>0.125</v>
      </c>
      <c r="H15" s="144"/>
      <c r="I15" s="142"/>
      <c r="J15" s="143"/>
      <c r="K15" s="143"/>
      <c r="L15" s="143"/>
      <c r="M15" s="143" t="n">
        <v>0.06</v>
      </c>
      <c r="N15" s="143"/>
      <c r="O15" s="143" t="n">
        <v>0.4</v>
      </c>
      <c r="P15" s="143" t="n">
        <v>0.6</v>
      </c>
      <c r="Q15" s="143"/>
      <c r="R15" s="143"/>
      <c r="S15" s="143"/>
      <c r="T15" s="143"/>
      <c r="U15" s="143"/>
      <c r="V15" s="143"/>
      <c r="W15" s="143"/>
      <c r="X15" s="136"/>
      <c r="Y15" s="140" t="n">
        <f aca="false">MAX($C$3:$W$44)-(ROW(Y15)-4)*0.5</f>
        <v>5.5</v>
      </c>
      <c r="Z15" s="136"/>
      <c r="AA15" s="136"/>
      <c r="AB15" s="136"/>
      <c r="AC15" s="136"/>
      <c r="AD15" s="136"/>
    </row>
    <row r="16" customFormat="false" ht="14.25" hidden="false" customHeight="true" outlineLevel="0" collapsed="false">
      <c r="A16" s="131"/>
      <c r="B16" s="42"/>
      <c r="C16" s="145"/>
      <c r="D16" s="147"/>
      <c r="E16" s="147"/>
      <c r="F16" s="147"/>
      <c r="G16" s="147" t="n">
        <v>0.05</v>
      </c>
      <c r="H16" s="148"/>
      <c r="I16" s="146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36"/>
      <c r="Y16" s="140" t="n">
        <f aca="false">MAX($C$3:$W$44)-(ROW(Y16)-4)*0.5</f>
        <v>5</v>
      </c>
      <c r="Z16" s="136"/>
      <c r="AA16" s="136"/>
      <c r="AB16" s="136"/>
      <c r="AC16" s="136"/>
      <c r="AD16" s="136"/>
    </row>
    <row r="17" customFormat="false" ht="14.25" hidden="false" customHeight="true" outlineLevel="0" collapsed="false">
      <c r="A17" s="131"/>
      <c r="B17" s="42" t="str">
        <f aca="false">Neu!B11</f>
        <v>B35</v>
      </c>
      <c r="C17" s="141" t="n">
        <v>0.5</v>
      </c>
      <c r="D17" s="143"/>
      <c r="E17" s="143"/>
      <c r="F17" s="143"/>
      <c r="G17" s="143"/>
      <c r="H17" s="144"/>
      <c r="I17" s="143"/>
      <c r="J17" s="142"/>
      <c r="K17" s="143"/>
      <c r="L17" s="143" t="n">
        <v>0.05</v>
      </c>
      <c r="M17" s="143"/>
      <c r="N17" s="143" t="n">
        <v>0.35</v>
      </c>
      <c r="O17" s="143"/>
      <c r="P17" s="143"/>
      <c r="Q17" s="143"/>
      <c r="R17" s="143"/>
      <c r="S17" s="143"/>
      <c r="T17" s="143"/>
      <c r="U17" s="143"/>
      <c r="V17" s="143"/>
      <c r="W17" s="143" t="n">
        <f aca="false">N17</f>
        <v>0.35</v>
      </c>
      <c r="X17" s="136"/>
      <c r="Y17" s="140" t="n">
        <f aca="false">MAX($C$3:$W$44)-(ROW(Y17)-4)*0.5</f>
        <v>4.5</v>
      </c>
      <c r="Z17" s="136"/>
      <c r="AA17" s="136"/>
      <c r="AB17" s="136"/>
      <c r="AC17" s="136"/>
      <c r="AD17" s="136"/>
    </row>
    <row r="18" customFormat="false" ht="14.25" hidden="false" customHeight="true" outlineLevel="0" collapsed="false">
      <c r="A18" s="131"/>
      <c r="B18" s="42"/>
      <c r="C18" s="145" t="n">
        <v>1.3</v>
      </c>
      <c r="D18" s="147"/>
      <c r="E18" s="147"/>
      <c r="F18" s="147"/>
      <c r="G18" s="147"/>
      <c r="H18" s="148"/>
      <c r="I18" s="147"/>
      <c r="J18" s="146"/>
      <c r="K18" s="147"/>
      <c r="L18" s="147"/>
      <c r="M18" s="147"/>
      <c r="N18" s="147" t="n">
        <v>0.4</v>
      </c>
      <c r="O18" s="147"/>
      <c r="P18" s="147"/>
      <c r="Q18" s="147"/>
      <c r="R18" s="147"/>
      <c r="S18" s="147"/>
      <c r="T18" s="147"/>
      <c r="U18" s="147"/>
      <c r="V18" s="147"/>
      <c r="W18" s="147" t="n">
        <f aca="false">N18</f>
        <v>0.4</v>
      </c>
      <c r="X18" s="136"/>
      <c r="Y18" s="140" t="n">
        <f aca="false">MAX($C$3:$W$44)-(ROW(Y18)-4)*0.5</f>
        <v>4</v>
      </c>
      <c r="Z18" s="136"/>
      <c r="AA18" s="136"/>
      <c r="AB18" s="136"/>
      <c r="AC18" s="136"/>
      <c r="AD18" s="136"/>
    </row>
    <row r="19" customFormat="false" ht="14.25" hidden="false" customHeight="true" outlineLevel="0" collapsed="false">
      <c r="A19" s="131"/>
      <c r="B19" s="42" t="str">
        <f aca="false">Neu!B12</f>
        <v>B40</v>
      </c>
      <c r="C19" s="141"/>
      <c r="D19" s="143" t="n">
        <v>0.3</v>
      </c>
      <c r="E19" s="143"/>
      <c r="F19" s="143"/>
      <c r="G19" s="143" t="n">
        <v>0.6</v>
      </c>
      <c r="H19" s="144"/>
      <c r="I19" s="143"/>
      <c r="J19" s="143"/>
      <c r="K19" s="142"/>
      <c r="L19" s="143"/>
      <c r="M19" s="143"/>
      <c r="N19" s="143"/>
      <c r="O19" s="143"/>
      <c r="P19" s="143" t="n">
        <v>0.6</v>
      </c>
      <c r="Q19" s="143"/>
      <c r="R19" s="143"/>
      <c r="S19" s="143"/>
      <c r="T19" s="143"/>
      <c r="U19" s="143"/>
      <c r="V19" s="143"/>
      <c r="W19" s="143"/>
      <c r="X19" s="136"/>
      <c r="Y19" s="140" t="n">
        <f aca="false">MAX($C$3:$W$44)-(ROW(Y19)-4)*0.5</f>
        <v>3.5</v>
      </c>
      <c r="Z19" s="136"/>
      <c r="AA19" s="136"/>
      <c r="AB19" s="136"/>
      <c r="AC19" s="136"/>
      <c r="AD19" s="136"/>
    </row>
    <row r="20" customFormat="false" ht="14.25" hidden="false" customHeight="true" outlineLevel="0" collapsed="false">
      <c r="A20" s="131"/>
      <c r="B20" s="42"/>
      <c r="C20" s="145"/>
      <c r="D20" s="147" t="n">
        <v>-0.03</v>
      </c>
      <c r="E20" s="147"/>
      <c r="F20" s="147"/>
      <c r="G20" s="147"/>
      <c r="H20" s="148"/>
      <c r="I20" s="147"/>
      <c r="J20" s="147"/>
      <c r="K20" s="146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36"/>
      <c r="Y20" s="140" t="n">
        <f aca="false">MAX($C$3:$W$44)-(ROW(Y20)-4)*0.5</f>
        <v>3</v>
      </c>
      <c r="Z20" s="136"/>
      <c r="AA20" s="136"/>
      <c r="AB20" s="136"/>
      <c r="AC20" s="136"/>
      <c r="AD20" s="136"/>
    </row>
    <row r="21" customFormat="false" ht="14.25" hidden="false" customHeight="true" outlineLevel="0" collapsed="false">
      <c r="A21" s="131"/>
      <c r="B21" s="42" t="str">
        <f aca="false">Neu!B13</f>
        <v>B51s</v>
      </c>
      <c r="C21" s="141"/>
      <c r="D21" s="143" t="n">
        <v>0.3</v>
      </c>
      <c r="E21" s="143"/>
      <c r="F21" s="143"/>
      <c r="G21" s="143"/>
      <c r="H21" s="144"/>
      <c r="I21" s="143"/>
      <c r="J21" s="143"/>
      <c r="K21" s="143"/>
      <c r="L21" s="142"/>
      <c r="M21" s="143"/>
      <c r="N21" s="143" t="n">
        <v>0.01</v>
      </c>
      <c r="O21" s="143"/>
      <c r="P21" s="143"/>
      <c r="Q21" s="143"/>
      <c r="R21" s="143"/>
      <c r="S21" s="143"/>
      <c r="T21" s="143"/>
      <c r="U21" s="143"/>
      <c r="V21" s="143"/>
      <c r="W21" s="143" t="n">
        <v>0.01</v>
      </c>
      <c r="X21" s="136"/>
      <c r="Y21" s="140" t="n">
        <f aca="false">MAX($C$3:$W$44)-(ROW(Y21)-4)*0.5</f>
        <v>2.5</v>
      </c>
      <c r="Z21" s="136"/>
      <c r="AA21" s="136"/>
      <c r="AB21" s="136"/>
      <c r="AC21" s="136"/>
      <c r="AD21" s="136"/>
    </row>
    <row r="22" customFormat="false" ht="14.25" hidden="false" customHeight="true" outlineLevel="0" collapsed="false">
      <c r="A22" s="131"/>
      <c r="B22" s="42"/>
      <c r="C22" s="145"/>
      <c r="D22" s="147"/>
      <c r="E22" s="147"/>
      <c r="F22" s="147"/>
      <c r="G22" s="147"/>
      <c r="H22" s="148"/>
      <c r="I22" s="147"/>
      <c r="J22" s="147"/>
      <c r="K22" s="147"/>
      <c r="L22" s="146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36"/>
      <c r="Y22" s="140" t="n">
        <f aca="false">MAX($C$3:$W$44)-(ROW(Y22)-4)*0.5</f>
        <v>2</v>
      </c>
      <c r="Z22" s="136"/>
      <c r="AA22" s="136"/>
      <c r="AB22" s="136"/>
      <c r="AC22" s="136"/>
      <c r="AD22" s="136"/>
    </row>
    <row r="23" customFormat="false" ht="14.25" hidden="false" customHeight="true" outlineLevel="0" collapsed="false">
      <c r="A23" s="131"/>
      <c r="B23" s="42" t="str">
        <f aca="false">Neu!B14</f>
        <v>B71</v>
      </c>
      <c r="C23" s="141" t="n">
        <v>2</v>
      </c>
      <c r="D23" s="143"/>
      <c r="E23" s="143"/>
      <c r="F23" s="143"/>
      <c r="G23" s="143" t="n">
        <v>0.095</v>
      </c>
      <c r="H23" s="144"/>
      <c r="I23" s="143" t="n">
        <v>0.012</v>
      </c>
      <c r="J23" s="143"/>
      <c r="K23" s="143"/>
      <c r="L23" s="143"/>
      <c r="M23" s="142"/>
      <c r="N23" s="143" t="n">
        <v>0.05</v>
      </c>
      <c r="O23" s="143" t="n">
        <v>0.05</v>
      </c>
      <c r="P23" s="143"/>
      <c r="Q23" s="143"/>
      <c r="R23" s="143"/>
      <c r="S23" s="143"/>
      <c r="T23" s="143"/>
      <c r="U23" s="143"/>
      <c r="V23" s="143"/>
      <c r="W23" s="143" t="n">
        <v>0.05</v>
      </c>
      <c r="X23" s="136"/>
      <c r="Y23" s="140" t="n">
        <f aca="false">MAX($C$3:$W$44)-(ROW(Y23)-4)*0.5</f>
        <v>1.5</v>
      </c>
      <c r="Z23" s="136"/>
      <c r="AA23" s="136"/>
      <c r="AB23" s="136"/>
      <c r="AC23" s="136"/>
      <c r="AD23" s="136"/>
    </row>
    <row r="24" customFormat="false" ht="14.25" hidden="false" customHeight="true" outlineLevel="0" collapsed="false">
      <c r="A24" s="131"/>
      <c r="B24" s="42"/>
      <c r="C24" s="150"/>
      <c r="D24" s="138" t="n">
        <v>0.2</v>
      </c>
      <c r="E24" s="138"/>
      <c r="F24" s="138"/>
      <c r="G24" s="138" t="n">
        <v>0.02</v>
      </c>
      <c r="H24" s="139"/>
      <c r="I24" s="138" t="n">
        <v>0.21</v>
      </c>
      <c r="J24" s="138"/>
      <c r="K24" s="138"/>
      <c r="L24" s="138"/>
      <c r="M24" s="152"/>
      <c r="N24" s="138" t="n">
        <v>0.3</v>
      </c>
      <c r="O24" s="138" t="n">
        <v>0.07</v>
      </c>
      <c r="P24" s="138"/>
      <c r="Q24" s="138"/>
      <c r="R24" s="138"/>
      <c r="S24" s="138"/>
      <c r="T24" s="138"/>
      <c r="U24" s="138"/>
      <c r="V24" s="138"/>
      <c r="W24" s="138" t="n">
        <v>0.3</v>
      </c>
      <c r="X24" s="136"/>
      <c r="Y24" s="140" t="n">
        <f aca="false">MAX($C$3:$W$44)-(ROW(Y24)-4)*0.5</f>
        <v>1</v>
      </c>
      <c r="Z24" s="136"/>
      <c r="AA24" s="136"/>
      <c r="AB24" s="136"/>
      <c r="AC24" s="136"/>
      <c r="AD24" s="136"/>
    </row>
    <row r="25" customFormat="false" ht="14.25" hidden="false" customHeight="true" outlineLevel="0" collapsed="false">
      <c r="A25" s="131"/>
      <c r="B25" s="42" t="str">
        <f aca="false">Neu!B15</f>
        <v>B52</v>
      </c>
      <c r="C25" s="141"/>
      <c r="D25" s="143" t="n">
        <v>7.3</v>
      </c>
      <c r="E25" s="143"/>
      <c r="F25" s="143"/>
      <c r="G25" s="143"/>
      <c r="H25" s="144"/>
      <c r="I25" s="143"/>
      <c r="J25" s="143"/>
      <c r="K25" s="143"/>
      <c r="L25" s="143" t="n">
        <v>5.5</v>
      </c>
      <c r="M25" s="143" t="n">
        <v>0.25</v>
      </c>
      <c r="N25" s="142"/>
      <c r="O25" s="143"/>
      <c r="P25" s="143" t="n">
        <v>0.85</v>
      </c>
      <c r="Q25" s="143"/>
      <c r="R25" s="143"/>
      <c r="S25" s="143"/>
      <c r="T25" s="143"/>
      <c r="U25" s="143"/>
      <c r="V25" s="143"/>
      <c r="W25" s="153" t="n">
        <f aca="false">N43</f>
        <v>3.5</v>
      </c>
      <c r="X25" s="136"/>
      <c r="Y25" s="140" t="n">
        <f aca="false">MAX($C$3:$W$44)-(ROW(Y25)-4)*0.5</f>
        <v>0.5</v>
      </c>
      <c r="Z25" s="136"/>
      <c r="AA25" s="136"/>
      <c r="AB25" s="136"/>
      <c r="AC25" s="136"/>
      <c r="AD25" s="136"/>
    </row>
    <row r="26" customFormat="false" ht="14.25" hidden="false" customHeight="true" outlineLevel="0" collapsed="false">
      <c r="A26" s="131"/>
      <c r="B26" s="42"/>
      <c r="C26" s="145" t="n">
        <v>3</v>
      </c>
      <c r="D26" s="147"/>
      <c r="E26" s="147"/>
      <c r="F26" s="147"/>
      <c r="G26" s="147"/>
      <c r="H26" s="148"/>
      <c r="I26" s="147"/>
      <c r="J26" s="147"/>
      <c r="K26" s="147"/>
      <c r="L26" s="147" t="n">
        <v>5.5</v>
      </c>
      <c r="M26" s="147"/>
      <c r="N26" s="146"/>
      <c r="O26" s="147"/>
      <c r="P26" s="147" t="n">
        <v>3</v>
      </c>
      <c r="Q26" s="147"/>
      <c r="R26" s="147"/>
      <c r="S26" s="147"/>
      <c r="T26" s="147"/>
      <c r="U26" s="147"/>
      <c r="V26" s="147"/>
      <c r="W26" s="154"/>
      <c r="X26" s="136"/>
      <c r="Y26" s="140" t="n">
        <f aca="false">MAX($C$3:$W$44)-(ROW(Y26)-4)*0.5</f>
        <v>0</v>
      </c>
      <c r="Z26" s="136"/>
      <c r="AA26" s="136"/>
      <c r="AB26" s="136"/>
      <c r="AC26" s="136"/>
      <c r="AD26" s="136"/>
    </row>
    <row r="27" customFormat="false" ht="14.25" hidden="false" customHeight="true" outlineLevel="0" collapsed="false">
      <c r="A27" s="131"/>
      <c r="B27" s="42" t="str">
        <f aca="false">Neu!B16</f>
        <v>B63</v>
      </c>
      <c r="C27" s="141"/>
      <c r="D27" s="143" t="n">
        <v>0.2</v>
      </c>
      <c r="E27" s="143" t="n">
        <v>0.4</v>
      </c>
      <c r="F27" s="143"/>
      <c r="G27" s="143" t="n">
        <v>0.6</v>
      </c>
      <c r="H27" s="144"/>
      <c r="I27" s="143" t="n">
        <v>0.9</v>
      </c>
      <c r="J27" s="143"/>
      <c r="K27" s="143"/>
      <c r="L27" s="143"/>
      <c r="M27" s="143" t="n">
        <v>0.1</v>
      </c>
      <c r="N27" s="143"/>
      <c r="O27" s="142"/>
      <c r="P27" s="143" t="n">
        <v>0.2</v>
      </c>
      <c r="Q27" s="143"/>
      <c r="R27" s="143"/>
      <c r="S27" s="143"/>
      <c r="T27" s="143"/>
      <c r="U27" s="143"/>
      <c r="V27" s="143"/>
      <c r="W27" s="143"/>
      <c r="X27" s="136"/>
      <c r="Y27" s="136"/>
      <c r="Z27" s="136"/>
      <c r="AA27" s="136"/>
      <c r="AB27" s="136"/>
      <c r="AC27" s="136"/>
      <c r="AD27" s="136"/>
    </row>
    <row r="28" customFormat="false" ht="14.25" hidden="false" customHeight="true" outlineLevel="0" collapsed="false">
      <c r="A28" s="131"/>
      <c r="B28" s="42"/>
      <c r="C28" s="145"/>
      <c r="D28" s="147"/>
      <c r="E28" s="147" t="n">
        <v>0.04</v>
      </c>
      <c r="F28" s="147"/>
      <c r="G28" s="147" t="n">
        <v>3.8</v>
      </c>
      <c r="H28" s="148"/>
      <c r="I28" s="147"/>
      <c r="J28" s="147"/>
      <c r="K28" s="147"/>
      <c r="L28" s="147"/>
      <c r="M28" s="147"/>
      <c r="N28" s="147"/>
      <c r="O28" s="146"/>
      <c r="P28" s="147" t="n">
        <v>1.6</v>
      </c>
      <c r="Q28" s="147" t="n">
        <v>1.9</v>
      </c>
      <c r="R28" s="147"/>
      <c r="S28" s="147"/>
      <c r="T28" s="147"/>
      <c r="U28" s="147"/>
      <c r="V28" s="147"/>
      <c r="W28" s="147"/>
      <c r="X28" s="136"/>
      <c r="Y28" s="136"/>
      <c r="Z28" s="136"/>
      <c r="AA28" s="136"/>
      <c r="AB28" s="136"/>
      <c r="AC28" s="136"/>
      <c r="AD28" s="136"/>
    </row>
    <row r="29" customFormat="false" ht="14.25" hidden="false" customHeight="true" outlineLevel="0" collapsed="false">
      <c r="A29" s="131"/>
      <c r="B29" s="42" t="str">
        <f aca="false">Neu!B17</f>
        <v>B64s</v>
      </c>
      <c r="C29" s="141" t="n">
        <v>0.5</v>
      </c>
      <c r="D29" s="143"/>
      <c r="E29" s="143" t="n">
        <v>2</v>
      </c>
      <c r="F29" s="143" t="n">
        <v>2</v>
      </c>
      <c r="G29" s="143" t="n">
        <v>5</v>
      </c>
      <c r="H29" s="144" t="n">
        <v>2</v>
      </c>
      <c r="I29" s="143" t="n">
        <v>2</v>
      </c>
      <c r="J29" s="143" t="n">
        <v>5</v>
      </c>
      <c r="K29" s="143" t="n">
        <v>2</v>
      </c>
      <c r="L29" s="143"/>
      <c r="M29" s="143"/>
      <c r="N29" s="143" t="n">
        <v>0.04</v>
      </c>
      <c r="O29" s="143" t="n">
        <v>2</v>
      </c>
      <c r="P29" s="142"/>
      <c r="Q29" s="143" t="n">
        <v>2</v>
      </c>
      <c r="R29" s="144" t="n">
        <v>4.5</v>
      </c>
      <c r="S29" s="143" t="n">
        <v>3</v>
      </c>
      <c r="T29" s="143" t="n">
        <v>3</v>
      </c>
      <c r="U29" s="143" t="n">
        <v>1</v>
      </c>
      <c r="V29" s="143"/>
      <c r="W29" s="143" t="n">
        <f aca="false">N29</f>
        <v>0.04</v>
      </c>
      <c r="X29" s="136"/>
      <c r="Y29" s="136"/>
      <c r="Z29" s="136"/>
      <c r="AA29" s="136"/>
      <c r="AB29" s="136"/>
      <c r="AC29" s="136"/>
      <c r="AD29" s="136"/>
    </row>
    <row r="30" customFormat="false" ht="10.5" hidden="false" customHeight="true" outlineLevel="0" collapsed="false">
      <c r="A30" s="131"/>
      <c r="B30" s="42"/>
      <c r="C30" s="150"/>
      <c r="D30" s="138"/>
      <c r="E30" s="138"/>
      <c r="F30" s="138"/>
      <c r="G30" s="138"/>
      <c r="H30" s="139"/>
      <c r="I30" s="138"/>
      <c r="J30" s="138"/>
      <c r="K30" s="138"/>
      <c r="L30" s="138"/>
      <c r="M30" s="138"/>
      <c r="N30" s="138"/>
      <c r="O30" s="138"/>
      <c r="P30" s="152"/>
      <c r="Q30" s="138"/>
      <c r="R30" s="138"/>
      <c r="S30" s="139"/>
      <c r="T30" s="138"/>
      <c r="U30" s="138"/>
      <c r="V30" s="138" t="n">
        <v>1</v>
      </c>
      <c r="W30" s="138"/>
      <c r="X30" s="136"/>
      <c r="Y30" s="136"/>
      <c r="Z30" s="136"/>
      <c r="AA30" s="136"/>
      <c r="AB30" s="136"/>
      <c r="AC30" s="136"/>
      <c r="AD30" s="136"/>
    </row>
    <row r="31" customFormat="false" ht="14.25" hidden="false" customHeight="true" outlineLevel="0" collapsed="false">
      <c r="A31" s="131"/>
      <c r="B31" s="42" t="str">
        <f aca="false">Neu!B18</f>
        <v>B65</v>
      </c>
      <c r="C31" s="141" t="n">
        <v>1</v>
      </c>
      <c r="D31" s="143" t="n">
        <v>0.01</v>
      </c>
      <c r="E31" s="143" t="n">
        <v>0.5</v>
      </c>
      <c r="F31" s="143" t="n">
        <v>0.8</v>
      </c>
      <c r="G31" s="143" t="n">
        <v>0.1</v>
      </c>
      <c r="H31" s="144"/>
      <c r="I31" s="143"/>
      <c r="J31" s="143"/>
      <c r="K31" s="143"/>
      <c r="L31" s="143"/>
      <c r="M31" s="143" t="n">
        <v>1.6</v>
      </c>
      <c r="N31" s="143" t="n">
        <v>0.055</v>
      </c>
      <c r="O31" s="143" t="n">
        <v>0.07</v>
      </c>
      <c r="P31" s="143"/>
      <c r="Q31" s="142"/>
      <c r="R31" s="143"/>
      <c r="S31" s="144"/>
      <c r="T31" s="143"/>
      <c r="U31" s="143"/>
      <c r="V31" s="143"/>
      <c r="W31" s="143" t="n">
        <f aca="false">N31</f>
        <v>0.055</v>
      </c>
      <c r="X31" s="136"/>
      <c r="Y31" s="136"/>
      <c r="Z31" s="136"/>
      <c r="AA31" s="136"/>
      <c r="AB31" s="136"/>
      <c r="AC31" s="136"/>
      <c r="AD31" s="136"/>
    </row>
    <row r="32" customFormat="false" ht="14.25" hidden="false" customHeight="true" outlineLevel="0" collapsed="false">
      <c r="A32" s="131"/>
      <c r="B32" s="42"/>
      <c r="C32" s="145"/>
      <c r="D32" s="147" t="n">
        <v>0.7</v>
      </c>
      <c r="E32" s="147" t="n">
        <v>-0.01</v>
      </c>
      <c r="F32" s="147"/>
      <c r="G32" s="147"/>
      <c r="H32" s="148"/>
      <c r="I32" s="147"/>
      <c r="J32" s="147"/>
      <c r="K32" s="147" t="n">
        <v>4</v>
      </c>
      <c r="L32" s="147"/>
      <c r="M32" s="147" t="n">
        <v>0.25</v>
      </c>
      <c r="N32" s="147"/>
      <c r="O32" s="147"/>
      <c r="P32" s="147" t="n">
        <v>0.8</v>
      </c>
      <c r="Q32" s="146"/>
      <c r="R32" s="147"/>
      <c r="S32" s="148"/>
      <c r="T32" s="147"/>
      <c r="U32" s="147"/>
      <c r="V32" s="147"/>
      <c r="W32" s="147"/>
      <c r="X32" s="136"/>
      <c r="Y32" s="136"/>
      <c r="Z32" s="136"/>
      <c r="AA32" s="136"/>
      <c r="AB32" s="136"/>
      <c r="AC32" s="136"/>
      <c r="AD32" s="136"/>
    </row>
    <row r="33" customFormat="false" ht="14.25" hidden="false" customHeight="true" outlineLevel="0" collapsed="false">
      <c r="A33" s="131"/>
      <c r="B33" s="42" t="str">
        <f aca="false">Neu!B19</f>
        <v>CBI2</v>
      </c>
      <c r="C33" s="141"/>
      <c r="D33" s="143"/>
      <c r="E33" s="143"/>
      <c r="F33" s="143"/>
      <c r="G33" s="143" t="n">
        <v>0.05</v>
      </c>
      <c r="H33" s="144"/>
      <c r="I33" s="143" t="n">
        <v>0.07</v>
      </c>
      <c r="J33" s="143"/>
      <c r="K33" s="143" t="n">
        <v>0.07</v>
      </c>
      <c r="L33" s="143"/>
      <c r="M33" s="143"/>
      <c r="N33" s="143"/>
      <c r="O33" s="143" t="n">
        <v>0.06</v>
      </c>
      <c r="P33" s="143"/>
      <c r="Q33" s="143"/>
      <c r="R33" s="142"/>
      <c r="S33" s="144"/>
      <c r="T33" s="143"/>
      <c r="U33" s="143"/>
      <c r="V33" s="143"/>
      <c r="W33" s="143"/>
      <c r="X33" s="136"/>
      <c r="Y33" s="136"/>
      <c r="Z33" s="136"/>
      <c r="AA33" s="136"/>
      <c r="AB33" s="136"/>
      <c r="AC33" s="136"/>
      <c r="AD33" s="136"/>
    </row>
    <row r="34" customFormat="false" ht="14.25" hidden="false" customHeight="true" outlineLevel="0" collapsed="false">
      <c r="A34" s="131"/>
      <c r="B34" s="42"/>
      <c r="C34" s="145"/>
      <c r="D34" s="147" t="n">
        <v>1</v>
      </c>
      <c r="E34" s="147" t="n">
        <v>0.2</v>
      </c>
      <c r="F34" s="147"/>
      <c r="G34" s="147" t="n">
        <v>0.02</v>
      </c>
      <c r="H34" s="148"/>
      <c r="I34" s="147" t="n">
        <v>0.1</v>
      </c>
      <c r="J34" s="147"/>
      <c r="K34" s="147" t="n">
        <v>0.2</v>
      </c>
      <c r="L34" s="147"/>
      <c r="M34" s="147"/>
      <c r="N34" s="147"/>
      <c r="O34" s="147" t="n">
        <v>0.06</v>
      </c>
      <c r="P34" s="147"/>
      <c r="Q34" s="147"/>
      <c r="R34" s="146"/>
      <c r="S34" s="148"/>
      <c r="T34" s="147"/>
      <c r="U34" s="147"/>
      <c r="V34" s="147"/>
      <c r="W34" s="147"/>
      <c r="X34" s="136"/>
      <c r="Y34" s="136"/>
      <c r="Z34" s="136"/>
      <c r="AA34" s="136"/>
      <c r="AB34" s="136"/>
      <c r="AC34" s="136"/>
      <c r="AD34" s="136"/>
    </row>
    <row r="35" customFormat="false" ht="14.25" hidden="false" customHeight="true" outlineLevel="0" collapsed="false">
      <c r="A35" s="131"/>
      <c r="B35" s="42" t="str">
        <f aca="false">Neu!B20</f>
        <v>B6</v>
      </c>
      <c r="C35" s="141"/>
      <c r="D35" s="143"/>
      <c r="E35" s="143"/>
      <c r="F35" s="143"/>
      <c r="G35" s="143"/>
      <c r="H35" s="144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9"/>
      <c r="T35" s="143"/>
      <c r="U35" s="143"/>
      <c r="V35" s="143"/>
      <c r="W35" s="143"/>
      <c r="X35" s="136"/>
      <c r="Y35" s="136"/>
      <c r="Z35" s="136"/>
      <c r="AA35" s="136"/>
      <c r="AB35" s="136"/>
      <c r="AC35" s="136"/>
      <c r="AD35" s="136"/>
    </row>
    <row r="36" customFormat="false" ht="14.25" hidden="false" customHeight="true" outlineLevel="0" collapsed="false">
      <c r="A36" s="131"/>
      <c r="B36" s="42"/>
      <c r="C36" s="145"/>
      <c r="D36" s="147"/>
      <c r="E36" s="147"/>
      <c r="F36" s="147"/>
      <c r="G36" s="147"/>
      <c r="H36" s="148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55"/>
      <c r="T36" s="147"/>
      <c r="U36" s="147"/>
      <c r="V36" s="147"/>
      <c r="W36" s="147"/>
      <c r="X36" s="136"/>
      <c r="Y36" s="136"/>
      <c r="Z36" s="136"/>
      <c r="AA36" s="136"/>
      <c r="AB36" s="136"/>
      <c r="AC36" s="136"/>
      <c r="AD36" s="136"/>
    </row>
    <row r="37" customFormat="false" ht="14.25" hidden="false" customHeight="true" outlineLevel="0" collapsed="false">
      <c r="A37" s="131"/>
      <c r="B37" s="42" t="str">
        <f aca="false">Neu!B21</f>
        <v>B9</v>
      </c>
      <c r="C37" s="141"/>
      <c r="D37" s="143"/>
      <c r="E37" s="143"/>
      <c r="F37" s="143"/>
      <c r="G37" s="143"/>
      <c r="H37" s="144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2"/>
      <c r="U37" s="143"/>
      <c r="V37" s="143"/>
      <c r="W37" s="143"/>
      <c r="X37" s="136"/>
      <c r="Y37" s="136"/>
      <c r="Z37" s="136"/>
      <c r="AA37" s="136"/>
      <c r="AB37" s="136"/>
      <c r="AC37" s="136"/>
      <c r="AD37" s="136"/>
    </row>
    <row r="38" customFormat="false" ht="14.25" hidden="false" customHeight="true" outlineLevel="0" collapsed="false">
      <c r="A38" s="131"/>
      <c r="B38" s="42"/>
      <c r="C38" s="150"/>
      <c r="D38" s="138"/>
      <c r="E38" s="138"/>
      <c r="F38" s="138"/>
      <c r="G38" s="138"/>
      <c r="H38" s="139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9"/>
      <c r="T38" s="152"/>
      <c r="U38" s="138"/>
      <c r="V38" s="138"/>
      <c r="W38" s="138"/>
      <c r="X38" s="136"/>
      <c r="Y38" s="136"/>
      <c r="Z38" s="136"/>
      <c r="AA38" s="136"/>
      <c r="AB38" s="136"/>
      <c r="AC38" s="136"/>
      <c r="AD38" s="136"/>
    </row>
    <row r="39" customFormat="false" ht="14.25" hidden="false" customHeight="true" outlineLevel="0" collapsed="false">
      <c r="A39" s="131"/>
      <c r="B39" s="42" t="str">
        <f aca="false">Neu!B22</f>
        <v>B3</v>
      </c>
      <c r="C39" s="141"/>
      <c r="D39" s="143"/>
      <c r="E39" s="143"/>
      <c r="F39" s="143"/>
      <c r="G39" s="143"/>
      <c r="H39" s="144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4"/>
      <c r="T39" s="143"/>
      <c r="U39" s="142"/>
      <c r="V39" s="143"/>
      <c r="W39" s="143"/>
      <c r="X39" s="136"/>
      <c r="Y39" s="136"/>
      <c r="Z39" s="136"/>
      <c r="AA39" s="136"/>
      <c r="AB39" s="136"/>
      <c r="AC39" s="136"/>
      <c r="AD39" s="136"/>
    </row>
    <row r="40" customFormat="false" ht="14.25" hidden="false" customHeight="true" outlineLevel="0" collapsed="false">
      <c r="A40" s="131"/>
      <c r="B40" s="42"/>
      <c r="C40" s="145"/>
      <c r="D40" s="147"/>
      <c r="E40" s="147"/>
      <c r="F40" s="147"/>
      <c r="G40" s="147"/>
      <c r="H40" s="148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8"/>
      <c r="T40" s="147"/>
      <c r="U40" s="146"/>
      <c r="V40" s="147"/>
      <c r="W40" s="147"/>
      <c r="X40" s="136"/>
      <c r="Y40" s="136"/>
      <c r="Z40" s="136"/>
      <c r="AA40" s="136"/>
      <c r="AB40" s="136"/>
      <c r="AC40" s="136"/>
      <c r="AD40" s="136"/>
    </row>
    <row r="41" customFormat="false" ht="14.25" hidden="false" customHeight="true" outlineLevel="0" collapsed="false">
      <c r="A41" s="131"/>
      <c r="B41" s="42" t="str">
        <f aca="false">Neu!B23</f>
        <v>B91</v>
      </c>
      <c r="C41" s="141"/>
      <c r="D41" s="143"/>
      <c r="E41" s="143"/>
      <c r="F41" s="143"/>
      <c r="G41" s="143"/>
      <c r="H41" s="144"/>
      <c r="I41" s="143"/>
      <c r="J41" s="143"/>
      <c r="K41" s="143"/>
      <c r="L41" s="143"/>
      <c r="M41" s="143"/>
      <c r="N41" s="143" t="n">
        <v>0.2</v>
      </c>
      <c r="O41" s="143"/>
      <c r="P41" s="143"/>
      <c r="Q41" s="143"/>
      <c r="R41" s="143"/>
      <c r="S41" s="144"/>
      <c r="T41" s="143"/>
      <c r="U41" s="143"/>
      <c r="V41" s="142"/>
      <c r="W41" s="143" t="n">
        <v>0.2</v>
      </c>
      <c r="X41" s="136"/>
      <c r="Y41" s="136"/>
      <c r="Z41" s="136"/>
      <c r="AA41" s="136"/>
      <c r="AB41" s="136"/>
      <c r="AC41" s="136"/>
      <c r="AD41" s="136"/>
    </row>
    <row r="42" customFormat="false" ht="14.25" hidden="false" customHeight="true" outlineLevel="0" collapsed="false">
      <c r="A42" s="131"/>
      <c r="B42" s="42"/>
      <c r="C42" s="145"/>
      <c r="D42" s="147"/>
      <c r="E42" s="147"/>
      <c r="F42" s="147"/>
      <c r="G42" s="147"/>
      <c r="H42" s="148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8"/>
      <c r="T42" s="147"/>
      <c r="U42" s="147"/>
      <c r="V42" s="146"/>
      <c r="W42" s="147"/>
      <c r="X42" s="136"/>
      <c r="Y42" s="136"/>
      <c r="Z42" s="136"/>
      <c r="AA42" s="136"/>
      <c r="AB42" s="136"/>
      <c r="AC42" s="136"/>
      <c r="AD42" s="136"/>
    </row>
    <row r="43" customFormat="false" ht="14.25" hidden="false" customHeight="true" outlineLevel="0" collapsed="false">
      <c r="A43" s="131"/>
      <c r="B43" s="89" t="str">
        <f aca="false">Neu!B24</f>
        <v>B52b</v>
      </c>
      <c r="C43" s="141"/>
      <c r="D43" s="143" t="n">
        <f aca="false">D25</f>
        <v>7.3</v>
      </c>
      <c r="E43" s="143"/>
      <c r="F43" s="143"/>
      <c r="G43" s="143"/>
      <c r="H43" s="144"/>
      <c r="I43" s="143"/>
      <c r="J43" s="143"/>
      <c r="K43" s="143"/>
      <c r="L43" s="143" t="n">
        <f aca="false">L25</f>
        <v>5.5</v>
      </c>
      <c r="M43" s="143" t="n">
        <v>0.25</v>
      </c>
      <c r="N43" s="143" t="n">
        <v>3.5</v>
      </c>
      <c r="O43" s="143"/>
      <c r="P43" s="143" t="n">
        <f aca="false">P25</f>
        <v>0.85</v>
      </c>
      <c r="Q43" s="143"/>
      <c r="R43" s="143"/>
      <c r="S43" s="143"/>
      <c r="T43" s="143"/>
      <c r="U43" s="143"/>
      <c r="V43" s="143"/>
      <c r="W43" s="156"/>
      <c r="X43" s="136"/>
      <c r="Y43" s="136"/>
      <c r="Z43" s="136"/>
      <c r="AA43" s="136"/>
      <c r="AB43" s="136"/>
      <c r="AC43" s="136"/>
      <c r="AD43" s="136"/>
    </row>
    <row r="44" customFormat="false" ht="14.25" hidden="false" customHeight="true" outlineLevel="0" collapsed="false">
      <c r="A44" s="157"/>
      <c r="B44" s="89"/>
      <c r="C44" s="145" t="n">
        <f aca="false">C26</f>
        <v>3</v>
      </c>
      <c r="D44" s="147"/>
      <c r="E44" s="147"/>
      <c r="F44" s="147"/>
      <c r="G44" s="147"/>
      <c r="H44" s="148"/>
      <c r="I44" s="147"/>
      <c r="J44" s="147"/>
      <c r="K44" s="147"/>
      <c r="L44" s="147" t="n">
        <v>5.5</v>
      </c>
      <c r="M44" s="147"/>
      <c r="N44" s="158"/>
      <c r="O44" s="147"/>
      <c r="P44" s="147" t="n">
        <v>3</v>
      </c>
      <c r="Q44" s="147"/>
      <c r="R44" s="147"/>
      <c r="S44" s="147"/>
      <c r="T44" s="147"/>
      <c r="U44" s="147"/>
      <c r="V44" s="147"/>
      <c r="W44" s="159"/>
      <c r="X44" s="136"/>
      <c r="Y44" s="136"/>
      <c r="Z44" s="136"/>
      <c r="AA44" s="136"/>
      <c r="AB44" s="136"/>
      <c r="AC44" s="136"/>
      <c r="AD44" s="136"/>
    </row>
    <row r="45" customFormat="false" ht="15" hidden="false" customHeight="false" outlineLevel="0" collapsed="false"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</row>
    <row r="46" customFormat="false" ht="15" hidden="false" customHeight="false" outlineLevel="0" collapsed="false"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</row>
    <row r="47" customFormat="false" ht="15" hidden="false" customHeight="false" outlineLevel="0" collapsed="false"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</row>
    <row r="48" customFormat="false" ht="15" hidden="false" customHeight="false" outlineLevel="0" collapsed="false"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</row>
    <row r="49" customFormat="false" ht="15" hidden="false" customHeight="false" outlineLevel="0" collapsed="false"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</row>
    <row r="50" customFormat="false" ht="15" hidden="false" customHeight="false" outlineLevel="0" collapsed="false"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</row>
    <row r="51" customFormat="false" ht="15" hidden="false" customHeight="false" outlineLevel="0" collapsed="false"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</row>
    <row r="52" customFormat="false" ht="15" hidden="false" customHeight="false" outlineLevel="0" collapsed="false"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</row>
    <row r="53" customFormat="false" ht="15" hidden="false" customHeight="false" outlineLevel="0" collapsed="false"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</row>
    <row r="54" customFormat="false" ht="15" hidden="false" customHeight="false" outlineLevel="0" collapsed="false"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</row>
    <row r="55" customFormat="false" ht="15" hidden="false" customHeight="false" outlineLevel="0" collapsed="false"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</row>
    <row r="56" customFormat="false" ht="15" hidden="false" customHeight="false" outlineLevel="0" collapsed="false"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</row>
    <row r="57" customFormat="false" ht="15" hidden="false" customHeight="false" outlineLevel="0" collapsed="false"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</row>
    <row r="58" customFormat="false" ht="15" hidden="false" customHeight="false" outlineLevel="0" collapsed="false"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</row>
    <row r="59" customFormat="false" ht="15" hidden="false" customHeight="false" outlineLevel="0" collapsed="false"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</row>
    <row r="60" customFormat="false" ht="15" hidden="false" customHeight="false" outlineLevel="0" collapsed="false"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</row>
    <row r="61" customFormat="false" ht="15" hidden="false" customHeight="false" outlineLevel="0" collapsed="false"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</row>
    <row r="62" customFormat="false" ht="15" hidden="false" customHeight="false" outlineLevel="0" collapsed="false"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</row>
    <row r="63" customFormat="false" ht="15" hidden="false" customHeight="false" outlineLevel="0" collapsed="false"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</row>
    <row r="64" customFormat="false" ht="15" hidden="false" customHeight="false" outlineLevel="0" collapsed="false"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</row>
    <row r="65" customFormat="false" ht="15" hidden="false" customHeight="false" outlineLevel="0" collapsed="false"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</row>
    <row r="66" customFormat="false" ht="15" hidden="false" customHeight="false" outlineLevel="0" collapsed="false"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</row>
    <row r="67" customFormat="false" ht="15" hidden="false" customHeight="false" outlineLevel="0" collapsed="false"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</row>
    <row r="68" customFormat="false" ht="15" hidden="false" customHeight="false" outlineLevel="0" collapsed="false"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</row>
    <row r="69" customFormat="false" ht="15" hidden="false" customHeight="false" outlineLevel="0" collapsed="false"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</row>
    <row r="70" customFormat="false" ht="15" hidden="false" customHeight="false" outlineLevel="0" collapsed="false"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</row>
    <row r="71" customFormat="false" ht="15" hidden="false" customHeight="false" outlineLevel="0" collapsed="false"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</row>
    <row r="72" customFormat="false" ht="15" hidden="false" customHeight="false" outlineLevel="0" collapsed="false"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</row>
    <row r="73" customFormat="false" ht="15" hidden="false" customHeight="false" outlineLevel="0" collapsed="false"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</row>
    <row r="74" customFormat="false" ht="15" hidden="false" customHeight="false" outlineLevel="0" collapsed="false"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</row>
    <row r="75" customFormat="false" ht="15" hidden="false" customHeight="false" outlineLevel="0" collapsed="false"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</row>
    <row r="76" customFormat="false" ht="15" hidden="false" customHeight="false" outlineLevel="0" collapsed="false"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C2:W2">
    <cfRule type="cellIs" priority="2" operator="equal" aboveAverage="0" equalAverage="0" bottom="0" percent="0" rank="0" text="" dxfId="480">
      <formula>0</formula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481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1048576">
    <cfRule type="colorScale" priority="5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2 Y4:Y36">
    <cfRule type="cellIs" priority="6" operator="lessThan" aboveAverage="0" equalAverage="0" bottom="0" percent="0" rank="0" text="" dxfId="48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6" activeCellId="0" sqref="D26"/>
    </sheetView>
  </sheetViews>
  <sheetFormatPr defaultColWidth="9.14453125" defaultRowHeight="15" zeroHeight="false" outlineLevelRow="0" outlineLevelCol="0"/>
  <cols>
    <col collapsed="false" customWidth="true" hidden="false" outlineLevel="0" max="1" min="1" style="125" width="4.14"/>
    <col collapsed="false" customWidth="false" hidden="false" outlineLevel="0" max="2" min="2" style="125" width="9.14"/>
    <col collapsed="false" customWidth="true" hidden="false" outlineLevel="0" max="23" min="3" style="125" width="6.71"/>
    <col collapsed="false" customWidth="false" hidden="false" outlineLevel="0" max="1024" min="24" style="125" width="9.14"/>
  </cols>
  <sheetData>
    <row r="1" customFormat="false" ht="15.75" hidden="false" customHeight="false" outlineLevel="0" collapsed="false">
      <c r="A1" s="126"/>
      <c r="B1" s="126"/>
      <c r="C1" s="127" t="s">
        <v>220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</row>
    <row r="2" customFormat="false" ht="15.75" hidden="false" customHeight="false" outlineLevel="0" collapsed="false">
      <c r="A2" s="126"/>
      <c r="B2" s="126"/>
      <c r="C2" s="128" t="str">
        <f aca="false">Neu!$B4</f>
        <v>B4</v>
      </c>
      <c r="D2" s="129" t="str">
        <f aca="false">Neu!$B5</f>
        <v>B8</v>
      </c>
      <c r="E2" s="129" t="str">
        <f aca="false">Neu!$B6</f>
        <v>B20</v>
      </c>
      <c r="F2" s="129" t="str">
        <f aca="false">Neu!$B7</f>
        <v>B30</v>
      </c>
      <c r="G2" s="129" t="str">
        <f aca="false">Neu!$B8</f>
        <v>B31s</v>
      </c>
      <c r="H2" s="129" t="str">
        <f aca="false">Neu!$B9</f>
        <v>B31a</v>
      </c>
      <c r="I2" s="129" t="str">
        <f aca="false">Neu!$B10</f>
        <v>B34</v>
      </c>
      <c r="J2" s="129" t="str">
        <f aca="false">Neu!$B11</f>
        <v>B35</v>
      </c>
      <c r="K2" s="129" t="str">
        <f aca="false">Neu!$B12</f>
        <v>B40</v>
      </c>
      <c r="L2" s="129" t="str">
        <f aca="false">Neu!$B13</f>
        <v>B51s</v>
      </c>
      <c r="M2" s="129" t="str">
        <f aca="false">Neu!$B14</f>
        <v>B71</v>
      </c>
      <c r="N2" s="129" t="str">
        <f aca="false">Neu!$B15</f>
        <v>B52</v>
      </c>
      <c r="O2" s="129" t="str">
        <f aca="false">Neu!$B16</f>
        <v>B63</v>
      </c>
      <c r="P2" s="129" t="str">
        <f aca="false">Neu!$B17</f>
        <v>B64s</v>
      </c>
      <c r="Q2" s="129" t="str">
        <f aca="false">Neu!$B18</f>
        <v>B65</v>
      </c>
      <c r="R2" s="129" t="str">
        <f aca="false">Neu!$B19</f>
        <v>CBI2</v>
      </c>
      <c r="S2" s="129" t="str">
        <f aca="false">Neu!$B20</f>
        <v>B6</v>
      </c>
      <c r="T2" s="129" t="str">
        <f aca="false">Neu!$B21</f>
        <v>B9</v>
      </c>
      <c r="U2" s="129" t="str">
        <f aca="false">Neu!$B22</f>
        <v>B3</v>
      </c>
      <c r="V2" s="129" t="str">
        <f aca="false">Neu!$B23</f>
        <v>B91</v>
      </c>
      <c r="W2" s="130" t="str">
        <f aca="false">Neu!$B24</f>
        <v>B52b</v>
      </c>
    </row>
    <row r="3" customFormat="false" ht="14.25" hidden="false" customHeight="true" outlineLevel="0" collapsed="false">
      <c r="A3" s="131" t="s">
        <v>221</v>
      </c>
      <c r="B3" s="27" t="str">
        <f aca="false">Neu!B4</f>
        <v>B4</v>
      </c>
      <c r="C3" s="160"/>
      <c r="D3" s="161" t="n">
        <v>-80</v>
      </c>
      <c r="E3" s="161"/>
      <c r="F3" s="161"/>
      <c r="G3" s="162" t="n">
        <v>0</v>
      </c>
      <c r="H3" s="161"/>
      <c r="I3" s="161"/>
      <c r="J3" s="161"/>
      <c r="K3" s="161"/>
      <c r="L3" s="161" t="n">
        <v>-100</v>
      </c>
      <c r="M3" s="161" t="n">
        <v>-100</v>
      </c>
      <c r="N3" s="161" t="n">
        <v>-100</v>
      </c>
      <c r="O3" s="161"/>
      <c r="P3" s="161" t="n">
        <v>-80</v>
      </c>
      <c r="Q3" s="161"/>
      <c r="R3" s="161"/>
      <c r="S3" s="161" t="n">
        <v>-80</v>
      </c>
      <c r="T3" s="161" t="n">
        <v>-80</v>
      </c>
      <c r="U3" s="161" t="n">
        <v>-80</v>
      </c>
      <c r="V3" s="161"/>
      <c r="W3" s="161" t="n">
        <v>-100</v>
      </c>
      <c r="X3" s="135" t="s">
        <v>222</v>
      </c>
      <c r="Y3" s="163" t="s">
        <v>223</v>
      </c>
      <c r="Z3" s="136"/>
      <c r="AA3" s="136"/>
      <c r="AB3" s="136"/>
      <c r="AC3" s="136"/>
      <c r="AD3" s="136"/>
    </row>
    <row r="4" customFormat="false" ht="14.25" hidden="false" customHeight="true" outlineLevel="0" collapsed="false">
      <c r="A4" s="131"/>
      <c r="B4" s="27"/>
      <c r="C4" s="164"/>
      <c r="D4" s="165"/>
      <c r="E4" s="165"/>
      <c r="F4" s="165"/>
      <c r="G4" s="166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35" t="s">
        <v>224</v>
      </c>
      <c r="Y4" s="140" t="n">
        <f aca="false">MAX($C$3:$W$44)-(ROW(Y4)-4)*10</f>
        <v>20</v>
      </c>
      <c r="Z4" s="136"/>
      <c r="AA4" s="136"/>
      <c r="AB4" s="136"/>
      <c r="AC4" s="136"/>
      <c r="AD4" s="136"/>
    </row>
    <row r="5" customFormat="false" ht="14.25" hidden="false" customHeight="true" outlineLevel="0" collapsed="false">
      <c r="A5" s="131"/>
      <c r="B5" s="42" t="str">
        <f aca="false">Neu!B5</f>
        <v>B8</v>
      </c>
      <c r="C5" s="167"/>
      <c r="D5" s="168"/>
      <c r="E5" s="169"/>
      <c r="F5" s="169"/>
      <c r="G5" s="170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36"/>
      <c r="Y5" s="140" t="n">
        <f aca="false">MAX($C$3:$W$44)-(ROW(Y5)-4)*10</f>
        <v>10</v>
      </c>
      <c r="Z5" s="136"/>
      <c r="AA5" s="136"/>
      <c r="AB5" s="136"/>
      <c r="AC5" s="136"/>
      <c r="AD5" s="136"/>
    </row>
    <row r="6" customFormat="false" ht="14.25" hidden="false" customHeight="true" outlineLevel="0" collapsed="false">
      <c r="A6" s="131"/>
      <c r="B6" s="42"/>
      <c r="C6" s="171"/>
      <c r="D6" s="172"/>
      <c r="E6" s="165"/>
      <c r="F6" s="165"/>
      <c r="G6" s="166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36"/>
      <c r="Y6" s="140" t="n">
        <f aca="false">MAX($C$3:$W$44)-(ROW(Y6)-4)*10</f>
        <v>0</v>
      </c>
      <c r="Z6" s="136"/>
      <c r="AA6" s="136"/>
      <c r="AB6" s="136"/>
      <c r="AC6" s="136"/>
      <c r="AD6" s="136"/>
    </row>
    <row r="7" customFormat="false" ht="14.25" hidden="false" customHeight="true" outlineLevel="0" collapsed="false">
      <c r="A7" s="131"/>
      <c r="B7" s="42" t="str">
        <f aca="false">Neu!B6</f>
        <v>B20</v>
      </c>
      <c r="C7" s="167" t="n">
        <v>0</v>
      </c>
      <c r="D7" s="169" t="n">
        <v>0</v>
      </c>
      <c r="E7" s="168"/>
      <c r="F7" s="169"/>
      <c r="G7" s="170"/>
      <c r="H7" s="169"/>
      <c r="I7" s="169"/>
      <c r="J7" s="169"/>
      <c r="K7" s="169"/>
      <c r="L7" s="169"/>
      <c r="M7" s="169"/>
      <c r="N7" s="169" t="n">
        <v>0</v>
      </c>
      <c r="O7" s="169"/>
      <c r="P7" s="169"/>
      <c r="Q7" s="169"/>
      <c r="R7" s="169"/>
      <c r="S7" s="169"/>
      <c r="T7" s="169"/>
      <c r="U7" s="169"/>
      <c r="V7" s="169"/>
      <c r="W7" s="169" t="n">
        <v>0</v>
      </c>
      <c r="X7" s="136"/>
      <c r="Y7" s="140" t="n">
        <f aca="false">MAX($C$3:$W$44)-(ROW(Y7)-4)*10</f>
        <v>-10</v>
      </c>
      <c r="Z7" s="136"/>
      <c r="AA7" s="136"/>
      <c r="AB7" s="136"/>
      <c r="AC7" s="136"/>
      <c r="AD7" s="136"/>
    </row>
    <row r="8" customFormat="false" ht="14.25" hidden="false" customHeight="true" outlineLevel="0" collapsed="false">
      <c r="A8" s="131"/>
      <c r="B8" s="42"/>
      <c r="C8" s="171" t="n">
        <v>0</v>
      </c>
      <c r="D8" s="165" t="n">
        <v>0</v>
      </c>
      <c r="E8" s="172"/>
      <c r="F8" s="165"/>
      <c r="G8" s="166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36"/>
      <c r="Y8" s="140" t="n">
        <f aca="false">MAX($C$3:$W$44)-(ROW(Y8)-4)*10</f>
        <v>-20</v>
      </c>
      <c r="Z8" s="136"/>
      <c r="AA8" s="136"/>
      <c r="AB8" s="136"/>
      <c r="AC8" s="136"/>
      <c r="AD8" s="136"/>
    </row>
    <row r="9" customFormat="false" ht="14.25" hidden="false" customHeight="true" outlineLevel="0" collapsed="false">
      <c r="A9" s="131"/>
      <c r="B9" s="42" t="str">
        <f aca="false">Neu!B7</f>
        <v>B30</v>
      </c>
      <c r="C9" s="167"/>
      <c r="D9" s="169" t="n">
        <v>-70</v>
      </c>
      <c r="E9" s="169"/>
      <c r="F9" s="168"/>
      <c r="G9" s="170" t="n">
        <v>0</v>
      </c>
      <c r="H9" s="169"/>
      <c r="I9" s="169"/>
      <c r="J9" s="169"/>
      <c r="K9" s="169"/>
      <c r="L9" s="169"/>
      <c r="M9" s="169"/>
      <c r="N9" s="169"/>
      <c r="O9" s="169" t="n">
        <v>0</v>
      </c>
      <c r="P9" s="169" t="n">
        <v>-80</v>
      </c>
      <c r="Q9" s="169"/>
      <c r="R9" s="169"/>
      <c r="S9" s="169"/>
      <c r="T9" s="169"/>
      <c r="U9" s="169"/>
      <c r="V9" s="169"/>
      <c r="W9" s="169"/>
      <c r="X9" s="136"/>
      <c r="Y9" s="140" t="n">
        <f aca="false">MAX($C$3:$W$44)-(ROW(Y9)-4)*10</f>
        <v>-30</v>
      </c>
      <c r="Z9" s="136"/>
      <c r="AA9" s="136"/>
      <c r="AB9" s="136"/>
      <c r="AC9" s="136"/>
      <c r="AD9" s="136"/>
    </row>
    <row r="10" customFormat="false" ht="14.25" hidden="false" customHeight="true" outlineLevel="0" collapsed="false">
      <c r="A10" s="131"/>
      <c r="B10" s="42"/>
      <c r="C10" s="171"/>
      <c r="D10" s="165" t="n">
        <v>0</v>
      </c>
      <c r="E10" s="165"/>
      <c r="F10" s="172"/>
      <c r="G10" s="166"/>
      <c r="H10" s="165"/>
      <c r="I10" s="165"/>
      <c r="J10" s="165"/>
      <c r="K10" s="165"/>
      <c r="L10" s="165"/>
      <c r="M10" s="165"/>
      <c r="N10" s="165"/>
      <c r="O10" s="165"/>
      <c r="P10" s="165" t="n">
        <v>0</v>
      </c>
      <c r="Q10" s="165"/>
      <c r="R10" s="165"/>
      <c r="S10" s="165"/>
      <c r="T10" s="165"/>
      <c r="U10" s="165"/>
      <c r="V10" s="165"/>
      <c r="W10" s="165"/>
      <c r="X10" s="136"/>
      <c r="Y10" s="140" t="n">
        <f aca="false">MAX($C$3:$W$44)-(ROW(Y10)-4)*10</f>
        <v>-40</v>
      </c>
      <c r="Z10" s="136"/>
      <c r="AA10" s="136"/>
      <c r="AB10" s="136"/>
      <c r="AC10" s="136"/>
      <c r="AD10" s="136"/>
    </row>
    <row r="11" customFormat="false" ht="14.25" hidden="false" customHeight="true" outlineLevel="0" collapsed="false">
      <c r="A11" s="131"/>
      <c r="B11" s="42" t="str">
        <f aca="false">Neu!B8</f>
        <v>B31s</v>
      </c>
      <c r="C11" s="167"/>
      <c r="D11" s="169"/>
      <c r="E11" s="169"/>
      <c r="F11" s="169"/>
      <c r="G11" s="173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36"/>
      <c r="Y11" s="140" t="n">
        <f aca="false">MAX($C$3:$W$44)-(ROW(Y11)-4)*10</f>
        <v>-50</v>
      </c>
      <c r="Z11" s="136"/>
      <c r="AA11" s="136"/>
      <c r="AB11" s="136"/>
      <c r="AC11" s="136"/>
      <c r="AD11" s="136"/>
    </row>
    <row r="12" customFormat="false" ht="14.25" hidden="false" customHeight="true" outlineLevel="0" collapsed="false">
      <c r="A12" s="131"/>
      <c r="B12" s="42"/>
      <c r="C12" s="174"/>
      <c r="D12" s="175"/>
      <c r="E12" s="175"/>
      <c r="F12" s="175"/>
      <c r="G12" s="176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36"/>
      <c r="Y12" s="140" t="n">
        <f aca="false">MAX($C$3:$W$44)-(ROW(Y12)-4)*10</f>
        <v>-60</v>
      </c>
      <c r="Z12" s="136"/>
      <c r="AA12" s="136"/>
      <c r="AB12" s="136"/>
      <c r="AC12" s="136"/>
      <c r="AD12" s="136"/>
    </row>
    <row r="13" customFormat="false" ht="14.25" hidden="false" customHeight="true" outlineLevel="0" collapsed="false">
      <c r="A13" s="131"/>
      <c r="B13" s="42" t="str">
        <f aca="false">Neu!B9</f>
        <v>B31a</v>
      </c>
      <c r="C13" s="167"/>
      <c r="D13" s="169"/>
      <c r="E13" s="169"/>
      <c r="F13" s="169"/>
      <c r="G13" s="170"/>
      <c r="H13" s="168"/>
      <c r="I13" s="169"/>
      <c r="J13" s="169"/>
      <c r="K13" s="169"/>
      <c r="L13" s="169"/>
      <c r="M13" s="169"/>
      <c r="N13" s="169"/>
      <c r="O13" s="169"/>
      <c r="P13" s="169" t="n">
        <v>-80</v>
      </c>
      <c r="Q13" s="169"/>
      <c r="R13" s="169"/>
      <c r="S13" s="169"/>
      <c r="T13" s="169"/>
      <c r="U13" s="169"/>
      <c r="V13" s="169"/>
      <c r="W13" s="169"/>
      <c r="X13" s="136"/>
      <c r="Y13" s="140" t="n">
        <f aca="false">MAX($C$3:$W$44)-(ROW(Y13)-4)*10</f>
        <v>-70</v>
      </c>
      <c r="Z13" s="136"/>
      <c r="AA13" s="136"/>
      <c r="AB13" s="136"/>
      <c r="AC13" s="136"/>
      <c r="AD13" s="136"/>
    </row>
    <row r="14" customFormat="false" ht="14.25" hidden="false" customHeight="true" outlineLevel="0" collapsed="false">
      <c r="A14" s="131"/>
      <c r="B14" s="42"/>
      <c r="C14" s="171"/>
      <c r="D14" s="165"/>
      <c r="E14" s="165"/>
      <c r="F14" s="165"/>
      <c r="G14" s="166" t="n">
        <v>0</v>
      </c>
      <c r="H14" s="172"/>
      <c r="I14" s="165"/>
      <c r="J14" s="165"/>
      <c r="K14" s="165"/>
      <c r="L14" s="165"/>
      <c r="M14" s="165"/>
      <c r="N14" s="165"/>
      <c r="O14" s="165"/>
      <c r="P14" s="165"/>
      <c r="Q14" s="165" t="n">
        <v>0</v>
      </c>
      <c r="R14" s="165"/>
      <c r="S14" s="165"/>
      <c r="T14" s="165"/>
      <c r="U14" s="165"/>
      <c r="V14" s="165"/>
      <c r="W14" s="165"/>
      <c r="X14" s="136"/>
      <c r="Y14" s="140" t="n">
        <f aca="false">MAX($C$3:$W$44)-(ROW(Y14)-4)*10</f>
        <v>-80</v>
      </c>
      <c r="Z14" s="136"/>
      <c r="AA14" s="136"/>
      <c r="AB14" s="136"/>
      <c r="AC14" s="136"/>
      <c r="AD14" s="136"/>
    </row>
    <row r="15" customFormat="false" ht="14.25" hidden="false" customHeight="true" outlineLevel="0" collapsed="false">
      <c r="A15" s="131"/>
      <c r="B15" s="42" t="str">
        <f aca="false">Neu!B10</f>
        <v>B34</v>
      </c>
      <c r="C15" s="167"/>
      <c r="D15" s="169" t="n">
        <v>-80</v>
      </c>
      <c r="E15" s="169" t="n">
        <v>0</v>
      </c>
      <c r="F15" s="169"/>
      <c r="G15" s="170" t="n">
        <v>0</v>
      </c>
      <c r="H15" s="169"/>
      <c r="I15" s="168"/>
      <c r="J15" s="169"/>
      <c r="K15" s="169"/>
      <c r="L15" s="169"/>
      <c r="M15" s="169" t="n">
        <v>-100</v>
      </c>
      <c r="N15" s="169"/>
      <c r="O15" s="169" t="n">
        <v>0</v>
      </c>
      <c r="P15" s="169" t="n">
        <v>-80</v>
      </c>
      <c r="Q15" s="169"/>
      <c r="R15" s="169"/>
      <c r="S15" s="169"/>
      <c r="T15" s="169"/>
      <c r="U15" s="169"/>
      <c r="V15" s="169"/>
      <c r="W15" s="169"/>
      <c r="X15" s="136"/>
      <c r="Y15" s="140" t="n">
        <f aca="false">MAX($C$3:$W$44)-(ROW(Y15)-4)*10</f>
        <v>-90</v>
      </c>
      <c r="Z15" s="136"/>
      <c r="AA15" s="136"/>
      <c r="AB15" s="136"/>
      <c r="AC15" s="136"/>
      <c r="AD15" s="136"/>
    </row>
    <row r="16" customFormat="false" ht="14.25" hidden="false" customHeight="true" outlineLevel="0" collapsed="false">
      <c r="A16" s="131"/>
      <c r="B16" s="42"/>
      <c r="C16" s="171"/>
      <c r="D16" s="165" t="n">
        <v>-65</v>
      </c>
      <c r="E16" s="165"/>
      <c r="F16" s="165"/>
      <c r="G16" s="166" t="n">
        <v>0</v>
      </c>
      <c r="H16" s="165"/>
      <c r="I16" s="172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36"/>
      <c r="Y16" s="140" t="n">
        <f aca="false">MAX($C$3:$W$44)-(ROW(Y16)-4)*10</f>
        <v>-100</v>
      </c>
      <c r="Z16" s="136"/>
      <c r="AA16" s="136"/>
      <c r="AB16" s="136"/>
      <c r="AC16" s="136"/>
      <c r="AD16" s="136"/>
    </row>
    <row r="17" customFormat="false" ht="14.25" hidden="false" customHeight="true" outlineLevel="0" collapsed="false">
      <c r="A17" s="131"/>
      <c r="B17" s="42" t="str">
        <f aca="false">Neu!B11</f>
        <v>B35</v>
      </c>
      <c r="C17" s="167" t="n">
        <v>-10</v>
      </c>
      <c r="D17" s="169"/>
      <c r="E17" s="169"/>
      <c r="F17" s="169"/>
      <c r="G17" s="170"/>
      <c r="H17" s="169"/>
      <c r="I17" s="169"/>
      <c r="J17" s="168"/>
      <c r="K17" s="169"/>
      <c r="L17" s="169" t="n">
        <v>-70</v>
      </c>
      <c r="M17" s="169"/>
      <c r="N17" s="169" t="n">
        <v>0</v>
      </c>
      <c r="O17" s="169"/>
      <c r="P17" s="169"/>
      <c r="Q17" s="169"/>
      <c r="R17" s="169"/>
      <c r="S17" s="169"/>
      <c r="T17" s="169"/>
      <c r="U17" s="169"/>
      <c r="V17" s="169"/>
      <c r="W17" s="169" t="n">
        <v>0</v>
      </c>
      <c r="X17" s="136"/>
      <c r="Y17" s="140" t="n">
        <f aca="false">MAX($C$3:$W$44)-(ROW(Y17)-4)*10</f>
        <v>-110</v>
      </c>
      <c r="Z17" s="136"/>
      <c r="AA17" s="136"/>
      <c r="AB17" s="136"/>
      <c r="AC17" s="136"/>
      <c r="AD17" s="136"/>
    </row>
    <row r="18" customFormat="false" ht="14.25" hidden="false" customHeight="true" outlineLevel="0" collapsed="false">
      <c r="A18" s="131"/>
      <c r="B18" s="42"/>
      <c r="C18" s="171" t="n">
        <v>20</v>
      </c>
      <c r="D18" s="165"/>
      <c r="E18" s="165"/>
      <c r="F18" s="165"/>
      <c r="G18" s="166"/>
      <c r="H18" s="165"/>
      <c r="I18" s="165"/>
      <c r="J18" s="172"/>
      <c r="K18" s="165"/>
      <c r="L18" s="165"/>
      <c r="M18" s="165"/>
      <c r="N18" s="165" t="n">
        <v>0</v>
      </c>
      <c r="O18" s="165"/>
      <c r="P18" s="165"/>
      <c r="Q18" s="165"/>
      <c r="R18" s="165"/>
      <c r="S18" s="165"/>
      <c r="T18" s="165"/>
      <c r="U18" s="165"/>
      <c r="V18" s="165"/>
      <c r="W18" s="165" t="n">
        <v>0</v>
      </c>
      <c r="X18" s="136"/>
      <c r="Y18" s="140" t="n">
        <f aca="false">MAX($C$3:$W$44)-(ROW(Y18)-4)*10</f>
        <v>-120</v>
      </c>
      <c r="Z18" s="136"/>
      <c r="AA18" s="136"/>
      <c r="AB18" s="136"/>
      <c r="AC18" s="136"/>
      <c r="AD18" s="136"/>
    </row>
    <row r="19" customFormat="false" ht="14.25" hidden="false" customHeight="true" outlineLevel="0" collapsed="false">
      <c r="A19" s="131"/>
      <c r="B19" s="42" t="str">
        <f aca="false">Neu!B12</f>
        <v>B40</v>
      </c>
      <c r="C19" s="167"/>
      <c r="D19" s="169" t="n">
        <v>-75</v>
      </c>
      <c r="E19" s="169"/>
      <c r="F19" s="169"/>
      <c r="G19" s="170" t="n">
        <v>-55</v>
      </c>
      <c r="H19" s="169"/>
      <c r="I19" s="169"/>
      <c r="J19" s="169"/>
      <c r="K19" s="168"/>
      <c r="L19" s="169"/>
      <c r="M19" s="169"/>
      <c r="N19" s="169"/>
      <c r="O19" s="169"/>
      <c r="P19" s="169" t="n">
        <v>-65</v>
      </c>
      <c r="Q19" s="169"/>
      <c r="R19" s="169"/>
      <c r="S19" s="169"/>
      <c r="T19" s="169"/>
      <c r="U19" s="169"/>
      <c r="V19" s="169"/>
      <c r="W19" s="169"/>
      <c r="X19" s="136"/>
      <c r="Y19" s="140" t="n">
        <f aca="false">MAX($C$3:$W$44)-(ROW(Y19)-4)*10</f>
        <v>-130</v>
      </c>
      <c r="Z19" s="136"/>
      <c r="AA19" s="136"/>
      <c r="AB19" s="136"/>
      <c r="AC19" s="136"/>
      <c r="AD19" s="136"/>
    </row>
    <row r="20" customFormat="false" ht="14.25" hidden="false" customHeight="true" outlineLevel="0" collapsed="false">
      <c r="A20" s="131"/>
      <c r="B20" s="42"/>
      <c r="C20" s="171"/>
      <c r="D20" s="165" t="n">
        <v>-64</v>
      </c>
      <c r="E20" s="165"/>
      <c r="F20" s="165"/>
      <c r="G20" s="166"/>
      <c r="H20" s="165"/>
      <c r="I20" s="165"/>
      <c r="J20" s="165"/>
      <c r="K20" s="172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36"/>
      <c r="Y20" s="140" t="n">
        <f aca="false">MAX($C$3:$W$44)-(ROW(Y20)-4)*10</f>
        <v>-140</v>
      </c>
      <c r="Z20" s="136"/>
      <c r="AA20" s="136"/>
      <c r="AB20" s="136"/>
      <c r="AC20" s="136"/>
      <c r="AD20" s="136"/>
    </row>
    <row r="21" customFormat="false" ht="14.25" hidden="false" customHeight="true" outlineLevel="0" collapsed="false">
      <c r="A21" s="131"/>
      <c r="B21" s="42" t="str">
        <f aca="false">Neu!B13</f>
        <v>B51s</v>
      </c>
      <c r="C21" s="167"/>
      <c r="D21" s="169" t="n">
        <v>0</v>
      </c>
      <c r="E21" s="169"/>
      <c r="F21" s="169"/>
      <c r="G21" s="170"/>
      <c r="H21" s="169"/>
      <c r="I21" s="169"/>
      <c r="J21" s="169"/>
      <c r="K21" s="169"/>
      <c r="L21" s="168"/>
      <c r="M21" s="169"/>
      <c r="N21" s="169" t="n">
        <v>-85</v>
      </c>
      <c r="O21" s="169"/>
      <c r="P21" s="169" t="n">
        <v>0</v>
      </c>
      <c r="Q21" s="169"/>
      <c r="R21" s="169"/>
      <c r="S21" s="169"/>
      <c r="T21" s="169"/>
      <c r="U21" s="169"/>
      <c r="V21" s="169"/>
      <c r="W21" s="169" t="n">
        <v>-85</v>
      </c>
      <c r="X21" s="136"/>
      <c r="Y21" s="140" t="n">
        <f aca="false">MAX($C$3:$W$44)-(ROW(Y21)-4)*10</f>
        <v>-150</v>
      </c>
      <c r="Z21" s="136"/>
      <c r="AA21" s="136"/>
      <c r="AB21" s="136"/>
      <c r="AC21" s="136"/>
      <c r="AD21" s="136"/>
    </row>
    <row r="22" customFormat="false" ht="14.25" hidden="false" customHeight="true" outlineLevel="0" collapsed="false">
      <c r="A22" s="131"/>
      <c r="B22" s="42"/>
      <c r="C22" s="171"/>
      <c r="D22" s="165"/>
      <c r="E22" s="165"/>
      <c r="F22" s="165"/>
      <c r="G22" s="166"/>
      <c r="H22" s="165"/>
      <c r="I22" s="165"/>
      <c r="J22" s="165"/>
      <c r="K22" s="165"/>
      <c r="L22" s="172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36"/>
      <c r="Y22" s="140" t="n">
        <f aca="false">MAX($C$3:$W$44)-(ROW(Y22)-4)*10</f>
        <v>-160</v>
      </c>
      <c r="Z22" s="136"/>
      <c r="AA22" s="136"/>
      <c r="AB22" s="136"/>
      <c r="AC22" s="136"/>
      <c r="AD22" s="136"/>
    </row>
    <row r="23" customFormat="false" ht="14.25" hidden="false" customHeight="true" outlineLevel="0" collapsed="false">
      <c r="A23" s="131"/>
      <c r="B23" s="42" t="str">
        <f aca="false">Neu!B14</f>
        <v>B71</v>
      </c>
      <c r="C23" s="167" t="n">
        <v>-100</v>
      </c>
      <c r="D23" s="169" t="n">
        <v>0</v>
      </c>
      <c r="E23" s="169"/>
      <c r="F23" s="169"/>
      <c r="G23" s="170" t="n">
        <v>-100</v>
      </c>
      <c r="H23" s="169"/>
      <c r="I23" s="169" t="n">
        <v>-100</v>
      </c>
      <c r="J23" s="169"/>
      <c r="K23" s="169"/>
      <c r="L23" s="169"/>
      <c r="M23" s="168"/>
      <c r="N23" s="169" t="n">
        <v>-100</v>
      </c>
      <c r="O23" s="169" t="n">
        <v>-100</v>
      </c>
      <c r="P23" s="169"/>
      <c r="Q23" s="169"/>
      <c r="R23" s="169"/>
      <c r="S23" s="169"/>
      <c r="T23" s="169"/>
      <c r="U23" s="169"/>
      <c r="V23" s="169"/>
      <c r="W23" s="169" t="n">
        <v>-100</v>
      </c>
      <c r="X23" s="136"/>
      <c r="Y23" s="140" t="n">
        <f aca="false">MAX($C$3:$W$44)-(ROW(Y23)-4)*10</f>
        <v>-170</v>
      </c>
      <c r="Z23" s="136"/>
      <c r="AA23" s="136"/>
      <c r="AB23" s="136"/>
      <c r="AC23" s="136"/>
      <c r="AD23" s="136"/>
    </row>
    <row r="24" customFormat="false" ht="14.25" hidden="false" customHeight="true" outlineLevel="0" collapsed="false">
      <c r="A24" s="131"/>
      <c r="B24" s="42"/>
      <c r="C24" s="174"/>
      <c r="D24" s="175" t="n">
        <v>0</v>
      </c>
      <c r="E24" s="175"/>
      <c r="F24" s="175"/>
      <c r="G24" s="177" t="n">
        <v>0</v>
      </c>
      <c r="H24" s="175"/>
      <c r="I24" s="175" t="n">
        <v>-100</v>
      </c>
      <c r="J24" s="175"/>
      <c r="K24" s="175"/>
      <c r="L24" s="175"/>
      <c r="M24" s="178"/>
      <c r="N24" s="175" t="n">
        <v>0</v>
      </c>
      <c r="O24" s="175" t="n">
        <v>0</v>
      </c>
      <c r="P24" s="175"/>
      <c r="Q24" s="175"/>
      <c r="R24" s="175"/>
      <c r="S24" s="175"/>
      <c r="T24" s="175"/>
      <c r="U24" s="175"/>
      <c r="V24" s="175"/>
      <c r="W24" s="175" t="n">
        <v>0</v>
      </c>
      <c r="X24" s="136"/>
      <c r="Y24" s="140" t="n">
        <f aca="false">MAX($C$3:$W$44)-(ROW(Y24)-4)*10</f>
        <v>-180</v>
      </c>
      <c r="Z24" s="136"/>
      <c r="AA24" s="136"/>
      <c r="AB24" s="136"/>
      <c r="AC24" s="136"/>
      <c r="AD24" s="136"/>
    </row>
    <row r="25" customFormat="false" ht="14.25" hidden="false" customHeight="true" outlineLevel="0" collapsed="false">
      <c r="A25" s="131"/>
      <c r="B25" s="42" t="str">
        <f aca="false">Neu!B15</f>
        <v>B52</v>
      </c>
      <c r="C25" s="167"/>
      <c r="D25" s="169" t="n">
        <v>-100</v>
      </c>
      <c r="E25" s="169"/>
      <c r="F25" s="169"/>
      <c r="G25" s="170"/>
      <c r="H25" s="169"/>
      <c r="I25" s="169"/>
      <c r="J25" s="169"/>
      <c r="K25" s="169"/>
      <c r="L25" s="169" t="n">
        <v>-80</v>
      </c>
      <c r="M25" s="169" t="n">
        <v>-100</v>
      </c>
      <c r="N25" s="168"/>
      <c r="O25" s="169"/>
      <c r="P25" s="169" t="n">
        <v>-80</v>
      </c>
      <c r="Q25" s="169"/>
      <c r="R25" s="169"/>
      <c r="S25" s="169"/>
      <c r="T25" s="169"/>
      <c r="U25" s="169"/>
      <c r="V25" s="169" t="n">
        <v>-80</v>
      </c>
      <c r="W25" s="179" t="n">
        <v>-100</v>
      </c>
      <c r="X25" s="136"/>
      <c r="Y25" s="140" t="n">
        <f aca="false">MAX($C$3:$W$44)-(ROW(Y25)-4)*10</f>
        <v>-190</v>
      </c>
      <c r="Z25" s="136"/>
      <c r="AA25" s="136"/>
      <c r="AB25" s="136"/>
      <c r="AC25" s="136"/>
      <c r="AD25" s="136"/>
    </row>
    <row r="26" customFormat="false" ht="14.25" hidden="false" customHeight="true" outlineLevel="0" collapsed="false">
      <c r="A26" s="131"/>
      <c r="B26" s="42"/>
      <c r="C26" s="171" t="n">
        <v>-80</v>
      </c>
      <c r="D26" s="165"/>
      <c r="E26" s="165"/>
      <c r="F26" s="165"/>
      <c r="G26" s="166"/>
      <c r="H26" s="165"/>
      <c r="I26" s="165"/>
      <c r="J26" s="165"/>
      <c r="K26" s="165"/>
      <c r="L26" s="165" t="n">
        <v>-80</v>
      </c>
      <c r="M26" s="165"/>
      <c r="N26" s="172"/>
      <c r="O26" s="165"/>
      <c r="P26" s="165" t="n">
        <v>-80</v>
      </c>
      <c r="Q26" s="165"/>
      <c r="R26" s="165"/>
      <c r="S26" s="165"/>
      <c r="T26" s="165"/>
      <c r="U26" s="165"/>
      <c r="V26" s="165"/>
      <c r="W26" s="180"/>
      <c r="X26" s="136"/>
      <c r="Y26" s="140" t="n">
        <f aca="false">MAX($C$3:$W$44)-(ROW(Y26)-4)*10</f>
        <v>-200</v>
      </c>
      <c r="Z26" s="136"/>
      <c r="AA26" s="136"/>
      <c r="AB26" s="136"/>
      <c r="AC26" s="136"/>
      <c r="AD26" s="136"/>
    </row>
    <row r="27" customFormat="false" ht="14.25" hidden="false" customHeight="true" outlineLevel="0" collapsed="false">
      <c r="A27" s="131"/>
      <c r="B27" s="42" t="str">
        <f aca="false">Neu!B16</f>
        <v>B63</v>
      </c>
      <c r="C27" s="167"/>
      <c r="D27" s="169" t="n">
        <v>-80</v>
      </c>
      <c r="E27" s="169" t="n">
        <v>0</v>
      </c>
      <c r="F27" s="169"/>
      <c r="G27" s="170" t="n">
        <v>0</v>
      </c>
      <c r="H27" s="169" t="n">
        <v>0</v>
      </c>
      <c r="I27" s="169" t="n">
        <v>0</v>
      </c>
      <c r="J27" s="169"/>
      <c r="K27" s="169"/>
      <c r="L27" s="169"/>
      <c r="M27" s="169" t="n">
        <v>-100</v>
      </c>
      <c r="N27" s="169"/>
      <c r="O27" s="168"/>
      <c r="P27" s="169" t="n">
        <v>-80</v>
      </c>
      <c r="Q27" s="169"/>
      <c r="R27" s="169"/>
      <c r="S27" s="169"/>
      <c r="T27" s="169"/>
      <c r="U27" s="169"/>
      <c r="V27" s="169"/>
      <c r="W27" s="169"/>
      <c r="X27" s="136"/>
      <c r="Y27" s="140" t="n">
        <f aca="false">MAX($C$3:$W$44)-(ROW(Y27)-4)*10</f>
        <v>-210</v>
      </c>
      <c r="Z27" s="136"/>
      <c r="AA27" s="136"/>
      <c r="AB27" s="136"/>
      <c r="AC27" s="136"/>
      <c r="AD27" s="136"/>
    </row>
    <row r="28" customFormat="false" ht="14.25" hidden="false" customHeight="true" outlineLevel="0" collapsed="false">
      <c r="A28" s="131"/>
      <c r="B28" s="42"/>
      <c r="C28" s="171"/>
      <c r="D28" s="165"/>
      <c r="E28" s="165" t="n">
        <v>0</v>
      </c>
      <c r="F28" s="165"/>
      <c r="G28" s="166" t="n">
        <v>0</v>
      </c>
      <c r="H28" s="165"/>
      <c r="I28" s="165"/>
      <c r="J28" s="165"/>
      <c r="K28" s="165"/>
      <c r="L28" s="165"/>
      <c r="M28" s="165"/>
      <c r="N28" s="165"/>
      <c r="O28" s="172"/>
      <c r="P28" s="165" t="n">
        <v>0</v>
      </c>
      <c r="Q28" s="165" t="n">
        <v>0</v>
      </c>
      <c r="R28" s="165"/>
      <c r="S28" s="165"/>
      <c r="T28" s="165"/>
      <c r="U28" s="165"/>
      <c r="V28" s="165"/>
      <c r="W28" s="165"/>
      <c r="X28" s="136"/>
      <c r="Y28" s="140" t="n">
        <f aca="false">MAX($C$3:$W$44)-(ROW(Y28)-4)*10</f>
        <v>-220</v>
      </c>
      <c r="Z28" s="136"/>
      <c r="AA28" s="136"/>
      <c r="AB28" s="136"/>
      <c r="AC28" s="136"/>
      <c r="AD28" s="136"/>
    </row>
    <row r="29" customFormat="false" ht="14.25" hidden="false" customHeight="true" outlineLevel="0" collapsed="false">
      <c r="A29" s="131"/>
      <c r="B29" s="42" t="str">
        <f aca="false">Neu!B17</f>
        <v>B64s</v>
      </c>
      <c r="C29" s="167" t="n">
        <v>0</v>
      </c>
      <c r="D29" s="169"/>
      <c r="E29" s="169" t="n">
        <v>-80</v>
      </c>
      <c r="F29" s="169" t="n">
        <v>-80</v>
      </c>
      <c r="G29" s="170" t="n">
        <v>-80</v>
      </c>
      <c r="H29" s="169" t="n">
        <v>-80</v>
      </c>
      <c r="I29" s="169" t="n">
        <v>-80</v>
      </c>
      <c r="J29" s="169" t="n">
        <v>-70</v>
      </c>
      <c r="K29" s="169" t="n">
        <v>-80</v>
      </c>
      <c r="L29" s="169"/>
      <c r="M29" s="169"/>
      <c r="N29" s="169" t="n">
        <v>-100</v>
      </c>
      <c r="O29" s="169" t="n">
        <v>-80</v>
      </c>
      <c r="P29" s="168"/>
      <c r="Q29" s="169" t="n">
        <v>-80</v>
      </c>
      <c r="R29" s="169" t="n">
        <v>-80</v>
      </c>
      <c r="S29" s="169" t="n">
        <v>20</v>
      </c>
      <c r="T29" s="169" t="n">
        <v>20</v>
      </c>
      <c r="U29" s="169" t="n">
        <v>20</v>
      </c>
      <c r="V29" s="169"/>
      <c r="W29" s="169" t="n">
        <f aca="false">N29</f>
        <v>-100</v>
      </c>
      <c r="X29" s="136"/>
      <c r="Y29" s="140" t="n">
        <f aca="false">MAX($C$3:$W$44)-(ROW(Y29)-4)*10</f>
        <v>-230</v>
      </c>
      <c r="Z29" s="136"/>
      <c r="AA29" s="136"/>
      <c r="AB29" s="136"/>
      <c r="AC29" s="136"/>
      <c r="AD29" s="136"/>
    </row>
    <row r="30" customFormat="false" ht="14.25" hidden="false" customHeight="true" outlineLevel="0" collapsed="false">
      <c r="A30" s="131"/>
      <c r="B30" s="42"/>
      <c r="C30" s="171"/>
      <c r="D30" s="165"/>
      <c r="E30" s="165"/>
      <c r="F30" s="165"/>
      <c r="G30" s="166"/>
      <c r="H30" s="165"/>
      <c r="I30" s="165"/>
      <c r="J30" s="165"/>
      <c r="K30" s="165"/>
      <c r="L30" s="165"/>
      <c r="M30" s="165"/>
      <c r="N30" s="165"/>
      <c r="O30" s="165"/>
      <c r="P30" s="172"/>
      <c r="Q30" s="165"/>
      <c r="R30" s="165"/>
      <c r="S30" s="165"/>
      <c r="T30" s="165"/>
      <c r="U30" s="165"/>
      <c r="V30" s="165" t="n">
        <v>20</v>
      </c>
      <c r="W30" s="165"/>
      <c r="X30" s="136"/>
      <c r="Y30" s="140" t="n">
        <f aca="false">MAX($C$3:$W$44)-(ROW(Y30)-4)*10</f>
        <v>-240</v>
      </c>
      <c r="Z30" s="136"/>
      <c r="AA30" s="136"/>
      <c r="AB30" s="136"/>
      <c r="AC30" s="136"/>
      <c r="AD30" s="136"/>
    </row>
    <row r="31" customFormat="false" ht="14.25" hidden="false" customHeight="true" outlineLevel="0" collapsed="false">
      <c r="A31" s="131"/>
      <c r="B31" s="42" t="str">
        <f aca="false">Neu!B18</f>
        <v>B65</v>
      </c>
      <c r="C31" s="167" t="n">
        <v>0</v>
      </c>
      <c r="D31" s="169" t="n">
        <v>0</v>
      </c>
      <c r="E31" s="169" t="n">
        <v>0</v>
      </c>
      <c r="F31" s="169" t="n">
        <v>0</v>
      </c>
      <c r="G31" s="170" t="n">
        <v>0</v>
      </c>
      <c r="H31" s="169"/>
      <c r="I31" s="169"/>
      <c r="J31" s="169"/>
      <c r="K31" s="169"/>
      <c r="L31" s="169"/>
      <c r="M31" s="169" t="n">
        <v>-70</v>
      </c>
      <c r="N31" s="169" t="n">
        <v>0</v>
      </c>
      <c r="O31" s="169" t="n">
        <v>0</v>
      </c>
      <c r="P31" s="169" t="n">
        <v>0</v>
      </c>
      <c r="Q31" s="168"/>
      <c r="R31" s="169"/>
      <c r="S31" s="169"/>
      <c r="T31" s="169"/>
      <c r="U31" s="169"/>
      <c r="V31" s="169"/>
      <c r="W31" s="169" t="n">
        <v>0</v>
      </c>
      <c r="X31" s="136"/>
      <c r="Y31" s="140" t="n">
        <f aca="false">MAX($C$3:$W$44)-(ROW(Y31)-4)*10</f>
        <v>-250</v>
      </c>
      <c r="Z31" s="136"/>
      <c r="AA31" s="136"/>
      <c r="AB31" s="136"/>
      <c r="AC31" s="136"/>
      <c r="AD31" s="136"/>
    </row>
    <row r="32" customFormat="false" ht="14.25" hidden="false" customHeight="true" outlineLevel="0" collapsed="false">
      <c r="A32" s="131"/>
      <c r="B32" s="42"/>
      <c r="C32" s="171"/>
      <c r="D32" s="165" t="n">
        <v>0</v>
      </c>
      <c r="E32" s="165" t="n">
        <v>-60</v>
      </c>
      <c r="F32" s="165"/>
      <c r="G32" s="166"/>
      <c r="H32" s="165"/>
      <c r="I32" s="165"/>
      <c r="J32" s="165"/>
      <c r="K32" s="165" t="n">
        <v>-60</v>
      </c>
      <c r="L32" s="165"/>
      <c r="M32" s="165" t="n">
        <v>0</v>
      </c>
      <c r="N32" s="165"/>
      <c r="O32" s="165"/>
      <c r="P32" s="165" t="n">
        <v>-80</v>
      </c>
      <c r="Q32" s="172"/>
      <c r="R32" s="165"/>
      <c r="S32" s="165"/>
      <c r="T32" s="165"/>
      <c r="U32" s="165"/>
      <c r="V32" s="165"/>
      <c r="W32" s="165"/>
      <c r="X32" s="136"/>
      <c r="Y32" s="140" t="n">
        <f aca="false">MAX($C$3:$W$44)-(ROW(Y32)-4)*10</f>
        <v>-260</v>
      </c>
      <c r="Z32" s="136"/>
      <c r="AA32" s="136"/>
      <c r="AB32" s="136"/>
      <c r="AC32" s="136"/>
      <c r="AD32" s="136"/>
    </row>
    <row r="33" customFormat="false" ht="14.25" hidden="false" customHeight="true" outlineLevel="0" collapsed="false">
      <c r="A33" s="131"/>
      <c r="B33" s="42" t="str">
        <f aca="false">Neu!B19</f>
        <v>CBI2</v>
      </c>
      <c r="C33" s="167"/>
      <c r="D33" s="169"/>
      <c r="E33" s="169"/>
      <c r="F33" s="169"/>
      <c r="G33" s="170" t="n">
        <v>0</v>
      </c>
      <c r="H33" s="169"/>
      <c r="I33" s="169" t="n">
        <v>0</v>
      </c>
      <c r="J33" s="169"/>
      <c r="K33" s="169" t="n">
        <v>0</v>
      </c>
      <c r="L33" s="169"/>
      <c r="M33" s="169"/>
      <c r="N33" s="169"/>
      <c r="O33" s="169" t="n">
        <v>0</v>
      </c>
      <c r="P33" s="169"/>
      <c r="Q33" s="169"/>
      <c r="R33" s="168"/>
      <c r="S33" s="169"/>
      <c r="T33" s="169"/>
      <c r="U33" s="169"/>
      <c r="V33" s="169"/>
      <c r="W33" s="169"/>
      <c r="X33" s="136"/>
      <c r="Y33" s="136"/>
      <c r="Z33" s="136"/>
      <c r="AA33" s="136"/>
      <c r="AB33" s="136"/>
      <c r="AC33" s="136"/>
      <c r="AD33" s="136"/>
    </row>
    <row r="34" customFormat="false" ht="14.25" hidden="false" customHeight="true" outlineLevel="0" collapsed="false">
      <c r="A34" s="131"/>
      <c r="B34" s="42"/>
      <c r="C34" s="171"/>
      <c r="D34" s="175" t="n">
        <v>0</v>
      </c>
      <c r="E34" s="175" t="n">
        <v>0</v>
      </c>
      <c r="F34" s="175"/>
      <c r="G34" s="177" t="n">
        <v>0</v>
      </c>
      <c r="H34" s="175"/>
      <c r="I34" s="175" t="n">
        <v>-50</v>
      </c>
      <c r="J34" s="175"/>
      <c r="K34" s="175" t="n">
        <v>0</v>
      </c>
      <c r="L34" s="175"/>
      <c r="M34" s="175"/>
      <c r="N34" s="175"/>
      <c r="O34" s="175" t="n">
        <v>0</v>
      </c>
      <c r="P34" s="165"/>
      <c r="Q34" s="165"/>
      <c r="R34" s="172"/>
      <c r="S34" s="165"/>
      <c r="T34" s="165"/>
      <c r="U34" s="165"/>
      <c r="V34" s="165"/>
      <c r="W34" s="175"/>
      <c r="X34" s="136"/>
      <c r="Y34" s="136"/>
      <c r="Z34" s="136"/>
      <c r="AA34" s="136"/>
      <c r="AB34" s="136"/>
      <c r="AC34" s="136"/>
      <c r="AD34" s="136"/>
    </row>
    <row r="35" customFormat="false" ht="14.25" hidden="false" customHeight="true" outlineLevel="0" collapsed="false">
      <c r="A35" s="131"/>
      <c r="B35" s="42" t="str">
        <f aca="false">Neu!B20</f>
        <v>B6</v>
      </c>
      <c r="C35" s="167"/>
      <c r="D35" s="169"/>
      <c r="E35" s="169"/>
      <c r="F35" s="169"/>
      <c r="G35" s="170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8"/>
      <c r="T35" s="169"/>
      <c r="U35" s="169"/>
      <c r="V35" s="169"/>
      <c r="W35" s="169"/>
      <c r="X35" s="136"/>
      <c r="Y35" s="136"/>
      <c r="Z35" s="136"/>
      <c r="AA35" s="136"/>
      <c r="AB35" s="136"/>
      <c r="AC35" s="136"/>
      <c r="AD35" s="136"/>
    </row>
    <row r="36" customFormat="false" ht="14.25" hidden="false" customHeight="true" outlineLevel="0" collapsed="false">
      <c r="A36" s="131"/>
      <c r="B36" s="42"/>
      <c r="C36" s="174"/>
      <c r="D36" s="175"/>
      <c r="E36" s="175"/>
      <c r="F36" s="175"/>
      <c r="G36" s="177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8"/>
      <c r="T36" s="175"/>
      <c r="U36" s="175"/>
      <c r="V36" s="175"/>
      <c r="W36" s="175"/>
      <c r="X36" s="136"/>
      <c r="Y36" s="136"/>
      <c r="Z36" s="136"/>
      <c r="AA36" s="136"/>
      <c r="AB36" s="136"/>
      <c r="AC36" s="136"/>
      <c r="AD36" s="136"/>
    </row>
    <row r="37" customFormat="false" ht="14.25" hidden="false" customHeight="true" outlineLevel="0" collapsed="false">
      <c r="A37" s="131"/>
      <c r="B37" s="42" t="str">
        <f aca="false">Neu!B21</f>
        <v>B9</v>
      </c>
      <c r="C37" s="167"/>
      <c r="D37" s="169"/>
      <c r="E37" s="169"/>
      <c r="F37" s="169"/>
      <c r="G37" s="170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8"/>
      <c r="U37" s="169"/>
      <c r="V37" s="169"/>
      <c r="W37" s="169"/>
      <c r="X37" s="136"/>
      <c r="Y37" s="136"/>
      <c r="Z37" s="136"/>
      <c r="AA37" s="136"/>
      <c r="AB37" s="136"/>
      <c r="AC37" s="136"/>
      <c r="AD37" s="136"/>
    </row>
    <row r="38" customFormat="false" ht="14.25" hidden="false" customHeight="true" outlineLevel="0" collapsed="false">
      <c r="A38" s="131"/>
      <c r="B38" s="42"/>
      <c r="C38" s="171"/>
      <c r="D38" s="165"/>
      <c r="E38" s="165"/>
      <c r="F38" s="165"/>
      <c r="G38" s="166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72"/>
      <c r="U38" s="165"/>
      <c r="V38" s="165"/>
      <c r="W38" s="165"/>
      <c r="X38" s="136"/>
      <c r="Y38" s="136"/>
      <c r="Z38" s="136"/>
      <c r="AA38" s="136"/>
      <c r="AB38" s="136"/>
      <c r="AC38" s="136"/>
      <c r="AD38" s="136"/>
    </row>
    <row r="39" customFormat="false" ht="14.25" hidden="false" customHeight="true" outlineLevel="0" collapsed="false">
      <c r="A39" s="131"/>
      <c r="B39" s="42" t="str">
        <f aca="false">Neu!B22</f>
        <v>B3</v>
      </c>
      <c r="C39" s="167"/>
      <c r="D39" s="169"/>
      <c r="E39" s="169"/>
      <c r="F39" s="169"/>
      <c r="G39" s="170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8"/>
      <c r="V39" s="169"/>
      <c r="W39" s="169"/>
      <c r="X39" s="136"/>
      <c r="Y39" s="136"/>
      <c r="Z39" s="136"/>
      <c r="AA39" s="136"/>
      <c r="AB39" s="136"/>
      <c r="AC39" s="136"/>
      <c r="AD39" s="136"/>
    </row>
    <row r="40" customFormat="false" ht="14.25" hidden="false" customHeight="true" outlineLevel="0" collapsed="false">
      <c r="A40" s="131"/>
      <c r="B40" s="42"/>
      <c r="C40" s="171"/>
      <c r="D40" s="165"/>
      <c r="E40" s="165"/>
      <c r="F40" s="165"/>
      <c r="G40" s="166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72"/>
      <c r="V40" s="165"/>
      <c r="W40" s="165"/>
      <c r="X40" s="136"/>
      <c r="Y40" s="136"/>
      <c r="Z40" s="136"/>
      <c r="AA40" s="136"/>
      <c r="AB40" s="136"/>
      <c r="AC40" s="136"/>
      <c r="AD40" s="136"/>
    </row>
    <row r="41" customFormat="false" ht="14.25" hidden="false" customHeight="true" outlineLevel="0" collapsed="false">
      <c r="A41" s="131"/>
      <c r="B41" s="42" t="str">
        <f aca="false">Neu!B23</f>
        <v>B91</v>
      </c>
      <c r="C41" s="167"/>
      <c r="D41" s="169"/>
      <c r="E41" s="169"/>
      <c r="F41" s="169"/>
      <c r="G41" s="170"/>
      <c r="H41" s="169"/>
      <c r="I41" s="169"/>
      <c r="J41" s="169"/>
      <c r="K41" s="169"/>
      <c r="L41" s="169"/>
      <c r="M41" s="169"/>
      <c r="N41" s="169" t="n">
        <v>20</v>
      </c>
      <c r="O41" s="169"/>
      <c r="P41" s="169"/>
      <c r="Q41" s="169"/>
      <c r="R41" s="169"/>
      <c r="S41" s="169"/>
      <c r="T41" s="169"/>
      <c r="U41" s="169"/>
      <c r="V41" s="168"/>
      <c r="W41" s="169" t="n">
        <v>20</v>
      </c>
      <c r="X41" s="136"/>
      <c r="Y41" s="136"/>
      <c r="Z41" s="136"/>
      <c r="AA41" s="136"/>
      <c r="AB41" s="136"/>
      <c r="AC41" s="136"/>
      <c r="AD41" s="136"/>
    </row>
    <row r="42" customFormat="false" ht="14.25" hidden="false" customHeight="true" outlineLevel="0" collapsed="false">
      <c r="A42" s="131"/>
      <c r="B42" s="42"/>
      <c r="C42" s="171"/>
      <c r="D42" s="165"/>
      <c r="E42" s="165"/>
      <c r="F42" s="165"/>
      <c r="G42" s="166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72"/>
      <c r="W42" s="165"/>
      <c r="X42" s="136"/>
      <c r="Y42" s="136"/>
      <c r="Z42" s="136"/>
      <c r="AA42" s="136"/>
      <c r="AB42" s="136"/>
      <c r="AC42" s="136"/>
      <c r="AD42" s="136"/>
    </row>
    <row r="43" customFormat="false" ht="14.25" hidden="false" customHeight="true" outlineLevel="0" collapsed="false">
      <c r="A43" s="131"/>
      <c r="B43" s="89" t="str">
        <f aca="false">Neu!B24</f>
        <v>B52b</v>
      </c>
      <c r="C43" s="167"/>
      <c r="D43" s="169" t="n">
        <v>-100</v>
      </c>
      <c r="E43" s="169"/>
      <c r="F43" s="169"/>
      <c r="G43" s="170"/>
      <c r="H43" s="169"/>
      <c r="I43" s="169"/>
      <c r="J43" s="169"/>
      <c r="K43" s="169"/>
      <c r="L43" s="169" t="n">
        <v>-80</v>
      </c>
      <c r="M43" s="169" t="n">
        <v>-100</v>
      </c>
      <c r="N43" s="169" t="n">
        <v>-100</v>
      </c>
      <c r="O43" s="169"/>
      <c r="P43" s="169" t="n">
        <v>-80</v>
      </c>
      <c r="Q43" s="169"/>
      <c r="R43" s="169"/>
      <c r="S43" s="169"/>
      <c r="T43" s="169"/>
      <c r="U43" s="169"/>
      <c r="V43" s="169" t="n">
        <v>-80</v>
      </c>
      <c r="W43" s="181"/>
      <c r="X43" s="136"/>
      <c r="Y43" s="136"/>
      <c r="Z43" s="136"/>
      <c r="AA43" s="136"/>
      <c r="AB43" s="136"/>
      <c r="AC43" s="136"/>
      <c r="AD43" s="136"/>
    </row>
    <row r="44" customFormat="false" ht="14.25" hidden="false" customHeight="true" outlineLevel="0" collapsed="false">
      <c r="A44" s="157"/>
      <c r="B44" s="89"/>
      <c r="C44" s="171" t="n">
        <v>-80</v>
      </c>
      <c r="D44" s="165"/>
      <c r="E44" s="165"/>
      <c r="F44" s="165"/>
      <c r="G44" s="166"/>
      <c r="H44" s="165"/>
      <c r="I44" s="165"/>
      <c r="J44" s="165"/>
      <c r="K44" s="165"/>
      <c r="L44" s="165" t="n">
        <v>-80</v>
      </c>
      <c r="M44" s="165"/>
      <c r="N44" s="182"/>
      <c r="O44" s="165"/>
      <c r="P44" s="165" t="n">
        <v>-80</v>
      </c>
      <c r="Q44" s="165"/>
      <c r="R44" s="165"/>
      <c r="S44" s="165"/>
      <c r="T44" s="165"/>
      <c r="U44" s="165"/>
      <c r="V44" s="165"/>
      <c r="W44" s="183"/>
      <c r="X44" s="136"/>
      <c r="Y44" s="136"/>
      <c r="Z44" s="136"/>
      <c r="AA44" s="136"/>
      <c r="AB44" s="136"/>
      <c r="AC44" s="136"/>
      <c r="AD44" s="136"/>
    </row>
    <row r="45" customFormat="false" ht="15" hidden="false" customHeight="false" outlineLevel="0" collapsed="false"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</row>
    <row r="46" customFormat="false" ht="15" hidden="false" customHeight="false" outlineLevel="0" collapsed="false"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</row>
    <row r="47" customFormat="false" ht="15" hidden="false" customHeight="false" outlineLevel="0" collapsed="false"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</row>
    <row r="48" customFormat="false" ht="15" hidden="false" customHeight="false" outlineLevel="0" collapsed="false"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</row>
    <row r="49" customFormat="false" ht="15" hidden="false" customHeight="false" outlineLevel="0" collapsed="false"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</row>
    <row r="50" customFormat="false" ht="15" hidden="false" customHeight="false" outlineLevel="0" collapsed="false"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</row>
    <row r="51" customFormat="false" ht="15" hidden="false" customHeight="false" outlineLevel="0" collapsed="false"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</row>
    <row r="52" customFormat="false" ht="15" hidden="false" customHeight="false" outlineLevel="0" collapsed="false"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</row>
    <row r="53" customFormat="false" ht="15" hidden="false" customHeight="false" outlineLevel="0" collapsed="false"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</row>
    <row r="54" customFormat="false" ht="15" hidden="false" customHeight="false" outlineLevel="0" collapsed="false"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</row>
    <row r="55" customFormat="false" ht="15" hidden="false" customHeight="false" outlineLevel="0" collapsed="false"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</row>
    <row r="56" customFormat="false" ht="15" hidden="false" customHeight="false" outlineLevel="0" collapsed="false"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</row>
    <row r="57" customFormat="false" ht="15" hidden="false" customHeight="false" outlineLevel="0" collapsed="false"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</row>
    <row r="58" customFormat="false" ht="15" hidden="false" customHeight="false" outlineLevel="0" collapsed="false"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</row>
    <row r="59" customFormat="false" ht="15" hidden="false" customHeight="false" outlineLevel="0" collapsed="false"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</row>
    <row r="60" customFormat="false" ht="15" hidden="false" customHeight="false" outlineLevel="0" collapsed="false"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</row>
    <row r="61" customFormat="false" ht="15" hidden="false" customHeight="false" outlineLevel="0" collapsed="false"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</row>
    <row r="62" customFormat="false" ht="15" hidden="false" customHeight="false" outlineLevel="0" collapsed="false"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</row>
    <row r="63" customFormat="false" ht="15" hidden="false" customHeight="false" outlineLevel="0" collapsed="false"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</row>
    <row r="64" customFormat="false" ht="15" hidden="false" customHeight="false" outlineLevel="0" collapsed="false"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</row>
    <row r="65" customFormat="false" ht="15" hidden="false" customHeight="false" outlineLevel="0" collapsed="false"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</row>
    <row r="66" customFormat="false" ht="15" hidden="false" customHeight="false" outlineLevel="0" collapsed="false"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</row>
    <row r="67" customFormat="false" ht="15" hidden="false" customHeight="false" outlineLevel="0" collapsed="false"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</row>
    <row r="68" customFormat="false" ht="15" hidden="false" customHeight="false" outlineLevel="0" collapsed="false"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</row>
    <row r="69" customFormat="false" ht="15" hidden="false" customHeight="false" outlineLevel="0" collapsed="false"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</row>
    <row r="70" customFormat="false" ht="15" hidden="false" customHeight="false" outlineLevel="0" collapsed="false"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</row>
    <row r="71" customFormat="false" ht="15" hidden="false" customHeight="false" outlineLevel="0" collapsed="false"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</row>
    <row r="72" customFormat="false" ht="15" hidden="false" customHeight="false" outlineLevel="0" collapsed="false"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</row>
    <row r="73" customFormat="false" ht="15" hidden="false" customHeight="false" outlineLevel="0" collapsed="false"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</row>
    <row r="74" customFormat="false" ht="15" hidden="false" customHeight="false" outlineLevel="0" collapsed="false"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</row>
    <row r="75" customFormat="false" ht="15" hidden="false" customHeight="false" outlineLevel="0" collapsed="false"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</row>
    <row r="76" customFormat="false" ht="15" hidden="false" customHeight="false" outlineLevel="0" collapsed="false"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C2:W2">
    <cfRule type="cellIs" priority="2" operator="equal" aboveAverage="0" equalAverage="0" bottom="0" percent="0" rank="0" text="" dxfId="483">
      <formula>0</formula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484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44">
    <cfRule type="colorScale" priority="5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2 Y4:Y36">
    <cfRule type="cellIs" priority="6" operator="lessThan" aboveAverage="0" equalAverage="0" bottom="0" percent="0" rank="0" text="" dxfId="485">
      <formula>-100</formula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5" colorId="64" zoomScale="80" zoomScaleNormal="80" zoomScalePageLayoutView="100" workbookViewId="0">
      <selection pane="topLeft" activeCell="AC53" activeCellId="0" sqref="AC53"/>
    </sheetView>
  </sheetViews>
  <sheetFormatPr defaultColWidth="9.14453125" defaultRowHeight="15" zeroHeight="false" outlineLevelRow="0" outlineLevelCol="0"/>
  <cols>
    <col collapsed="false" customWidth="true" hidden="false" outlineLevel="0" max="1" min="1" style="125" width="4.14"/>
    <col collapsed="false" customWidth="false" hidden="false" outlineLevel="0" max="2" min="2" style="125" width="9.14"/>
    <col collapsed="false" customWidth="true" hidden="false" outlineLevel="0" max="23" min="3" style="125" width="6.71"/>
    <col collapsed="false" customWidth="true" hidden="false" outlineLevel="0" max="26" min="24" style="125" width="5.71"/>
    <col collapsed="false" customWidth="true" hidden="false" outlineLevel="0" max="27" min="27" style="184" width="7.14"/>
    <col collapsed="false" customWidth="true" hidden="false" outlineLevel="0" max="28" min="28" style="185" width="7.43"/>
    <col collapsed="false" customWidth="true" hidden="false" outlineLevel="0" max="29" min="29" style="184" width="6.57"/>
    <col collapsed="false" customWidth="true" hidden="false" outlineLevel="0" max="30" min="30" style="186" width="5.71"/>
    <col collapsed="false" customWidth="true" hidden="false" outlineLevel="0" max="31" min="31" style="187" width="5.71"/>
    <col collapsed="false" customWidth="true" hidden="false" outlineLevel="0" max="33" min="32" style="188" width="5.71"/>
    <col collapsed="false" customWidth="true" hidden="false" outlineLevel="0" max="34" min="34" style="186" width="5.71"/>
    <col collapsed="false" customWidth="true" hidden="false" outlineLevel="0" max="35" min="35" style="189" width="5.85"/>
    <col collapsed="false" customWidth="true" hidden="false" outlineLevel="0" max="36" min="36" style="189" width="7.43"/>
    <col collapsed="false" customWidth="false" hidden="false" outlineLevel="0" max="1024" min="37" style="125" width="9.14"/>
  </cols>
  <sheetData>
    <row r="1" customFormat="false" ht="15.75" hidden="false" customHeight="false" outlineLevel="0" collapsed="false">
      <c r="A1" s="126"/>
      <c r="B1" s="126"/>
      <c r="C1" s="190" t="s">
        <v>220</v>
      </c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AA1" s="191" t="s">
        <v>225</v>
      </c>
      <c r="AB1" s="191"/>
      <c r="AC1" s="192" t="s">
        <v>226</v>
      </c>
      <c r="AD1" s="193"/>
      <c r="AE1" s="191" t="s">
        <v>227</v>
      </c>
      <c r="AF1" s="191"/>
      <c r="AG1" s="191"/>
      <c r="AH1" s="191"/>
      <c r="AI1" s="191" t="s">
        <v>228</v>
      </c>
      <c r="AJ1" s="191"/>
    </row>
    <row r="2" customFormat="false" ht="15.75" hidden="false" customHeight="false" outlineLevel="0" collapsed="false">
      <c r="A2" s="126"/>
      <c r="B2" s="126"/>
      <c r="C2" s="128" t="str">
        <f aca="false">Neu!$B4</f>
        <v>B4</v>
      </c>
      <c r="D2" s="129" t="str">
        <f aca="false">Neu!$B5</f>
        <v>B8</v>
      </c>
      <c r="E2" s="129" t="str">
        <f aca="false">Neu!$B6</f>
        <v>B20</v>
      </c>
      <c r="F2" s="129" t="str">
        <f aca="false">Neu!$B7</f>
        <v>B30</v>
      </c>
      <c r="G2" s="129" t="str">
        <f aca="false">Neu!$B8</f>
        <v>B31s</v>
      </c>
      <c r="H2" s="129" t="str">
        <f aca="false">Neu!$B9</f>
        <v>B31a</v>
      </c>
      <c r="I2" s="129" t="str">
        <f aca="false">Neu!$B10</f>
        <v>B34</v>
      </c>
      <c r="J2" s="129" t="str">
        <f aca="false">Neu!$B11</f>
        <v>B35</v>
      </c>
      <c r="K2" s="129" t="str">
        <f aca="false">Neu!$B12</f>
        <v>B40</v>
      </c>
      <c r="L2" s="129" t="str">
        <f aca="false">Neu!$B13</f>
        <v>B51s</v>
      </c>
      <c r="M2" s="129" t="str">
        <f aca="false">Neu!$B14</f>
        <v>B71</v>
      </c>
      <c r="N2" s="129" t="str">
        <f aca="false">Neu!$B15</f>
        <v>B52</v>
      </c>
      <c r="O2" s="129" t="str">
        <f aca="false">Neu!$B16</f>
        <v>B63</v>
      </c>
      <c r="P2" s="129" t="str">
        <f aca="false">Neu!$B17</f>
        <v>B64s</v>
      </c>
      <c r="Q2" s="129" t="str">
        <f aca="false">Neu!$B18</f>
        <v>B65</v>
      </c>
      <c r="R2" s="129" t="str">
        <f aca="false">Neu!$B19</f>
        <v>CBI2</v>
      </c>
      <c r="S2" s="129" t="str">
        <f aca="false">Neu!$B20</f>
        <v>B6</v>
      </c>
      <c r="T2" s="129" t="str">
        <f aca="false">Neu!$B21</f>
        <v>B9</v>
      </c>
      <c r="U2" s="129" t="str">
        <f aca="false">Neu!$B22</f>
        <v>B3</v>
      </c>
      <c r="V2" s="129" t="str">
        <f aca="false">Neu!$B23</f>
        <v>B91</v>
      </c>
      <c r="W2" s="130" t="str">
        <f aca="false">Neu!$B24</f>
        <v>B52b</v>
      </c>
      <c r="AA2" s="193" t="s">
        <v>229</v>
      </c>
      <c r="AB2" s="193" t="s">
        <v>230</v>
      </c>
      <c r="AC2" s="193" t="s">
        <v>231</v>
      </c>
      <c r="AD2" s="193" t="s">
        <v>232</v>
      </c>
      <c r="AE2" s="193" t="s">
        <v>23</v>
      </c>
      <c r="AF2" s="193" t="s">
        <v>24</v>
      </c>
      <c r="AG2" s="193" t="s">
        <v>21</v>
      </c>
      <c r="AH2" s="193" t="s">
        <v>233</v>
      </c>
      <c r="AI2" s="193" t="s">
        <v>61</v>
      </c>
      <c r="AJ2" s="17" t="s">
        <v>234</v>
      </c>
    </row>
    <row r="3" customFormat="false" ht="14.25" hidden="false" customHeight="true" outlineLevel="0" collapsed="false">
      <c r="A3" s="131" t="s">
        <v>221</v>
      </c>
      <c r="B3" s="27" t="str">
        <f aca="false">Neu!B4</f>
        <v>B4</v>
      </c>
      <c r="C3" s="132"/>
      <c r="D3" s="133" t="n">
        <v>2</v>
      </c>
      <c r="E3" s="133"/>
      <c r="F3" s="134"/>
      <c r="G3" s="133" t="n">
        <v>2</v>
      </c>
      <c r="H3" s="133"/>
      <c r="I3" s="133"/>
      <c r="J3" s="133"/>
      <c r="K3" s="134"/>
      <c r="L3" s="133" t="n">
        <v>36</v>
      </c>
      <c r="M3" s="133" t="n">
        <v>21</v>
      </c>
      <c r="N3" s="133" t="n">
        <v>2</v>
      </c>
      <c r="O3" s="133"/>
      <c r="P3" s="134" t="n">
        <v>2</v>
      </c>
      <c r="Q3" s="133"/>
      <c r="R3" s="133"/>
      <c r="S3" s="125" t="n">
        <v>40</v>
      </c>
      <c r="T3" s="133" t="n">
        <v>41</v>
      </c>
      <c r="U3" s="125" t="n">
        <v>39</v>
      </c>
      <c r="V3" s="143"/>
      <c r="W3" s="133" t="n">
        <v>2</v>
      </c>
      <c r="X3" s="194" t="s">
        <v>222</v>
      </c>
      <c r="Y3" s="125" t="n">
        <f aca="false">COUNTIF($C$3:$W$44,ROW(Z3)-2)</f>
        <v>11</v>
      </c>
      <c r="Z3" s="125" t="n">
        <f aca="false">IF(ROW(AA3)-2&lt;=MAX($C$3:$W$44),ROW(AA3)-2,"")</f>
        <v>1</v>
      </c>
      <c r="AA3" s="195" t="n">
        <v>0.01</v>
      </c>
      <c r="AB3" s="196"/>
      <c r="AC3" s="195"/>
      <c r="AD3" s="197"/>
      <c r="AE3" s="198"/>
      <c r="AF3" s="199"/>
      <c r="AG3" s="199"/>
      <c r="AH3" s="197"/>
      <c r="AK3" s="194"/>
    </row>
    <row r="4" customFormat="false" ht="14.25" hidden="false" customHeight="true" outlineLevel="0" collapsed="false">
      <c r="A4" s="131"/>
      <c r="B4" s="27"/>
      <c r="C4" s="137"/>
      <c r="D4" s="138"/>
      <c r="E4" s="138"/>
      <c r="F4" s="139"/>
      <c r="G4" s="138"/>
      <c r="H4" s="138"/>
      <c r="I4" s="138"/>
      <c r="J4" s="138"/>
      <c r="K4" s="139"/>
      <c r="L4" s="138"/>
      <c r="M4" s="138"/>
      <c r="N4" s="138"/>
      <c r="O4" s="138"/>
      <c r="P4" s="139"/>
      <c r="Q4" s="138"/>
      <c r="R4" s="138"/>
      <c r="S4" s="138"/>
      <c r="T4" s="138"/>
      <c r="U4" s="138"/>
      <c r="V4" s="138"/>
      <c r="W4" s="138"/>
      <c r="X4" s="194" t="s">
        <v>224</v>
      </c>
      <c r="Y4" s="125" t="n">
        <f aca="false">COUNTIF($C$3:$W$44,ROW(Z4)-2)</f>
        <v>16</v>
      </c>
      <c r="Z4" s="125" t="n">
        <f aca="false">IF(ROW(AA4)-2&lt;=MAX($C$3:$W$44),ROW(AA4)-2,"")</f>
        <v>2</v>
      </c>
      <c r="AA4" s="184" t="n">
        <v>0.015</v>
      </c>
      <c r="AK4" s="194"/>
    </row>
    <row r="5" customFormat="false" ht="14.25" hidden="false" customHeight="true" outlineLevel="0" collapsed="false">
      <c r="A5" s="131"/>
      <c r="B5" s="42" t="str">
        <f aca="false">Neu!B5</f>
        <v>B8</v>
      </c>
      <c r="C5" s="141"/>
      <c r="D5" s="142"/>
      <c r="E5" s="143"/>
      <c r="F5" s="144"/>
      <c r="G5" s="143"/>
      <c r="H5" s="143"/>
      <c r="I5" s="143"/>
      <c r="J5" s="143"/>
      <c r="K5" s="144"/>
      <c r="L5" s="143"/>
      <c r="M5" s="143"/>
      <c r="N5" s="143"/>
      <c r="O5" s="143"/>
      <c r="P5" s="144"/>
      <c r="Q5" s="143"/>
      <c r="R5" s="143"/>
      <c r="S5" s="143"/>
      <c r="T5" s="143"/>
      <c r="U5" s="143"/>
      <c r="V5" s="143"/>
      <c r="W5" s="143"/>
      <c r="Y5" s="125" t="n">
        <f aca="false">COUNTIF($C$3:$W$44,ROW(Z5)-2)</f>
        <v>4</v>
      </c>
      <c r="Z5" s="125" t="n">
        <f aca="false">IF(ROW(AA5)-2&lt;=MAX($C$3:$W$44),ROW(AA5)-2,"")</f>
        <v>3</v>
      </c>
      <c r="AA5" s="184" t="n">
        <v>0.1</v>
      </c>
    </row>
    <row r="6" customFormat="false" ht="14.25" hidden="false" customHeight="true" outlineLevel="0" collapsed="false">
      <c r="A6" s="131"/>
      <c r="B6" s="42"/>
      <c r="C6" s="145"/>
      <c r="D6" s="146"/>
      <c r="E6" s="147"/>
      <c r="F6" s="148"/>
      <c r="G6" s="147"/>
      <c r="H6" s="147"/>
      <c r="I6" s="147"/>
      <c r="J6" s="147"/>
      <c r="K6" s="148"/>
      <c r="L6" s="147"/>
      <c r="M6" s="147"/>
      <c r="N6" s="147"/>
      <c r="O6" s="147"/>
      <c r="P6" s="148"/>
      <c r="Q6" s="147"/>
      <c r="R6" s="147"/>
      <c r="S6" s="147"/>
      <c r="T6" s="147"/>
      <c r="U6" s="147"/>
      <c r="V6" s="147"/>
      <c r="W6" s="147"/>
      <c r="Y6" s="125" t="n">
        <f aca="false">COUNTIF($C$3:$W$44,ROW(Z6)-2)</f>
        <v>3</v>
      </c>
      <c r="Z6" s="125" t="n">
        <f aca="false">IF(ROW(AA6)-2&lt;=MAX($C$3:$W$44),ROW(AA6)-2,"")</f>
        <v>4</v>
      </c>
      <c r="AA6" s="184" t="n">
        <v>0.2</v>
      </c>
    </row>
    <row r="7" customFormat="false" ht="14.25" hidden="false" customHeight="true" outlineLevel="0" collapsed="false">
      <c r="A7" s="131"/>
      <c r="B7" s="42" t="str">
        <f aca="false">Neu!B6</f>
        <v>B20</v>
      </c>
      <c r="C7" s="141" t="n">
        <v>10</v>
      </c>
      <c r="D7" s="143" t="n">
        <v>48</v>
      </c>
      <c r="E7" s="142"/>
      <c r="F7" s="144"/>
      <c r="G7" s="143"/>
      <c r="H7" s="143"/>
      <c r="I7" s="143"/>
      <c r="J7" s="143"/>
      <c r="K7" s="144"/>
      <c r="L7" s="143"/>
      <c r="M7" s="143"/>
      <c r="N7" s="143" t="n">
        <v>10</v>
      </c>
      <c r="O7" s="143"/>
      <c r="P7" s="144"/>
      <c r="Q7" s="143"/>
      <c r="R7" s="143"/>
      <c r="S7" s="143"/>
      <c r="T7" s="143"/>
      <c r="U7" s="143"/>
      <c r="V7" s="143"/>
      <c r="W7" s="143" t="n">
        <v>10</v>
      </c>
      <c r="Y7" s="125" t="n">
        <f aca="false">COUNTIF($C$3:$W$44,ROW(Z7)-2)</f>
        <v>3</v>
      </c>
      <c r="Z7" s="125" t="n">
        <f aca="false">IF(ROW(AA7)-2&lt;=MAX($C$3:$W$44),ROW(AA7)-2,"")</f>
        <v>5</v>
      </c>
      <c r="AA7" s="184" t="n">
        <v>0.004</v>
      </c>
      <c r="AB7" s="185" t="n">
        <v>0.0015</v>
      </c>
      <c r="AI7" s="189" t="s">
        <v>2</v>
      </c>
      <c r="AJ7" s="189" t="n">
        <v>0.5</v>
      </c>
    </row>
    <row r="8" customFormat="false" ht="14.25" hidden="false" customHeight="true" outlineLevel="0" collapsed="false">
      <c r="A8" s="131"/>
      <c r="B8" s="42"/>
      <c r="C8" s="145" t="n">
        <v>25</v>
      </c>
      <c r="D8" s="147" t="n">
        <v>4</v>
      </c>
      <c r="E8" s="146"/>
      <c r="F8" s="148"/>
      <c r="G8" s="147"/>
      <c r="H8" s="147"/>
      <c r="I8" s="147"/>
      <c r="J8" s="147"/>
      <c r="K8" s="148"/>
      <c r="L8" s="147"/>
      <c r="M8" s="147"/>
      <c r="N8" s="147"/>
      <c r="O8" s="147"/>
      <c r="P8" s="148"/>
      <c r="Q8" s="147"/>
      <c r="R8" s="147"/>
      <c r="S8" s="147"/>
      <c r="T8" s="147"/>
      <c r="U8" s="147"/>
      <c r="V8" s="147"/>
      <c r="W8" s="147"/>
      <c r="Y8" s="125" t="n">
        <f aca="false">COUNTIF($C$3:$W$44,ROW(Z8)-2)</f>
        <v>1</v>
      </c>
      <c r="Z8" s="125" t="n">
        <f aca="false">IF(ROW(AA8)-2&lt;=MAX($C$3:$W$44),ROW(AA8)-2,"")</f>
        <v>6</v>
      </c>
      <c r="AA8" s="184" t="n">
        <v>1</v>
      </c>
      <c r="AE8" s="187" t="n">
        <v>-31</v>
      </c>
      <c r="AF8" s="188" t="n">
        <v>3</v>
      </c>
      <c r="AG8" s="188" t="n">
        <v>1</v>
      </c>
      <c r="AH8" s="186" t="n">
        <v>0.5</v>
      </c>
      <c r="AI8" s="189" t="s">
        <v>2</v>
      </c>
      <c r="AJ8" s="189" t="n">
        <v>0.5</v>
      </c>
    </row>
    <row r="9" customFormat="false" ht="14.25" hidden="false" customHeight="true" outlineLevel="0" collapsed="false">
      <c r="A9" s="131"/>
      <c r="B9" s="42" t="str">
        <f aca="false">Neu!B7</f>
        <v>B30</v>
      </c>
      <c r="C9" s="141"/>
      <c r="D9" s="143" t="n">
        <v>7</v>
      </c>
      <c r="E9" s="143"/>
      <c r="F9" s="149"/>
      <c r="G9" s="143" t="n">
        <v>8</v>
      </c>
      <c r="H9" s="143"/>
      <c r="I9" s="143"/>
      <c r="J9" s="143"/>
      <c r="K9" s="144"/>
      <c r="L9" s="143"/>
      <c r="M9" s="143"/>
      <c r="N9" s="143"/>
      <c r="O9" s="143" t="n">
        <v>9</v>
      </c>
      <c r="P9" s="144" t="n">
        <v>10</v>
      </c>
      <c r="Q9" s="143"/>
      <c r="R9" s="143"/>
      <c r="S9" s="143"/>
      <c r="T9" s="143"/>
      <c r="U9" s="143"/>
      <c r="V9" s="143"/>
      <c r="W9" s="143"/>
      <c r="Y9" s="125" t="n">
        <f aca="false">COUNTIF($C$3:$W$44,ROW(Z9)-2)</f>
        <v>1</v>
      </c>
      <c r="Z9" s="125" t="n">
        <f aca="false">IF(ROW(AA9)-2&lt;=MAX($C$3:$W$44),ROW(AA9)-2,"")</f>
        <v>7</v>
      </c>
      <c r="AA9" s="184" t="n">
        <v>0.2</v>
      </c>
      <c r="AB9" s="185" t="n">
        <v>0.001</v>
      </c>
      <c r="AK9" s="194" t="s">
        <v>235</v>
      </c>
    </row>
    <row r="10" customFormat="false" ht="14.25" hidden="false" customHeight="true" outlineLevel="0" collapsed="false">
      <c r="A10" s="131"/>
      <c r="B10" s="42"/>
      <c r="C10" s="145"/>
      <c r="D10" s="147" t="n">
        <v>26</v>
      </c>
      <c r="E10" s="147"/>
      <c r="F10" s="155"/>
      <c r="G10" s="147"/>
      <c r="H10" s="147"/>
      <c r="I10" s="147"/>
      <c r="J10" s="147"/>
      <c r="K10" s="148"/>
      <c r="L10" s="147"/>
      <c r="M10" s="147"/>
      <c r="N10" s="147"/>
      <c r="O10" s="147"/>
      <c r="P10" s="148" t="n">
        <v>11</v>
      </c>
      <c r="Q10" s="147"/>
      <c r="R10" s="147"/>
      <c r="S10" s="147"/>
      <c r="T10" s="147"/>
      <c r="U10" s="147"/>
      <c r="V10" s="147"/>
      <c r="W10" s="147"/>
      <c r="Y10" s="125" t="n">
        <f aca="false">COUNTIF($C$3:$W$44,ROW(Z10)-2)</f>
        <v>1</v>
      </c>
      <c r="Z10" s="125" t="n">
        <f aca="false">IF(ROW(AA10)-2&lt;=MAX($C$3:$W$44),ROW(AA10)-2,"")</f>
        <v>8</v>
      </c>
      <c r="AA10" s="184" t="n">
        <v>0.005</v>
      </c>
      <c r="AI10" s="189" t="s">
        <v>2</v>
      </c>
      <c r="AJ10" s="189" t="n">
        <v>0.5</v>
      </c>
      <c r="AL10" s="194"/>
    </row>
    <row r="11" customFormat="false" ht="14.25" hidden="false" customHeight="true" outlineLevel="0" collapsed="false">
      <c r="A11" s="131"/>
      <c r="B11" s="42" t="str">
        <f aca="false">Neu!B8</f>
        <v>B31s</v>
      </c>
      <c r="C11" s="141"/>
      <c r="D11" s="143"/>
      <c r="E11" s="143"/>
      <c r="F11" s="144"/>
      <c r="G11" s="142"/>
      <c r="H11" s="143"/>
      <c r="I11" s="143"/>
      <c r="J11" s="143"/>
      <c r="K11" s="144"/>
      <c r="L11" s="143"/>
      <c r="M11" s="143"/>
      <c r="N11" s="143"/>
      <c r="O11" s="143"/>
      <c r="P11" s="144"/>
      <c r="Q11" s="143"/>
      <c r="R11" s="143"/>
      <c r="S11" s="143"/>
      <c r="T11" s="143"/>
      <c r="U11" s="143"/>
      <c r="V11" s="143"/>
      <c r="W11" s="143"/>
      <c r="Y11" s="125" t="n">
        <f aca="false">COUNTIF($C$3:$W$44,ROW(Z11)-2)</f>
        <v>9</v>
      </c>
      <c r="Z11" s="125" t="n">
        <f aca="false">IF(ROW(AA11)-2&lt;=MAX($C$3:$W$44),ROW(AA11)-2,"")</f>
        <v>9</v>
      </c>
      <c r="AA11" s="184" t="n">
        <v>0.01</v>
      </c>
      <c r="AI11" s="189" t="s">
        <v>2</v>
      </c>
      <c r="AJ11" s="189" t="n">
        <v>0.5</v>
      </c>
    </row>
    <row r="12" customFormat="false" ht="14.25" hidden="false" customHeight="true" outlineLevel="0" collapsed="false">
      <c r="A12" s="131"/>
      <c r="B12" s="42"/>
      <c r="C12" s="145"/>
      <c r="D12" s="147"/>
      <c r="E12" s="147"/>
      <c r="F12" s="148"/>
      <c r="G12" s="146"/>
      <c r="H12" s="147"/>
      <c r="I12" s="147"/>
      <c r="J12" s="147"/>
      <c r="K12" s="148"/>
      <c r="L12" s="147"/>
      <c r="M12" s="147"/>
      <c r="N12" s="147"/>
      <c r="O12" s="147"/>
      <c r="P12" s="148"/>
      <c r="Q12" s="147"/>
      <c r="R12" s="147"/>
      <c r="S12" s="147"/>
      <c r="T12" s="147"/>
      <c r="U12" s="147"/>
      <c r="V12" s="147"/>
      <c r="W12" s="147"/>
      <c r="Y12" s="125" t="n">
        <f aca="false">COUNTIF($C$3:$W$44,ROW(Z12)-2)</f>
        <v>5</v>
      </c>
      <c r="Z12" s="125" t="n">
        <f aca="false">IF(ROW(AA12)-2&lt;=MAX($C$3:$W$44),ROW(AA12)-2,"")</f>
        <v>10</v>
      </c>
      <c r="AA12" s="184" t="n">
        <v>0.02</v>
      </c>
    </row>
    <row r="13" customFormat="false" ht="14.25" hidden="false" customHeight="true" outlineLevel="0" collapsed="false">
      <c r="A13" s="131"/>
      <c r="B13" s="42" t="str">
        <f aca="false">Neu!B9</f>
        <v>B31a</v>
      </c>
      <c r="C13" s="141"/>
      <c r="D13" s="143"/>
      <c r="E13" s="143"/>
      <c r="F13" s="144"/>
      <c r="G13" s="143"/>
      <c r="H13" s="142"/>
      <c r="I13" s="143"/>
      <c r="J13" s="143"/>
      <c r="K13" s="144"/>
      <c r="L13" s="143"/>
      <c r="M13" s="143"/>
      <c r="N13" s="143"/>
      <c r="O13" s="143"/>
      <c r="P13" s="144" t="n">
        <v>3</v>
      </c>
      <c r="Q13" s="143"/>
      <c r="R13" s="143"/>
      <c r="S13" s="143"/>
      <c r="T13" s="143"/>
      <c r="U13" s="143"/>
      <c r="V13" s="143"/>
      <c r="W13" s="143"/>
      <c r="Y13" s="125" t="n">
        <f aca="false">COUNTIF($C$3:$W$44,ROW(Z13)-2)</f>
        <v>1</v>
      </c>
      <c r="Z13" s="125" t="n">
        <f aca="false">IF(ROW(AA13)-2&lt;=MAX($C$3:$W$44),ROW(AA13)-2,"")</f>
        <v>11</v>
      </c>
      <c r="AA13" s="184" t="n">
        <v>0.5</v>
      </c>
      <c r="AB13" s="185" t="n">
        <v>5</v>
      </c>
      <c r="AE13" s="187" t="n">
        <v>-30</v>
      </c>
      <c r="AF13" s="188" t="n">
        <v>15</v>
      </c>
      <c r="AG13" s="188" t="n">
        <v>1</v>
      </c>
      <c r="AH13" s="186" t="n">
        <v>0.5</v>
      </c>
      <c r="AK13" s="200" t="s">
        <v>236</v>
      </c>
    </row>
    <row r="14" customFormat="false" ht="14.25" hidden="false" customHeight="true" outlineLevel="0" collapsed="false">
      <c r="A14" s="131"/>
      <c r="B14" s="42"/>
      <c r="C14" s="145"/>
      <c r="D14" s="147"/>
      <c r="E14" s="147"/>
      <c r="F14" s="148"/>
      <c r="G14" s="147" t="n">
        <v>12</v>
      </c>
      <c r="H14" s="146"/>
      <c r="I14" s="147"/>
      <c r="J14" s="147"/>
      <c r="K14" s="148"/>
      <c r="L14" s="147"/>
      <c r="M14" s="147"/>
      <c r="N14" s="147"/>
      <c r="O14" s="147"/>
      <c r="P14" s="148"/>
      <c r="Q14" s="147" t="n">
        <v>3</v>
      </c>
      <c r="R14" s="147"/>
      <c r="S14" s="147"/>
      <c r="T14" s="147"/>
      <c r="U14" s="147"/>
      <c r="V14" s="147"/>
      <c r="W14" s="147"/>
      <c r="Y14" s="125" t="n">
        <f aca="false">COUNTIF($C$3:$W$44,ROW(Z14)-2)</f>
        <v>2</v>
      </c>
      <c r="Z14" s="125" t="n">
        <f aca="false">IF(ROW(AA14)-2&lt;=MAX($C$3:$W$44),ROW(AA14)-2,"")</f>
        <v>12</v>
      </c>
      <c r="AA14" s="184" t="n">
        <v>0.2</v>
      </c>
      <c r="AE14" s="187" t="n">
        <v>-48</v>
      </c>
      <c r="AF14" s="188" t="n">
        <v>4</v>
      </c>
      <c r="AG14" s="188" t="n">
        <v>3</v>
      </c>
      <c r="AH14" s="186" t="n">
        <v>0.1</v>
      </c>
      <c r="AI14" s="189" t="s">
        <v>2</v>
      </c>
      <c r="AJ14" s="189" t="n">
        <v>0.5</v>
      </c>
    </row>
    <row r="15" customFormat="false" ht="14.25" hidden="false" customHeight="true" outlineLevel="0" collapsed="false">
      <c r="A15" s="131"/>
      <c r="B15" s="42" t="str">
        <f aca="false">Neu!B10</f>
        <v>B34</v>
      </c>
      <c r="C15" s="141"/>
      <c r="D15" s="143" t="n">
        <v>1</v>
      </c>
      <c r="E15" s="143" t="n">
        <v>4</v>
      </c>
      <c r="F15" s="144"/>
      <c r="G15" s="143" t="n">
        <v>9</v>
      </c>
      <c r="H15" s="143"/>
      <c r="I15" s="142"/>
      <c r="J15" s="143"/>
      <c r="K15" s="144"/>
      <c r="L15" s="143"/>
      <c r="M15" s="143" t="n">
        <v>2</v>
      </c>
      <c r="N15" s="143"/>
      <c r="O15" s="143" t="n">
        <v>14</v>
      </c>
      <c r="P15" s="144" t="n">
        <v>4</v>
      </c>
      <c r="Q15" s="143"/>
      <c r="R15" s="143"/>
      <c r="S15" s="143"/>
      <c r="T15" s="143"/>
      <c r="U15" s="143"/>
      <c r="V15" s="143"/>
      <c r="W15" s="143"/>
      <c r="Y15" s="125" t="n">
        <f aca="false">COUNTIF($C$3:$W$44,ROW(Z15)-2)</f>
        <v>3</v>
      </c>
      <c r="Z15" s="125" t="n">
        <f aca="false">IF(ROW(AA15)-2&lt;=MAX($C$3:$W$44),ROW(AA15)-2,"")</f>
        <v>13</v>
      </c>
      <c r="AA15" s="184" t="n">
        <v>1.5</v>
      </c>
    </row>
    <row r="16" customFormat="false" ht="14.25" hidden="false" customHeight="true" outlineLevel="0" collapsed="false">
      <c r="A16" s="131"/>
      <c r="B16" s="42"/>
      <c r="C16" s="150"/>
      <c r="D16" s="138" t="n">
        <v>29</v>
      </c>
      <c r="E16" s="138"/>
      <c r="F16" s="139"/>
      <c r="G16" s="138" t="n">
        <v>37</v>
      </c>
      <c r="H16" s="138"/>
      <c r="I16" s="152"/>
      <c r="J16" s="138"/>
      <c r="K16" s="139"/>
      <c r="L16" s="138"/>
      <c r="M16" s="138"/>
      <c r="N16" s="138"/>
      <c r="O16" s="138"/>
      <c r="P16" s="139"/>
      <c r="Q16" s="138"/>
      <c r="R16" s="138"/>
      <c r="S16" s="138"/>
      <c r="T16" s="138"/>
      <c r="U16" s="138"/>
      <c r="V16" s="138"/>
      <c r="W16" s="138"/>
      <c r="Y16" s="125" t="n">
        <f aca="false">COUNTIF($C$3:$W$44,ROW(Z16)-2)</f>
        <v>4</v>
      </c>
      <c r="Z16" s="125" t="n">
        <f aca="false">IF(ROW(AA16)-2&lt;=MAX($C$3:$W$44),ROW(AA16)-2,"")</f>
        <v>14</v>
      </c>
      <c r="AA16" s="184" t="n">
        <v>0.025</v>
      </c>
      <c r="AC16" s="184" t="n">
        <v>0.5</v>
      </c>
      <c r="AD16" s="186" t="n">
        <v>1</v>
      </c>
    </row>
    <row r="17" customFormat="false" ht="14.25" hidden="false" customHeight="true" outlineLevel="0" collapsed="false">
      <c r="A17" s="131"/>
      <c r="B17" s="42" t="str">
        <f aca="false">Neu!B11</f>
        <v>B35</v>
      </c>
      <c r="C17" s="141" t="n">
        <v>15</v>
      </c>
      <c r="D17" s="143"/>
      <c r="E17" s="143"/>
      <c r="F17" s="144"/>
      <c r="G17" s="143"/>
      <c r="H17" s="143"/>
      <c r="I17" s="143"/>
      <c r="J17" s="142"/>
      <c r="K17" s="144"/>
      <c r="L17" s="143" t="n">
        <v>2</v>
      </c>
      <c r="M17" s="143"/>
      <c r="N17" s="143" t="n">
        <v>17</v>
      </c>
      <c r="O17" s="143"/>
      <c r="P17" s="144"/>
      <c r="Q17" s="143"/>
      <c r="R17" s="143"/>
      <c r="S17" s="143"/>
      <c r="T17" s="143"/>
      <c r="U17" s="143"/>
      <c r="V17" s="143"/>
      <c r="W17" s="143" t="n">
        <v>17</v>
      </c>
      <c r="Y17" s="125" t="n">
        <f aca="false">COUNTIF($C$3:$W$44,ROW(Z17)-2)</f>
        <v>1</v>
      </c>
      <c r="Z17" s="125" t="n">
        <f aca="false">IF(ROW(AA17)-2&lt;=MAX($C$3:$W$44),ROW(AA17)-2,"")</f>
        <v>15</v>
      </c>
      <c r="AA17" s="184" t="n">
        <v>0.02</v>
      </c>
      <c r="AC17" s="184" t="n">
        <v>0.042</v>
      </c>
      <c r="AD17" s="186" t="n">
        <v>15</v>
      </c>
    </row>
    <row r="18" customFormat="false" ht="14.25" hidden="false" customHeight="true" outlineLevel="0" collapsed="false">
      <c r="A18" s="131"/>
      <c r="B18" s="42"/>
      <c r="C18" s="145" t="n">
        <v>16</v>
      </c>
      <c r="D18" s="147"/>
      <c r="E18" s="147"/>
      <c r="F18" s="148"/>
      <c r="G18" s="147"/>
      <c r="H18" s="147"/>
      <c r="I18" s="147"/>
      <c r="J18" s="146"/>
      <c r="K18" s="148"/>
      <c r="L18" s="147"/>
      <c r="M18" s="147"/>
      <c r="N18" s="147" t="n">
        <v>18</v>
      </c>
      <c r="O18" s="147"/>
      <c r="P18" s="148"/>
      <c r="Q18" s="147"/>
      <c r="R18" s="147"/>
      <c r="S18" s="147"/>
      <c r="T18" s="147"/>
      <c r="U18" s="147"/>
      <c r="V18" s="147"/>
      <c r="W18" s="147" t="n">
        <v>18</v>
      </c>
      <c r="Y18" s="125" t="n">
        <f aca="false">COUNTIF($C$3:$W$44,ROW(Z18)-2)</f>
        <v>1</v>
      </c>
      <c r="Z18" s="125" t="n">
        <f aca="false">IF(ROW(AA18)-2&lt;=MAX($C$3:$W$44),ROW(AA18)-2,"")</f>
        <v>16</v>
      </c>
      <c r="AA18" s="184" t="n">
        <v>1.3</v>
      </c>
    </row>
    <row r="19" customFormat="false" ht="14.25" hidden="false" customHeight="true" outlineLevel="0" collapsed="false">
      <c r="A19" s="131"/>
      <c r="B19" s="42" t="str">
        <f aca="false">Neu!B12</f>
        <v>B40</v>
      </c>
      <c r="C19" s="141"/>
      <c r="D19" s="143" t="n">
        <v>2</v>
      </c>
      <c r="E19" s="143"/>
      <c r="F19" s="144"/>
      <c r="G19" s="143" t="n">
        <v>2</v>
      </c>
      <c r="H19" s="143"/>
      <c r="I19" s="143"/>
      <c r="J19" s="143"/>
      <c r="K19" s="149"/>
      <c r="L19" s="143"/>
      <c r="M19" s="143"/>
      <c r="N19" s="143"/>
      <c r="O19" s="143"/>
      <c r="P19" s="144" t="n">
        <v>2</v>
      </c>
      <c r="Q19" s="143"/>
      <c r="R19" s="143"/>
      <c r="S19" s="143"/>
      <c r="T19" s="143"/>
      <c r="U19" s="143"/>
      <c r="V19" s="143"/>
      <c r="W19" s="143"/>
      <c r="Y19" s="125" t="n">
        <f aca="false">COUNTIF($C$3:$W$44,ROW(Z19)-2)</f>
        <v>2</v>
      </c>
      <c r="Z19" s="125" t="n">
        <f aca="false">IF(ROW(AA19)-2&lt;=MAX($C$3:$W$44),ROW(AA19)-2,"")</f>
        <v>17</v>
      </c>
      <c r="AA19" s="184" t="n">
        <v>0.002</v>
      </c>
      <c r="AC19" s="184" t="n">
        <v>0.35</v>
      </c>
      <c r="AD19" s="186" t="n">
        <v>2</v>
      </c>
    </row>
    <row r="20" customFormat="false" ht="14.25" hidden="false" customHeight="true" outlineLevel="0" collapsed="false">
      <c r="A20" s="131"/>
      <c r="B20" s="42"/>
      <c r="C20" s="145"/>
      <c r="D20" s="147" t="n">
        <v>19</v>
      </c>
      <c r="E20" s="147"/>
      <c r="F20" s="148"/>
      <c r="G20" s="147"/>
      <c r="H20" s="147"/>
      <c r="I20" s="147"/>
      <c r="J20" s="147"/>
      <c r="K20" s="155"/>
      <c r="L20" s="147"/>
      <c r="M20" s="147"/>
      <c r="N20" s="147"/>
      <c r="O20" s="147"/>
      <c r="P20" s="148"/>
      <c r="Q20" s="147"/>
      <c r="R20" s="147"/>
      <c r="S20" s="147"/>
      <c r="T20" s="147"/>
      <c r="U20" s="147"/>
      <c r="V20" s="147"/>
      <c r="W20" s="147"/>
      <c r="Y20" s="125" t="n">
        <f aca="false">COUNTIF($C$3:$W$44,ROW(Z20)-2)</f>
        <v>2</v>
      </c>
      <c r="Z20" s="125" t="n">
        <f aca="false">IF(ROW(AA20)-2&lt;=MAX($C$3:$W$44),ROW(AA20)-2,"")</f>
        <v>18</v>
      </c>
      <c r="AA20" s="184" t="n">
        <v>4</v>
      </c>
    </row>
    <row r="21" customFormat="false" ht="14.25" hidden="false" customHeight="true" outlineLevel="0" collapsed="false">
      <c r="A21" s="131"/>
      <c r="B21" s="42" t="str">
        <f aca="false">Neu!B13</f>
        <v>B51s</v>
      </c>
      <c r="C21" s="141"/>
      <c r="D21" s="143" t="n">
        <v>2</v>
      </c>
      <c r="E21" s="143"/>
      <c r="F21" s="144"/>
      <c r="G21" s="143"/>
      <c r="H21" s="143"/>
      <c r="I21" s="143"/>
      <c r="J21" s="143"/>
      <c r="K21" s="144"/>
      <c r="L21" s="142"/>
      <c r="M21" s="143"/>
      <c r="N21" s="143" t="n">
        <v>20</v>
      </c>
      <c r="O21" s="143"/>
      <c r="P21" s="144" t="n">
        <v>2</v>
      </c>
      <c r="Q21" s="143"/>
      <c r="R21" s="143"/>
      <c r="S21" s="143"/>
      <c r="T21" s="143"/>
      <c r="U21" s="143"/>
      <c r="V21" s="143"/>
      <c r="W21" s="143" t="n">
        <v>20</v>
      </c>
      <c r="Y21" s="125" t="n">
        <f aca="false">COUNTIF($C$3:$W$44,ROW(Z21)-2)</f>
        <v>1</v>
      </c>
      <c r="Z21" s="125" t="n">
        <f aca="false">IF(ROW(AA21)-2&lt;=MAX($C$3:$W$44),ROW(AA21)-2,"")</f>
        <v>19</v>
      </c>
      <c r="AA21" s="184" t="n">
        <v>5</v>
      </c>
      <c r="AB21" s="185" t="n">
        <v>0.001</v>
      </c>
      <c r="AE21" s="187" t="n">
        <v>-31</v>
      </c>
      <c r="AF21" s="188" t="n">
        <v>3</v>
      </c>
      <c r="AG21" s="188" t="n">
        <v>1</v>
      </c>
    </row>
    <row r="22" customFormat="false" ht="14.25" hidden="false" customHeight="true" outlineLevel="0" collapsed="false">
      <c r="A22" s="131"/>
      <c r="B22" s="42"/>
      <c r="C22" s="145"/>
      <c r="D22" s="147"/>
      <c r="E22" s="147"/>
      <c r="F22" s="148"/>
      <c r="G22" s="147"/>
      <c r="H22" s="147"/>
      <c r="I22" s="147"/>
      <c r="J22" s="147"/>
      <c r="K22" s="148"/>
      <c r="L22" s="146"/>
      <c r="M22" s="147"/>
      <c r="N22" s="147"/>
      <c r="O22" s="147"/>
      <c r="P22" s="148"/>
      <c r="Q22" s="147"/>
      <c r="R22" s="147"/>
      <c r="S22" s="147"/>
      <c r="T22" s="147"/>
      <c r="U22" s="147"/>
      <c r="V22" s="147"/>
      <c r="W22" s="147"/>
      <c r="Y22" s="125" t="n">
        <f aca="false">COUNTIF($C$3:$W$44,ROW(Z22)-2)</f>
        <v>2</v>
      </c>
      <c r="Z22" s="125" t="n">
        <f aca="false">IF(ROW(AA22)-2&lt;=MAX($C$3:$W$44),ROW(AA22)-2,"")</f>
        <v>20</v>
      </c>
      <c r="AA22" s="184" t="n">
        <v>0.005</v>
      </c>
    </row>
    <row r="23" customFormat="false" ht="14.25" hidden="false" customHeight="true" outlineLevel="0" collapsed="false">
      <c r="A23" s="131"/>
      <c r="B23" s="42" t="str">
        <f aca="false">Neu!B14</f>
        <v>B71</v>
      </c>
      <c r="C23" s="141" t="n">
        <v>44</v>
      </c>
      <c r="D23" s="143" t="n">
        <v>32</v>
      </c>
      <c r="E23" s="143"/>
      <c r="F23" s="144"/>
      <c r="G23" s="143" t="n">
        <v>44</v>
      </c>
      <c r="H23" s="143"/>
      <c r="I23" s="143" t="n">
        <v>2</v>
      </c>
      <c r="J23" s="143"/>
      <c r="K23" s="144"/>
      <c r="L23" s="143"/>
      <c r="M23" s="142"/>
      <c r="N23" s="143" t="n">
        <v>43</v>
      </c>
      <c r="O23" s="143" t="n">
        <v>44</v>
      </c>
      <c r="P23" s="144"/>
      <c r="Q23" s="143"/>
      <c r="R23" s="143"/>
      <c r="S23" s="143"/>
      <c r="T23" s="143"/>
      <c r="U23" s="143"/>
      <c r="V23" s="143"/>
      <c r="W23" s="143" t="n">
        <v>43</v>
      </c>
      <c r="Y23" s="125" t="n">
        <f aca="false">COUNTIF($C$3:$W$44,ROW(Z23)-2)</f>
        <v>2</v>
      </c>
      <c r="Z23" s="125" t="n">
        <f aca="false">IF(ROW(AA23)-2&lt;=MAX($C$3:$W$44),ROW(AA23)-2,"")</f>
        <v>21</v>
      </c>
      <c r="AA23" s="184" t="n">
        <v>0.03</v>
      </c>
    </row>
    <row r="24" customFormat="false" ht="14.25" hidden="false" customHeight="true" outlineLevel="0" collapsed="false">
      <c r="A24" s="131"/>
      <c r="B24" s="42"/>
      <c r="C24" s="150"/>
      <c r="D24" s="138" t="n">
        <v>42</v>
      </c>
      <c r="E24" s="138"/>
      <c r="F24" s="139"/>
      <c r="G24" s="138" t="n">
        <v>42</v>
      </c>
      <c r="H24" s="138"/>
      <c r="I24" s="138" t="n">
        <v>44</v>
      </c>
      <c r="J24" s="138"/>
      <c r="K24" s="139"/>
      <c r="L24" s="138"/>
      <c r="M24" s="152"/>
      <c r="N24" s="138" t="n">
        <v>42</v>
      </c>
      <c r="O24" s="138" t="n">
        <v>42</v>
      </c>
      <c r="P24" s="139"/>
      <c r="Q24" s="138"/>
      <c r="R24" s="138"/>
      <c r="S24" s="138"/>
      <c r="T24" s="138"/>
      <c r="U24" s="138"/>
      <c r="V24" s="138"/>
      <c r="W24" s="138" t="n">
        <v>42</v>
      </c>
      <c r="Y24" s="125" t="n">
        <f aca="false">COUNTIF($C$3:$W$44,ROW(Z24)-2)</f>
        <v>1</v>
      </c>
      <c r="Z24" s="125" t="n">
        <f aca="false">IF(ROW(AA24)-2&lt;=MAX($C$3:$W$44),ROW(AA24)-2,"")</f>
        <v>22</v>
      </c>
      <c r="AA24" s="184" t="n">
        <v>0.5</v>
      </c>
      <c r="AI24" s="189" t="s">
        <v>2</v>
      </c>
      <c r="AJ24" s="189" t="n">
        <v>0.5</v>
      </c>
    </row>
    <row r="25" customFormat="false" ht="14.25" hidden="false" customHeight="true" outlineLevel="0" collapsed="false">
      <c r="A25" s="131"/>
      <c r="B25" s="42" t="str">
        <f aca="false">Neu!B15</f>
        <v>B52</v>
      </c>
      <c r="C25" s="141"/>
      <c r="D25" s="143" t="n">
        <v>50</v>
      </c>
      <c r="E25" s="143"/>
      <c r="F25" s="144"/>
      <c r="G25" s="143"/>
      <c r="H25" s="143"/>
      <c r="I25" s="143"/>
      <c r="J25" s="143"/>
      <c r="K25" s="144"/>
      <c r="L25" s="143" t="n">
        <v>47</v>
      </c>
      <c r="M25" s="143" t="n">
        <v>27</v>
      </c>
      <c r="N25" s="142"/>
      <c r="O25" s="143"/>
      <c r="P25" s="144" t="n">
        <v>46</v>
      </c>
      <c r="Q25" s="143"/>
      <c r="R25" s="143"/>
      <c r="S25" s="143"/>
      <c r="T25" s="143"/>
      <c r="U25" s="143"/>
      <c r="V25" s="143" t="n">
        <v>27</v>
      </c>
      <c r="W25" s="153" t="n">
        <v>50</v>
      </c>
      <c r="Y25" s="125" t="n">
        <f aca="false">COUNTIF($C$3:$W$44,ROW(Z25)-2)</f>
        <v>1</v>
      </c>
      <c r="Z25" s="125" t="n">
        <f aca="false">IF(ROW(AA25)-2&lt;=MAX($C$3:$W$44),ROW(AA25)-2,"")</f>
        <v>23</v>
      </c>
      <c r="AA25" s="184" t="n">
        <v>0.015</v>
      </c>
      <c r="AI25" s="189" t="s">
        <v>2</v>
      </c>
      <c r="AJ25" s="189" t="n">
        <v>0.5</v>
      </c>
    </row>
    <row r="26" customFormat="false" ht="14.25" hidden="false" customHeight="true" outlineLevel="0" collapsed="false">
      <c r="A26" s="131"/>
      <c r="B26" s="42"/>
      <c r="C26" s="145" t="n">
        <v>29</v>
      </c>
      <c r="D26" s="147"/>
      <c r="E26" s="147"/>
      <c r="F26" s="148"/>
      <c r="G26" s="147"/>
      <c r="H26" s="147"/>
      <c r="I26" s="147"/>
      <c r="J26" s="147"/>
      <c r="K26" s="148"/>
      <c r="L26" s="147" t="n">
        <v>30</v>
      </c>
      <c r="M26" s="147"/>
      <c r="N26" s="146"/>
      <c r="O26" s="147"/>
      <c r="P26" s="148" t="n">
        <v>30</v>
      </c>
      <c r="Q26" s="147"/>
      <c r="R26" s="147"/>
      <c r="S26" s="147"/>
      <c r="T26" s="147"/>
      <c r="U26" s="147"/>
      <c r="V26" s="147"/>
      <c r="W26" s="154"/>
      <c r="Y26" s="125" t="n">
        <f aca="false">COUNTIF($C$3:$W$44,ROW(Z26)-2)</f>
        <v>1</v>
      </c>
      <c r="Z26" s="125" t="n">
        <f aca="false">IF(ROW(AA26)-2&lt;=MAX($C$3:$W$44),ROW(AA26)-2,"")</f>
        <v>24</v>
      </c>
      <c r="AA26" s="184" t="n">
        <v>1</v>
      </c>
      <c r="AI26" s="189" t="s">
        <v>2</v>
      </c>
      <c r="AJ26" s="189" t="n">
        <v>0.5</v>
      </c>
    </row>
    <row r="27" customFormat="false" ht="14.25" hidden="false" customHeight="true" outlineLevel="0" collapsed="false">
      <c r="A27" s="131"/>
      <c r="B27" s="42" t="str">
        <f aca="false">Neu!B16</f>
        <v>B63</v>
      </c>
      <c r="C27" s="141"/>
      <c r="D27" s="143" t="n">
        <v>21</v>
      </c>
      <c r="E27" s="143" t="n">
        <v>9</v>
      </c>
      <c r="F27" s="144"/>
      <c r="G27" s="143" t="n">
        <v>9</v>
      </c>
      <c r="H27" s="143" t="n">
        <v>9</v>
      </c>
      <c r="I27" s="143" t="n">
        <v>23</v>
      </c>
      <c r="J27" s="143"/>
      <c r="K27" s="144"/>
      <c r="L27" s="143"/>
      <c r="M27" s="143" t="n">
        <v>2</v>
      </c>
      <c r="N27" s="143"/>
      <c r="O27" s="142"/>
      <c r="P27" s="144" t="n">
        <v>38</v>
      </c>
      <c r="Q27" s="143"/>
      <c r="R27" s="143"/>
      <c r="S27" s="143"/>
      <c r="T27" s="143"/>
      <c r="U27" s="143"/>
      <c r="V27" s="143"/>
      <c r="W27" s="143"/>
      <c r="Y27" s="125" t="n">
        <f aca="false">COUNTIF($C$3:$W$44,ROW(Z27)-2)</f>
        <v>1</v>
      </c>
      <c r="Z27" s="125" t="n">
        <f aca="false">IF(ROW(AA27)-2&lt;=MAX($C$3:$W$44),ROW(AA27)-2,"")</f>
        <v>25</v>
      </c>
      <c r="AA27" s="184" t="n">
        <v>1.6</v>
      </c>
      <c r="AB27" s="185" t="n">
        <v>1.6</v>
      </c>
    </row>
    <row r="28" customFormat="false" ht="14.25" hidden="false" customHeight="true" outlineLevel="0" collapsed="false">
      <c r="A28" s="131"/>
      <c r="B28" s="42"/>
      <c r="C28" s="145"/>
      <c r="D28" s="147"/>
      <c r="E28" s="147" t="n">
        <v>22</v>
      </c>
      <c r="F28" s="148"/>
      <c r="G28" s="147" t="n">
        <v>12</v>
      </c>
      <c r="H28" s="147"/>
      <c r="I28" s="147"/>
      <c r="J28" s="147"/>
      <c r="K28" s="148"/>
      <c r="L28" s="147"/>
      <c r="M28" s="147"/>
      <c r="N28" s="147"/>
      <c r="O28" s="146"/>
      <c r="P28" s="148" t="n">
        <v>24</v>
      </c>
      <c r="Q28" s="147" t="n">
        <v>3</v>
      </c>
      <c r="R28" s="147"/>
      <c r="S28" s="147"/>
      <c r="T28" s="147"/>
      <c r="U28" s="147"/>
      <c r="V28" s="147"/>
      <c r="W28" s="147"/>
      <c r="Y28" s="125" t="n">
        <f aca="false">COUNTIF($C$3:$W$44,ROW(Z28)-2)</f>
        <v>1</v>
      </c>
      <c r="Z28" s="125" t="n">
        <f aca="false">IF(ROW(AA28)-2&lt;=MAX($C$3:$W$44),ROW(AA28)-2,"")</f>
        <v>26</v>
      </c>
      <c r="AA28" s="184" t="n">
        <v>3</v>
      </c>
    </row>
    <row r="29" customFormat="false" ht="14.25" hidden="false" customHeight="true" outlineLevel="0" collapsed="false">
      <c r="A29" s="131"/>
      <c r="B29" s="42" t="str">
        <f aca="false">Neu!B17</f>
        <v>B64s</v>
      </c>
      <c r="C29" s="141" t="n">
        <v>1</v>
      </c>
      <c r="D29" s="143"/>
      <c r="E29" s="143" t="n">
        <v>1</v>
      </c>
      <c r="F29" s="144" t="n">
        <v>1</v>
      </c>
      <c r="G29" s="143" t="n">
        <v>1</v>
      </c>
      <c r="H29" s="143" t="n">
        <v>1</v>
      </c>
      <c r="I29" s="143" t="n">
        <v>3</v>
      </c>
      <c r="J29" s="143" t="n">
        <v>10</v>
      </c>
      <c r="K29" s="144" t="n">
        <v>1</v>
      </c>
      <c r="L29" s="143"/>
      <c r="M29" s="143"/>
      <c r="N29" s="143" t="n">
        <v>1</v>
      </c>
      <c r="O29" s="143" t="n">
        <v>1</v>
      </c>
      <c r="P29" s="149"/>
      <c r="Q29" s="143" t="n">
        <v>1</v>
      </c>
      <c r="R29" s="143" t="n">
        <v>27</v>
      </c>
      <c r="S29" s="138" t="n">
        <v>14</v>
      </c>
      <c r="T29" s="138" t="n">
        <v>14</v>
      </c>
      <c r="U29" s="138" t="n">
        <v>14</v>
      </c>
      <c r="V29" s="138"/>
      <c r="W29" s="143" t="n">
        <v>1</v>
      </c>
      <c r="Y29" s="125" t="n">
        <f aca="false">COUNTIF($C$3:$W$44,ROW(Z29)-2)</f>
        <v>6</v>
      </c>
      <c r="Z29" s="125" t="n">
        <f aca="false">IF(ROW(AA29)-2&lt;=MAX($C$3:$W$44),ROW(AA29)-2,"")</f>
        <v>27</v>
      </c>
      <c r="AA29" s="184" t="n">
        <v>0.05</v>
      </c>
    </row>
    <row r="30" customFormat="false" ht="14.25" hidden="false" customHeight="true" outlineLevel="0" collapsed="false">
      <c r="A30" s="131"/>
      <c r="B30" s="42"/>
      <c r="C30" s="145"/>
      <c r="D30" s="147"/>
      <c r="E30" s="147"/>
      <c r="F30" s="148"/>
      <c r="G30" s="147"/>
      <c r="H30" s="147"/>
      <c r="I30" s="147"/>
      <c r="J30" s="147"/>
      <c r="K30" s="148"/>
      <c r="L30" s="147"/>
      <c r="M30" s="147"/>
      <c r="N30" s="147"/>
      <c r="O30" s="147"/>
      <c r="P30" s="155"/>
      <c r="Q30" s="147"/>
      <c r="R30" s="147"/>
      <c r="S30" s="147"/>
      <c r="T30" s="147"/>
      <c r="U30" s="147"/>
      <c r="V30" s="147" t="n">
        <v>13</v>
      </c>
      <c r="W30" s="147"/>
      <c r="Y30" s="125" t="n">
        <f aca="false">COUNTIF($C$3:$W$44,ROW(Z30)-2)</f>
        <v>1</v>
      </c>
      <c r="Z30" s="125" t="n">
        <f aca="false">IF(ROW(AA30)-2&lt;=MAX($C$3:$W$44),ROW(AA30)-2,"")</f>
        <v>28</v>
      </c>
      <c r="AA30" s="184" t="n">
        <v>0.03</v>
      </c>
      <c r="AB30" s="185" t="n">
        <v>0.08</v>
      </c>
      <c r="AC30" s="184" t="n">
        <v>0.06</v>
      </c>
      <c r="AD30" s="186" t="n">
        <v>7</v>
      </c>
    </row>
    <row r="31" customFormat="false" ht="14.25" hidden="false" customHeight="true" outlineLevel="0" collapsed="false">
      <c r="A31" s="131"/>
      <c r="B31" s="42" t="str">
        <f aca="false">Neu!B18</f>
        <v>B65</v>
      </c>
      <c r="C31" s="141" t="n">
        <v>28</v>
      </c>
      <c r="D31" s="143" t="n">
        <v>5</v>
      </c>
      <c r="E31" s="143" t="n">
        <v>27</v>
      </c>
      <c r="F31" s="144" t="n">
        <v>31</v>
      </c>
      <c r="G31" s="143" t="n">
        <v>5</v>
      </c>
      <c r="H31" s="143"/>
      <c r="I31" s="143"/>
      <c r="J31" s="143"/>
      <c r="K31" s="144"/>
      <c r="L31" s="143"/>
      <c r="M31" s="143" t="n">
        <v>45</v>
      </c>
      <c r="N31" s="143" t="n">
        <v>49</v>
      </c>
      <c r="O31" s="143" t="n">
        <v>5</v>
      </c>
      <c r="P31" s="144" t="n">
        <v>32</v>
      </c>
      <c r="Q31" s="142"/>
      <c r="R31" s="143"/>
      <c r="S31" s="143"/>
      <c r="T31" s="138"/>
      <c r="U31" s="138"/>
      <c r="V31" s="138"/>
      <c r="W31" s="143" t="n">
        <v>49</v>
      </c>
      <c r="Y31" s="125" t="n">
        <f aca="false">COUNTIF($C$3:$W$44,ROW(Z31)-2)</f>
        <v>3</v>
      </c>
      <c r="Z31" s="125" t="n">
        <f aca="false">IF(ROW(AA31)-2&lt;=MAX($C$3:$W$44),ROW(AA31)-2,"")</f>
        <v>29</v>
      </c>
      <c r="AA31" s="184" t="n">
        <v>1</v>
      </c>
    </row>
    <row r="32" customFormat="false" ht="14.25" hidden="false" customHeight="true" outlineLevel="0" collapsed="false">
      <c r="A32" s="131"/>
      <c r="B32" s="42"/>
      <c r="C32" s="145"/>
      <c r="D32" s="147" t="n">
        <v>13</v>
      </c>
      <c r="E32" s="147" t="n">
        <v>30</v>
      </c>
      <c r="F32" s="148"/>
      <c r="G32" s="147"/>
      <c r="H32" s="147"/>
      <c r="I32" s="147"/>
      <c r="J32" s="147"/>
      <c r="K32" s="148" t="n">
        <v>13</v>
      </c>
      <c r="L32" s="147"/>
      <c r="M32" s="147" t="n">
        <v>42</v>
      </c>
      <c r="N32" s="147"/>
      <c r="O32" s="147"/>
      <c r="P32" s="148" t="n">
        <v>30</v>
      </c>
      <c r="Q32" s="152"/>
      <c r="R32" s="138"/>
      <c r="S32" s="138"/>
      <c r="T32" s="138"/>
      <c r="U32" s="138"/>
      <c r="V32" s="138"/>
      <c r="W32" s="147"/>
      <c r="Y32" s="125" t="n">
        <f aca="false">COUNTIF($C$3:$W$44,ROW(Z32)-2)</f>
        <v>7</v>
      </c>
      <c r="Z32" s="125" t="n">
        <f aca="false">IF(ROW(AA32)-2&lt;=MAX($C$3:$W$44),ROW(AA32)-2,"")</f>
        <v>30</v>
      </c>
      <c r="AA32" s="184" t="n">
        <v>0.5</v>
      </c>
    </row>
    <row r="33" customFormat="false" ht="14.25" hidden="false" customHeight="true" outlineLevel="0" collapsed="false">
      <c r="A33" s="131"/>
      <c r="B33" s="42" t="str">
        <f aca="false">Neu!B19</f>
        <v>CBI2</v>
      </c>
      <c r="C33" s="141"/>
      <c r="D33" s="143"/>
      <c r="E33" s="143"/>
      <c r="F33" s="144"/>
      <c r="G33" s="143" t="n">
        <v>9</v>
      </c>
      <c r="H33" s="143"/>
      <c r="I33" s="143" t="n">
        <v>9</v>
      </c>
      <c r="J33" s="143"/>
      <c r="K33" s="144" t="n">
        <v>9</v>
      </c>
      <c r="L33" s="143"/>
      <c r="M33" s="143"/>
      <c r="N33" s="143"/>
      <c r="O33" s="143" t="n">
        <v>9</v>
      </c>
      <c r="P33" s="144"/>
      <c r="Q33" s="143"/>
      <c r="R33" s="142"/>
      <c r="S33" s="143"/>
      <c r="T33" s="143"/>
      <c r="U33" s="143"/>
      <c r="V33" s="143"/>
      <c r="W33" s="143"/>
      <c r="Y33" s="125" t="n">
        <f aca="false">COUNTIF($C$3:$W$44,ROW(Z33)-2)</f>
        <v>1</v>
      </c>
      <c r="Z33" s="125" t="n">
        <f aca="false">IF(ROW(AA33)-2&lt;=MAX($C$3:$W$44),ROW(AA33)-2,"")</f>
        <v>31</v>
      </c>
      <c r="AA33" s="184" t="n">
        <v>0.01</v>
      </c>
      <c r="AC33" s="184" t="n">
        <v>0.01</v>
      </c>
      <c r="AD33" s="186" t="n">
        <v>2.5</v>
      </c>
    </row>
    <row r="34" customFormat="false" ht="14.25" hidden="false" customHeight="true" outlineLevel="0" collapsed="false">
      <c r="A34" s="131"/>
      <c r="B34" s="42"/>
      <c r="C34" s="145"/>
      <c r="D34" s="147" t="n">
        <v>33</v>
      </c>
      <c r="E34" s="147" t="n">
        <v>30</v>
      </c>
      <c r="F34" s="148"/>
      <c r="G34" s="147" t="n">
        <v>34</v>
      </c>
      <c r="H34" s="147"/>
      <c r="I34" s="147" t="n">
        <v>6</v>
      </c>
      <c r="J34" s="147"/>
      <c r="K34" s="148" t="n">
        <v>35</v>
      </c>
      <c r="L34" s="147"/>
      <c r="M34" s="147"/>
      <c r="N34" s="147"/>
      <c r="O34" s="147" t="n">
        <v>34</v>
      </c>
      <c r="P34" s="148"/>
      <c r="Q34" s="147"/>
      <c r="R34" s="146"/>
      <c r="S34" s="147"/>
      <c r="T34" s="147"/>
      <c r="U34" s="147"/>
      <c r="V34" s="147"/>
      <c r="W34" s="147"/>
      <c r="Y34" s="125" t="n">
        <f aca="false">COUNTIF($C$3:$W$44,ROW(Z34)-2)</f>
        <v>2</v>
      </c>
      <c r="Z34" s="125" t="n">
        <f aca="false">IF(ROW(AA34)-2&lt;=MAX($C$3:$W$44),ROW(AA34)-2,"")</f>
        <v>32</v>
      </c>
      <c r="AA34" s="184" t="n">
        <v>0.004</v>
      </c>
      <c r="AB34" s="185" t="n">
        <v>0.0015</v>
      </c>
    </row>
    <row r="35" customFormat="false" ht="14.25" hidden="false" customHeight="true" outlineLevel="0" collapsed="false">
      <c r="A35" s="131"/>
      <c r="B35" s="42" t="str">
        <f aca="false">Neu!B20</f>
        <v>B6</v>
      </c>
      <c r="C35" s="141"/>
      <c r="D35" s="143"/>
      <c r="E35" s="143"/>
      <c r="F35" s="144"/>
      <c r="G35" s="143"/>
      <c r="H35" s="143"/>
      <c r="I35" s="143"/>
      <c r="J35" s="143"/>
      <c r="K35" s="144"/>
      <c r="L35" s="143"/>
      <c r="M35" s="143"/>
      <c r="N35" s="143"/>
      <c r="O35" s="143"/>
      <c r="P35" s="144"/>
      <c r="Q35" s="143"/>
      <c r="R35" s="143"/>
      <c r="S35" s="142"/>
      <c r="T35" s="143"/>
      <c r="U35" s="143"/>
      <c r="V35" s="143"/>
      <c r="W35" s="143"/>
      <c r="Y35" s="125" t="n">
        <f aca="false">COUNTIF($C$3:$W$44,ROW(Z35)-2)</f>
        <v>1</v>
      </c>
      <c r="Z35" s="125" t="n">
        <f aca="false">IF(ROW(AA35)-2&lt;=MAX($C$3:$W$44),ROW(AA35)-2,"")</f>
        <v>33</v>
      </c>
      <c r="AA35" s="184" t="n">
        <v>0.5</v>
      </c>
      <c r="AB35" s="185" t="n">
        <v>10</v>
      </c>
      <c r="AE35" s="187" t="n">
        <v>-45</v>
      </c>
      <c r="AF35" s="188" t="n">
        <v>8</v>
      </c>
      <c r="AG35" s="188" t="n">
        <v>1</v>
      </c>
      <c r="AH35" s="186" t="n">
        <v>0.1</v>
      </c>
      <c r="AI35" s="189" t="s">
        <v>2</v>
      </c>
      <c r="AJ35" s="189" t="n">
        <v>0.5</v>
      </c>
    </row>
    <row r="36" customFormat="false" ht="14.25" hidden="false" customHeight="true" outlineLevel="0" collapsed="false">
      <c r="A36" s="131"/>
      <c r="B36" s="42"/>
      <c r="C36" s="145"/>
      <c r="D36" s="147"/>
      <c r="E36" s="147"/>
      <c r="F36" s="148"/>
      <c r="G36" s="147"/>
      <c r="H36" s="147"/>
      <c r="I36" s="147"/>
      <c r="J36" s="147"/>
      <c r="K36" s="148"/>
      <c r="L36" s="147"/>
      <c r="M36" s="147"/>
      <c r="N36" s="147"/>
      <c r="O36" s="147"/>
      <c r="P36" s="148"/>
      <c r="Q36" s="147"/>
      <c r="R36" s="147"/>
      <c r="S36" s="146"/>
      <c r="T36" s="147"/>
      <c r="U36" s="147"/>
      <c r="V36" s="147"/>
      <c r="W36" s="147"/>
      <c r="Y36" s="125" t="n">
        <f aca="false">COUNTIF($C$3:$W$44,ROW(Z36)-2)</f>
        <v>2</v>
      </c>
      <c r="Z36" s="125" t="n">
        <f aca="false">IF(ROW(AA36)-2&lt;=MAX($C$3:$W$44),ROW(AA36)-2,"")</f>
        <v>34</v>
      </c>
      <c r="AA36" s="184" t="n">
        <v>0.5</v>
      </c>
      <c r="AB36" s="185" t="n">
        <v>5</v>
      </c>
      <c r="AI36" s="189" t="s">
        <v>2</v>
      </c>
      <c r="AJ36" s="189" t="n">
        <v>0.5</v>
      </c>
    </row>
    <row r="37" customFormat="false" ht="14.25" hidden="false" customHeight="true" outlineLevel="0" collapsed="false">
      <c r="A37" s="131"/>
      <c r="B37" s="42" t="str">
        <f aca="false">Neu!B21</f>
        <v>B9</v>
      </c>
      <c r="C37" s="141"/>
      <c r="D37" s="143"/>
      <c r="E37" s="143"/>
      <c r="F37" s="144"/>
      <c r="G37" s="143"/>
      <c r="H37" s="143"/>
      <c r="I37" s="143"/>
      <c r="J37" s="143"/>
      <c r="K37" s="144"/>
      <c r="L37" s="143"/>
      <c r="M37" s="143"/>
      <c r="N37" s="143"/>
      <c r="O37" s="143"/>
      <c r="P37" s="144"/>
      <c r="Q37" s="143"/>
      <c r="R37" s="143"/>
      <c r="S37" s="143"/>
      <c r="T37" s="142"/>
      <c r="U37" s="143"/>
      <c r="V37" s="143"/>
      <c r="W37" s="143"/>
      <c r="Y37" s="125" t="n">
        <f aca="false">COUNTIF($C$3:$W$44,ROW(Z37)-2)</f>
        <v>1</v>
      </c>
      <c r="Z37" s="125" t="n">
        <f aca="false">IF(ROW(AA37)-2&lt;=MAX($C$3:$W$44),ROW(AA37)-2,"")</f>
        <v>35</v>
      </c>
      <c r="AA37" s="184" t="n">
        <v>0.2</v>
      </c>
      <c r="AB37" s="185" t="n">
        <v>2</v>
      </c>
      <c r="AI37" s="189" t="s">
        <v>2</v>
      </c>
      <c r="AJ37" s="189" t="n">
        <v>0.5</v>
      </c>
    </row>
    <row r="38" customFormat="false" ht="14.25" hidden="false" customHeight="true" outlineLevel="0" collapsed="false">
      <c r="A38" s="131"/>
      <c r="B38" s="42"/>
      <c r="C38" s="145"/>
      <c r="D38" s="147"/>
      <c r="E38" s="147"/>
      <c r="F38" s="148"/>
      <c r="G38" s="147"/>
      <c r="H38" s="147"/>
      <c r="I38" s="147"/>
      <c r="J38" s="147"/>
      <c r="K38" s="148"/>
      <c r="L38" s="147"/>
      <c r="M38" s="147"/>
      <c r="N38" s="147"/>
      <c r="O38" s="147"/>
      <c r="P38" s="148"/>
      <c r="Q38" s="147"/>
      <c r="R38" s="147"/>
      <c r="S38" s="147"/>
      <c r="T38" s="146"/>
      <c r="U38" s="147"/>
      <c r="V38" s="147"/>
      <c r="W38" s="147"/>
      <c r="Y38" s="125" t="n">
        <f aca="false">COUNTIF($C$3:$W$44,ROW(Z38)-2)</f>
        <v>1</v>
      </c>
      <c r="Z38" s="125" t="n">
        <v>36</v>
      </c>
      <c r="AA38" s="184" t="n">
        <v>0.005</v>
      </c>
      <c r="AB38" s="185" t="n">
        <v>0.2</v>
      </c>
    </row>
    <row r="39" customFormat="false" ht="14.25" hidden="false" customHeight="true" outlineLevel="0" collapsed="false">
      <c r="A39" s="131"/>
      <c r="B39" s="42" t="str">
        <f aca="false">Neu!B22</f>
        <v>B3</v>
      </c>
      <c r="C39" s="141"/>
      <c r="D39" s="143"/>
      <c r="E39" s="143"/>
      <c r="F39" s="144"/>
      <c r="G39" s="143"/>
      <c r="H39" s="143"/>
      <c r="I39" s="143"/>
      <c r="J39" s="143"/>
      <c r="K39" s="144"/>
      <c r="L39" s="143"/>
      <c r="M39" s="143"/>
      <c r="N39" s="143"/>
      <c r="O39" s="143"/>
      <c r="P39" s="144"/>
      <c r="Q39" s="143"/>
      <c r="R39" s="143"/>
      <c r="S39" s="143"/>
      <c r="T39" s="143"/>
      <c r="U39" s="142"/>
      <c r="V39" s="143"/>
      <c r="W39" s="143"/>
      <c r="Y39" s="125" t="n">
        <f aca="false">COUNTIF($C$3:$W$44,ROW(Z39)-2)</f>
        <v>1</v>
      </c>
      <c r="Z39" s="125" t="n">
        <v>37</v>
      </c>
      <c r="AA39" s="184" t="n">
        <v>1.5</v>
      </c>
      <c r="AI39" s="189" t="s">
        <v>2</v>
      </c>
      <c r="AJ39" s="189" t="n">
        <v>0.5</v>
      </c>
    </row>
    <row r="40" customFormat="false" ht="14.25" hidden="false" customHeight="true" outlineLevel="0" collapsed="false">
      <c r="A40" s="131"/>
      <c r="B40" s="42"/>
      <c r="C40" s="145"/>
      <c r="D40" s="147"/>
      <c r="E40" s="147"/>
      <c r="F40" s="148"/>
      <c r="G40" s="147"/>
      <c r="H40" s="147"/>
      <c r="I40" s="147"/>
      <c r="J40" s="147"/>
      <c r="K40" s="148"/>
      <c r="L40" s="147"/>
      <c r="M40" s="147"/>
      <c r="N40" s="147"/>
      <c r="O40" s="147"/>
      <c r="P40" s="148"/>
      <c r="Q40" s="147"/>
      <c r="R40" s="147"/>
      <c r="S40" s="147"/>
      <c r="T40" s="147"/>
      <c r="U40" s="146"/>
      <c r="V40" s="147"/>
      <c r="W40" s="147"/>
      <c r="Y40" s="125" t="n">
        <f aca="false">COUNTIF($C$3:$W$44,ROW(Z40)-2)</f>
        <v>1</v>
      </c>
      <c r="Z40" s="125" t="n">
        <v>38</v>
      </c>
      <c r="AA40" s="184" t="n">
        <v>0.15</v>
      </c>
      <c r="AI40" s="189" t="s">
        <v>2</v>
      </c>
      <c r="AJ40" s="189" t="n">
        <v>0.5</v>
      </c>
    </row>
    <row r="41" customFormat="false" ht="14.25" hidden="false" customHeight="true" outlineLevel="0" collapsed="false">
      <c r="A41" s="131"/>
      <c r="B41" s="42" t="str">
        <f aca="false">Neu!B23</f>
        <v>B91</v>
      </c>
      <c r="C41" s="141"/>
      <c r="D41" s="143"/>
      <c r="E41" s="143"/>
      <c r="F41" s="144"/>
      <c r="G41" s="143"/>
      <c r="H41" s="143"/>
      <c r="I41" s="143"/>
      <c r="J41" s="143"/>
      <c r="K41" s="144"/>
      <c r="L41" s="143"/>
      <c r="M41" s="143"/>
      <c r="N41" s="143" t="n">
        <v>2</v>
      </c>
      <c r="O41" s="143"/>
      <c r="P41" s="144"/>
      <c r="Q41" s="143"/>
      <c r="R41" s="143"/>
      <c r="S41" s="143"/>
      <c r="T41" s="143"/>
      <c r="U41" s="143"/>
      <c r="V41" s="142"/>
      <c r="W41" s="143" t="n">
        <v>2</v>
      </c>
      <c r="Y41" s="125" t="n">
        <f aca="false">COUNTIF($C$3:$W$44,ROW(Z41)-2)</f>
        <v>1</v>
      </c>
      <c r="Z41" s="125" t="n">
        <v>39</v>
      </c>
      <c r="AA41" s="184" t="n">
        <v>0.0005</v>
      </c>
      <c r="AB41" s="185" t="n">
        <v>0.0565</v>
      </c>
    </row>
    <row r="42" customFormat="false" ht="14.25" hidden="false" customHeight="true" outlineLevel="0" collapsed="false">
      <c r="A42" s="131"/>
      <c r="B42" s="42"/>
      <c r="C42" s="145"/>
      <c r="D42" s="147"/>
      <c r="E42" s="147"/>
      <c r="F42" s="148"/>
      <c r="G42" s="147"/>
      <c r="H42" s="147"/>
      <c r="I42" s="147"/>
      <c r="J42" s="147"/>
      <c r="K42" s="148"/>
      <c r="L42" s="147"/>
      <c r="M42" s="147"/>
      <c r="N42" s="147"/>
      <c r="O42" s="147"/>
      <c r="P42" s="148"/>
      <c r="Q42" s="147"/>
      <c r="R42" s="147"/>
      <c r="S42" s="147"/>
      <c r="T42" s="147"/>
      <c r="U42" s="147"/>
      <c r="V42" s="146"/>
      <c r="W42" s="147"/>
      <c r="Y42" s="125" t="n">
        <f aca="false">COUNTIF($C$3:$W$44,ROW(Z42)-2)</f>
        <v>1</v>
      </c>
      <c r="Z42" s="125" t="n">
        <v>40</v>
      </c>
      <c r="AA42" s="184" t="n">
        <v>0.001</v>
      </c>
      <c r="AB42" s="185" t="n">
        <v>0.12</v>
      </c>
    </row>
    <row r="43" customFormat="false" ht="14.25" hidden="false" customHeight="true" outlineLevel="0" collapsed="false">
      <c r="A43" s="131"/>
      <c r="B43" s="89" t="str">
        <f aca="false">Neu!B24</f>
        <v>B52b</v>
      </c>
      <c r="C43" s="141"/>
      <c r="D43" s="143" t="n">
        <v>50</v>
      </c>
      <c r="E43" s="143"/>
      <c r="F43" s="144"/>
      <c r="G43" s="143"/>
      <c r="H43" s="143"/>
      <c r="I43" s="143"/>
      <c r="J43" s="143"/>
      <c r="K43" s="144"/>
      <c r="L43" s="143" t="n">
        <v>47</v>
      </c>
      <c r="M43" s="143" t="n">
        <v>27</v>
      </c>
      <c r="N43" s="143" t="n">
        <v>50</v>
      </c>
      <c r="O43" s="143"/>
      <c r="P43" s="144" t="n">
        <v>46</v>
      </c>
      <c r="Q43" s="143"/>
      <c r="R43" s="143"/>
      <c r="S43" s="143"/>
      <c r="T43" s="143"/>
      <c r="U43" s="143"/>
      <c r="V43" s="143" t="n">
        <v>27</v>
      </c>
      <c r="W43" s="156"/>
      <c r="Y43" s="125" t="n">
        <f aca="false">COUNTIF($C$3:$W$44,ROW(Z43)-2)</f>
        <v>1</v>
      </c>
      <c r="Z43" s="125" t="n">
        <v>41</v>
      </c>
      <c r="AA43" s="184" t="n">
        <v>0.003</v>
      </c>
      <c r="AB43" s="185" t="n">
        <v>0.18</v>
      </c>
    </row>
    <row r="44" customFormat="false" ht="14.25" hidden="false" customHeight="true" outlineLevel="0" collapsed="false">
      <c r="A44" s="157"/>
      <c r="B44" s="89"/>
      <c r="C44" s="145" t="n">
        <v>29</v>
      </c>
      <c r="D44" s="147"/>
      <c r="E44" s="147"/>
      <c r="F44" s="148"/>
      <c r="G44" s="147"/>
      <c r="H44" s="147"/>
      <c r="I44" s="147"/>
      <c r="J44" s="147"/>
      <c r="K44" s="148"/>
      <c r="L44" s="147" t="n">
        <v>30</v>
      </c>
      <c r="M44" s="147"/>
      <c r="N44" s="158"/>
      <c r="O44" s="147"/>
      <c r="P44" s="148" t="n">
        <v>30</v>
      </c>
      <c r="Q44" s="147"/>
      <c r="R44" s="147"/>
      <c r="S44" s="147"/>
      <c r="T44" s="147"/>
      <c r="U44" s="147"/>
      <c r="V44" s="147"/>
      <c r="W44" s="159"/>
      <c r="Y44" s="125" t="n">
        <f aca="false">COUNTIF($C$3:$W$44,ROW(Z44)-2)</f>
        <v>6</v>
      </c>
      <c r="Z44" s="125" t="n">
        <v>42</v>
      </c>
      <c r="AA44" s="184" t="n">
        <v>4.75</v>
      </c>
    </row>
    <row r="45" customFormat="false" ht="15" hidden="false" customHeight="false" outlineLevel="0" collapsed="false">
      <c r="V45" s="201" t="s">
        <v>237</v>
      </c>
      <c r="W45" s="125" t="n">
        <f aca="false">(MAX(Z:Z)+MIN(Z:Z))/2</f>
        <v>25.5</v>
      </c>
      <c r="Y45" s="125" t="n">
        <f aca="false">COUNTIF($C$3:$W$44,ROW(Z45)-2)</f>
        <v>2</v>
      </c>
      <c r="Z45" s="125" t="n">
        <v>43</v>
      </c>
      <c r="AA45" s="184" t="n">
        <v>0.3</v>
      </c>
    </row>
    <row r="46" customFormat="false" ht="15" hidden="false" customHeight="false" outlineLevel="0" collapsed="false">
      <c r="V46" s="125" t="s">
        <v>238</v>
      </c>
      <c r="W46" s="125" t="n">
        <f aca="false">SUM(Y:Y)</f>
        <v>134</v>
      </c>
      <c r="Y46" s="125" t="n">
        <f aca="false">COUNTIF($C$3:$W$44,ROW(Z46)-2)</f>
        <v>4</v>
      </c>
      <c r="Z46" s="125" t="n">
        <f aca="false">IF(ROW(AA46)-2&lt;=MAX($C$3:$W$44),ROW(AA46)-2,"")</f>
        <v>44</v>
      </c>
      <c r="AA46" s="184" t="n">
        <v>0.7</v>
      </c>
    </row>
    <row r="47" customFormat="false" ht="15" hidden="false" customHeight="false" outlineLevel="0" collapsed="false">
      <c r="Y47" s="125" t="n">
        <f aca="false">COUNTIF($C$3:$W$44,ROW(Z47)-2)</f>
        <v>1</v>
      </c>
      <c r="Z47" s="125" t="n">
        <f aca="false">IF(ROW(AA47)-2&lt;=MAX($C$3:$W$44),ROW(AA47)-2,"")</f>
        <v>45</v>
      </c>
      <c r="AA47" s="184" t="n">
        <v>0.4</v>
      </c>
      <c r="AB47" s="185" t="n">
        <v>0.02</v>
      </c>
    </row>
    <row r="48" customFormat="false" ht="15" hidden="false" customHeight="false" outlineLevel="0" collapsed="false">
      <c r="Y48" s="125" t="n">
        <f aca="false">COUNTIF($C$3:$W$44,ROW(Z48)-2)</f>
        <v>2</v>
      </c>
      <c r="Z48" s="125" t="n">
        <v>46</v>
      </c>
      <c r="AA48" s="184" t="n">
        <v>0.02</v>
      </c>
      <c r="AB48" s="185" t="n">
        <v>0.2</v>
      </c>
    </row>
    <row r="49" customFormat="false" ht="15" hidden="false" customHeight="false" outlineLevel="0" collapsed="false">
      <c r="Y49" s="125" t="n">
        <f aca="false">COUNTIF($C$3:$W$44,ROW(Z49)-2)</f>
        <v>2</v>
      </c>
      <c r="Z49" s="125" t="n">
        <v>47</v>
      </c>
      <c r="AA49" s="184" t="n">
        <v>0.02</v>
      </c>
      <c r="AB49" s="185" t="n">
        <v>0.11</v>
      </c>
    </row>
    <row r="50" customFormat="false" ht="15" hidden="false" customHeight="false" outlineLevel="0" collapsed="false">
      <c r="Y50" s="125" t="n">
        <f aca="false">COUNTIF($C$3:$W$44,ROW(Z50)-2)</f>
        <v>1</v>
      </c>
      <c r="Z50" s="125" t="n">
        <v>48</v>
      </c>
      <c r="AA50" s="184" t="n">
        <v>0.005</v>
      </c>
      <c r="AB50" s="185" t="n">
        <v>0.02</v>
      </c>
    </row>
    <row r="51" customFormat="false" ht="15" hidden="false" customHeight="false" outlineLevel="0" collapsed="false">
      <c r="Y51" s="125" t="n">
        <f aca="false">COUNTIF($C$3:$W$44,ROW(Z51)-2)</f>
        <v>2</v>
      </c>
      <c r="Z51" s="125" t="n">
        <v>49</v>
      </c>
      <c r="AA51" s="184" t="n">
        <v>0.015</v>
      </c>
      <c r="AC51" s="184" t="n">
        <v>0.06</v>
      </c>
      <c r="AD51" s="186" t="n">
        <v>2</v>
      </c>
    </row>
    <row r="52" customFormat="false" ht="15" hidden="false" customHeight="false" outlineLevel="0" collapsed="false">
      <c r="Y52" s="125" t="n">
        <f aca="false">COUNTIF($C$3:$W$44,ROW(Z52)-2)</f>
        <v>4</v>
      </c>
      <c r="Z52" s="125" t="n">
        <v>50</v>
      </c>
      <c r="AA52" s="184" t="n">
        <v>0.02</v>
      </c>
      <c r="AB52" s="185" t="n">
        <v>0.2</v>
      </c>
      <c r="AC52" s="184" t="n">
        <v>0.001</v>
      </c>
      <c r="AD52" s="186" t="n">
        <v>1.5</v>
      </c>
    </row>
    <row r="53" customFormat="false" ht="15" hidden="false" customHeight="false" outlineLevel="0" collapsed="false">
      <c r="Z53" s="125" t="str">
        <f aca="false">IF(ROW(AA53)-2&lt;=MAX($C$3:$W$44),ROW(AA53)-2,"")</f>
        <v/>
      </c>
    </row>
    <row r="54" customFormat="false" ht="15" hidden="false" customHeight="false" outlineLevel="0" collapsed="false">
      <c r="Z54" s="125" t="str">
        <f aca="false">IF(ROW(AA54)-2&lt;=MAX($C$3:$W$44),ROW(AA54)-2,"")</f>
        <v/>
      </c>
    </row>
    <row r="55" customFormat="false" ht="15" hidden="false" customHeight="false" outlineLevel="0" collapsed="false">
      <c r="Z55" s="125" t="str">
        <f aca="false">IF(ROW(AA55)-2&lt;=MAX($C$3:$W$44),ROW(AA55)-2,"")</f>
        <v/>
      </c>
    </row>
    <row r="56" customFormat="false" ht="15" hidden="false" customHeight="false" outlineLevel="0" collapsed="false">
      <c r="Z56" s="125" t="str">
        <f aca="false">IF(ROW(AA56)-2&lt;=MAX($C$3:$W$44),ROW(AA56)-2,"")</f>
        <v/>
      </c>
    </row>
    <row r="57" customFormat="false" ht="15" hidden="false" customHeight="false" outlineLevel="0" collapsed="false">
      <c r="Z57" s="125" t="str">
        <f aca="false">IF(ROW(AA57)-2&lt;=MAX($C$3:$W$44),ROW(AA57)-2,"")</f>
        <v/>
      </c>
    </row>
    <row r="58" customFormat="false" ht="15" hidden="false" customHeight="false" outlineLevel="0" collapsed="false">
      <c r="Z58" s="125" t="str">
        <f aca="false">IF(ROW(AA58)-2&lt;=MAX($C$3:$W$44),ROW(AA58)-2,"")</f>
        <v/>
      </c>
    </row>
    <row r="59" customFormat="false" ht="15" hidden="false" customHeight="false" outlineLevel="0" collapsed="false">
      <c r="Z59" s="125" t="str">
        <f aca="false">IF(ROW(AA59)-2&lt;=MAX($C$3:$W$44),ROW(AA59)-2,"")</f>
        <v/>
      </c>
    </row>
    <row r="60" customFormat="false" ht="15" hidden="false" customHeight="false" outlineLevel="0" collapsed="false">
      <c r="Z60" s="125" t="str">
        <f aca="false">IF(ROW(AA60)-2&lt;=MAX($C$3:$W$44),ROW(AA60)-2,"")</f>
        <v/>
      </c>
    </row>
    <row r="61" customFormat="false" ht="15" hidden="false" customHeight="false" outlineLevel="0" collapsed="false">
      <c r="Z61" s="125" t="str">
        <f aca="false">IF(ROW(AA61)-2&lt;=MAX($C$3:$W$44),ROW(AA61)-2,"")</f>
        <v/>
      </c>
    </row>
    <row r="62" customFormat="false" ht="15" hidden="false" customHeight="false" outlineLevel="0" collapsed="false">
      <c r="Z62" s="125" t="str">
        <f aca="false">IF(ROW(AA62)-2&lt;=MAX($C$3:$W$44),ROW(AA62)-2,"")</f>
        <v/>
      </c>
    </row>
    <row r="63" customFormat="false" ht="15" hidden="false" customHeight="false" outlineLevel="0" collapsed="false">
      <c r="Z63" s="125" t="str">
        <f aca="false">IF(ROW(AA63)-2&lt;=MAX($C$3:$W$44),ROW(AA63)-2,"")</f>
        <v/>
      </c>
    </row>
    <row r="64" customFormat="false" ht="15" hidden="false" customHeight="false" outlineLevel="0" collapsed="false">
      <c r="Z64" s="125" t="str">
        <f aca="false">IF(ROW(AA64)-2&lt;=MAX($C$3:$W$44),ROW(AA64)-2,"")</f>
        <v/>
      </c>
    </row>
    <row r="65" customFormat="false" ht="15" hidden="false" customHeight="false" outlineLevel="0" collapsed="false">
      <c r="Z65" s="125" t="str">
        <f aca="false">IF(ROW(AA65)-2&lt;=MAX($C$3:$W$44),ROW(AA65)-2,"")</f>
        <v/>
      </c>
    </row>
    <row r="66" customFormat="false" ht="15" hidden="false" customHeight="false" outlineLevel="0" collapsed="false">
      <c r="Z66" s="125" t="str">
        <f aca="false">IF(ROW(AA66)-2&lt;=MAX($C$3:$W$44),ROW(AA66)-2,"")</f>
        <v/>
      </c>
    </row>
    <row r="67" customFormat="false" ht="15" hidden="false" customHeight="false" outlineLevel="0" collapsed="false">
      <c r="Z67" s="125" t="str">
        <f aca="false">IF(ROW(AA67)-2&lt;=MAX($C$3:$W$44),ROW(AA67)-2,"")</f>
        <v/>
      </c>
    </row>
    <row r="68" customFormat="false" ht="15" hidden="false" customHeight="false" outlineLevel="0" collapsed="false">
      <c r="Z68" s="125" t="str">
        <f aca="false">IF(ROW(AA68)-2&lt;=MAX($C$3:$W$44),ROW(AA68)-2,"")</f>
        <v/>
      </c>
    </row>
    <row r="69" customFormat="false" ht="15" hidden="false" customHeight="false" outlineLevel="0" collapsed="false">
      <c r="Z69" s="125" t="str">
        <f aca="false">IF(ROW(AA69)-2&lt;=MAX($C$3:$W$44),ROW(AA69)-2,"")</f>
        <v/>
      </c>
    </row>
    <row r="70" customFormat="false" ht="15" hidden="false" customHeight="false" outlineLevel="0" collapsed="false">
      <c r="Z70" s="125" t="str">
        <f aca="false">IF(ROW(AA70)-2&lt;=MAX($C$3:$W$44),ROW(AA70)-2,"")</f>
        <v/>
      </c>
    </row>
    <row r="71" customFormat="false" ht="15" hidden="false" customHeight="false" outlineLevel="0" collapsed="false">
      <c r="Z71" s="125" t="str">
        <f aca="false">IF(ROW(AA71)-2&lt;=MAX($C$3:$W$44),ROW(AA71)-2,"")</f>
        <v/>
      </c>
    </row>
    <row r="72" customFormat="false" ht="15" hidden="false" customHeight="false" outlineLevel="0" collapsed="false">
      <c r="Z72" s="125" t="str">
        <f aca="false">IF(ROW(AA72)-2&lt;=MAX($C$3:$W$44),ROW(AA72)-2,"")</f>
        <v/>
      </c>
    </row>
    <row r="73" customFormat="false" ht="15" hidden="false" customHeight="false" outlineLevel="0" collapsed="false">
      <c r="Z73" s="125" t="str">
        <f aca="false">IF(ROW(AA73)-2&lt;=MAX($C$3:$W$44),ROW(AA73)-2,"")</f>
        <v/>
      </c>
    </row>
    <row r="74" customFormat="false" ht="15" hidden="false" customHeight="false" outlineLevel="0" collapsed="false">
      <c r="Z74" s="125" t="str">
        <f aca="false">IF(ROW(AA74)-2&lt;=MAX($C$3:$W$44),ROW(AA74)-2,"")</f>
        <v/>
      </c>
    </row>
    <row r="75" customFormat="false" ht="15" hidden="false" customHeight="false" outlineLevel="0" collapsed="false">
      <c r="Z75" s="125" t="str">
        <f aca="false">IF(ROW(AA75)-2&lt;=MAX($C$3:$W$44),ROW(AA75)-2,"")</f>
        <v/>
      </c>
    </row>
    <row r="76" customFormat="false" ht="15" hidden="false" customHeight="false" outlineLevel="0" collapsed="false">
      <c r="Z76" s="125" t="str">
        <f aca="false">IF(ROW(AA76)-2&lt;=MAX($C$3:$W$44),ROW(AA76)-2,"")</f>
        <v/>
      </c>
    </row>
    <row r="77" customFormat="false" ht="15" hidden="false" customHeight="false" outlineLevel="0" collapsed="false">
      <c r="Z77" s="125" t="str">
        <f aca="false">IF(ROW(AA77)-2&lt;=MAX($C$3:$W$44),ROW(AA77)-2,"")</f>
        <v/>
      </c>
    </row>
    <row r="78" customFormat="false" ht="15" hidden="false" customHeight="false" outlineLevel="0" collapsed="false">
      <c r="Z78" s="125" t="str">
        <f aca="false">IF(ROW(AA78)-2&lt;=MAX($C$3:$W$44),ROW(AA78)-2,"")</f>
        <v/>
      </c>
    </row>
    <row r="79" customFormat="false" ht="15" hidden="false" customHeight="false" outlineLevel="0" collapsed="false">
      <c r="Z79" s="125" t="str">
        <f aca="false">IF(ROW(AA79)-2&lt;=MAX($C$3:$W$44),ROW(AA79)-2,"")</f>
        <v/>
      </c>
    </row>
    <row r="80" customFormat="false" ht="15" hidden="false" customHeight="false" outlineLevel="0" collapsed="false">
      <c r="Z80" s="125" t="str">
        <f aca="false">IF(ROW(AA80)-2&lt;=MAX($C$3:$W$44),ROW(AA80)-2,"")</f>
        <v/>
      </c>
    </row>
    <row r="81" customFormat="false" ht="15" hidden="false" customHeight="false" outlineLevel="0" collapsed="false">
      <c r="Z81" s="125" t="str">
        <f aca="false">IF(ROW(AA81)-2&lt;=MAX($C$3:$W$44),ROW(AA81)-2,"")</f>
        <v/>
      </c>
    </row>
    <row r="82" customFormat="false" ht="15" hidden="false" customHeight="false" outlineLevel="0" collapsed="false">
      <c r="Z82" s="125" t="str">
        <f aca="false">IF(ROW(AA82)-2&lt;=MAX($C$3:$W$44),ROW(AA82)-2,"")</f>
        <v/>
      </c>
    </row>
    <row r="83" customFormat="false" ht="15" hidden="false" customHeight="false" outlineLevel="0" collapsed="false">
      <c r="Z83" s="125" t="str">
        <f aca="false">IF(ROW(AA83)-2&lt;=MAX($C$3:$W$44),ROW(AA83)-2,"")</f>
        <v/>
      </c>
    </row>
    <row r="84" customFormat="false" ht="15" hidden="false" customHeight="false" outlineLevel="0" collapsed="false">
      <c r="Z84" s="125" t="str">
        <f aca="false">IF(ROW(AA84)-2&lt;=MAX($C$3:$W$44),ROW(AA84)-2,"")</f>
        <v/>
      </c>
    </row>
    <row r="85" customFormat="false" ht="15" hidden="false" customHeight="false" outlineLevel="0" collapsed="false">
      <c r="Z85" s="125" t="str">
        <f aca="false">IF(ROW(AA85)-2&lt;=MAX($C$3:$W$44),ROW(AA85)-2,"")</f>
        <v/>
      </c>
    </row>
    <row r="86" customFormat="false" ht="15" hidden="false" customHeight="false" outlineLevel="0" collapsed="false">
      <c r="Z86" s="125" t="str">
        <f aca="false">IF(ROW(AA86)-2&lt;=MAX($C$3:$W$44),ROW(AA86)-2,"")</f>
        <v/>
      </c>
    </row>
    <row r="87" customFormat="false" ht="15" hidden="false" customHeight="false" outlineLevel="0" collapsed="false">
      <c r="Z87" s="125" t="str">
        <f aca="false">IF(ROW(AA87)-2&lt;=MAX($C$3:$W$44),ROW(AA87)-2,"")</f>
        <v/>
      </c>
    </row>
    <row r="88" customFormat="false" ht="15" hidden="false" customHeight="false" outlineLevel="0" collapsed="false">
      <c r="Z88" s="125" t="str">
        <f aca="false">IF(ROW(AA88)-2&lt;=MAX($C$3:$W$44),ROW(AA88)-2,"")</f>
        <v/>
      </c>
    </row>
    <row r="89" customFormat="false" ht="15" hidden="false" customHeight="false" outlineLevel="0" collapsed="false">
      <c r="Z89" s="125" t="str">
        <f aca="false">IF(ROW(AA89)-2&lt;=MAX($C$3:$W$44),ROW(AA89)-2,"")</f>
        <v/>
      </c>
    </row>
    <row r="90" customFormat="false" ht="15" hidden="false" customHeight="false" outlineLevel="0" collapsed="false">
      <c r="Z90" s="125" t="str">
        <f aca="false">IF(ROW(AA90)-2&lt;=MAX($C$3:$W$44),ROW(AA90)-2,"")</f>
        <v/>
      </c>
    </row>
    <row r="91" customFormat="false" ht="15" hidden="false" customHeight="false" outlineLevel="0" collapsed="false">
      <c r="Z91" s="125" t="str">
        <f aca="false">IF(ROW(AA91)-2&lt;=MAX($C$3:$W$44),ROW(AA91)-2,"")</f>
        <v/>
      </c>
    </row>
    <row r="92" customFormat="false" ht="15" hidden="false" customHeight="false" outlineLevel="0" collapsed="false">
      <c r="Z92" s="125" t="str">
        <f aca="false">IF(ROW(AA92)-2&lt;=MAX($C$3:$W$44),ROW(AA92)-2,"")</f>
        <v/>
      </c>
    </row>
    <row r="93" customFormat="false" ht="15" hidden="false" customHeight="false" outlineLevel="0" collapsed="false">
      <c r="Z93" s="125" t="str">
        <f aca="false">IF(ROW(AA93)-2&lt;=MAX($C$3:$W$44),ROW(AA93)-2,"")</f>
        <v/>
      </c>
    </row>
    <row r="94" customFormat="false" ht="15" hidden="false" customHeight="false" outlineLevel="0" collapsed="false">
      <c r="Z94" s="125" t="str">
        <f aca="false">IF(ROW(AA94)-2&lt;=MAX($C$3:$W$44),ROW(AA94)-2,"")</f>
        <v/>
      </c>
    </row>
    <row r="95" customFormat="false" ht="15" hidden="false" customHeight="false" outlineLevel="0" collapsed="false">
      <c r="Z95" s="125" t="str">
        <f aca="false">IF(ROW(AA95)-2&lt;=MAX($C$3:$W$44),ROW(AA95)-2,"")</f>
        <v/>
      </c>
    </row>
    <row r="96" customFormat="false" ht="15" hidden="false" customHeight="false" outlineLevel="0" collapsed="false">
      <c r="Z96" s="125" t="str">
        <f aca="false">IF(ROW(AA96)-2&lt;=MAX($C$3:$W$44),ROW(AA96)-2,"")</f>
        <v/>
      </c>
    </row>
    <row r="97" customFormat="false" ht="15" hidden="false" customHeight="false" outlineLevel="0" collapsed="false">
      <c r="Z97" s="125" t="str">
        <f aca="false">IF(ROW(AA97)-2&lt;=MAX($C$3:$W$44),ROW(AA97)-2,"")</f>
        <v/>
      </c>
    </row>
    <row r="98" customFormat="false" ht="15" hidden="false" customHeight="false" outlineLevel="0" collapsed="false">
      <c r="Z98" s="125" t="str">
        <f aca="false">IF(ROW(AA98)-2&lt;=MAX($C$3:$W$44),ROW(AA98)-2,"")</f>
        <v/>
      </c>
    </row>
    <row r="99" customFormat="false" ht="15" hidden="false" customHeight="false" outlineLevel="0" collapsed="false">
      <c r="Z99" s="125" t="str">
        <f aca="false">IF(ROW(AA99)-2&lt;=MAX($C$3:$W$44),ROW(AA99)-2,"")</f>
        <v/>
      </c>
    </row>
    <row r="100" customFormat="false" ht="15" hidden="false" customHeight="false" outlineLevel="0" collapsed="false">
      <c r="Z100" s="125" t="str">
        <f aca="false">IF(ROW(AA100)-2&lt;=MAX($C$3:$W$44),ROW(AA100)-2,"")</f>
        <v/>
      </c>
    </row>
    <row r="101" customFormat="false" ht="15" hidden="false" customHeight="false" outlineLevel="0" collapsed="false">
      <c r="Z101" s="125" t="str">
        <f aca="false">IF(ROW(AA101)-2&lt;=MAX($C$3:$W$44),ROW(AA101)-2,"")</f>
        <v/>
      </c>
    </row>
    <row r="102" customFormat="false" ht="15" hidden="false" customHeight="false" outlineLevel="0" collapsed="false">
      <c r="Z102" s="125" t="str">
        <f aca="false">IF(ROW(AA102)-2&lt;=MAX($C$3:$W$44),ROW(AA102)-2,"")</f>
        <v/>
      </c>
    </row>
    <row r="103" customFormat="false" ht="15" hidden="false" customHeight="false" outlineLevel="0" collapsed="false">
      <c r="Z103" s="125" t="str">
        <f aca="false">IF(ROW(AA103)-2&lt;=MAX($C$3:$W$44),ROW(AA103)-2,"")</f>
        <v/>
      </c>
    </row>
    <row r="104" customFormat="false" ht="15" hidden="false" customHeight="false" outlineLevel="0" collapsed="false">
      <c r="Z104" s="125" t="str">
        <f aca="false">IF(ROW(AA104)-2&lt;=MAX($C$3:$W$44),ROW(AA104)-2,"")</f>
        <v/>
      </c>
    </row>
    <row r="105" customFormat="false" ht="15" hidden="false" customHeight="false" outlineLevel="0" collapsed="false">
      <c r="Z105" s="125" t="str">
        <f aca="false">IF(ROW(AA105)-2&lt;=MAX($C$3:$W$44),ROW(AA105)-2,"")</f>
        <v/>
      </c>
    </row>
    <row r="106" customFormat="false" ht="15" hidden="false" customHeight="false" outlineLevel="0" collapsed="false">
      <c r="Z106" s="125" t="str">
        <f aca="false">IF(ROW(AA106)-2&lt;=MAX($C$3:$W$44),ROW(AA106)-2,"")</f>
        <v/>
      </c>
    </row>
    <row r="107" customFormat="false" ht="15" hidden="false" customHeight="false" outlineLevel="0" collapsed="false">
      <c r="Z107" s="125" t="str">
        <f aca="false">IF(ROW(AA107)-2&lt;=MAX($C$3:$W$44),ROW(AA107)-2,"")</f>
        <v/>
      </c>
    </row>
    <row r="108" customFormat="false" ht="15" hidden="false" customHeight="false" outlineLevel="0" collapsed="false">
      <c r="Z108" s="125" t="str">
        <f aca="false">IF(ROW(AA108)-2&lt;=MAX($C$3:$W$44),ROW(AA108)-2,"")</f>
        <v/>
      </c>
    </row>
    <row r="109" customFormat="false" ht="15" hidden="false" customHeight="false" outlineLevel="0" collapsed="false">
      <c r="Z109" s="125" t="str">
        <f aca="false">IF(ROW(AA109)-2&lt;=MAX($C$3:$W$44),ROW(AA109)-2,"")</f>
        <v/>
      </c>
    </row>
    <row r="110" customFormat="false" ht="15" hidden="false" customHeight="false" outlineLevel="0" collapsed="false">
      <c r="Z110" s="125" t="str">
        <f aca="false">IF(ROW(AA110)-2&lt;=MAX($C$3:$W$44),ROW(AA110)-2,"")</f>
        <v/>
      </c>
    </row>
    <row r="111" customFormat="false" ht="15" hidden="false" customHeight="false" outlineLevel="0" collapsed="false">
      <c r="Z111" s="125" t="str">
        <f aca="false">IF(ROW(AA111)-2&lt;=MAX($C$3:$W$44),ROW(AA111)-2,"")</f>
        <v/>
      </c>
    </row>
    <row r="112" customFormat="false" ht="15" hidden="false" customHeight="false" outlineLevel="0" collapsed="false">
      <c r="Z112" s="125" t="str">
        <f aca="false">IF(ROW(AA112)-2&lt;=MAX($C$3:$W$44),ROW(AA112)-2,"")</f>
        <v/>
      </c>
    </row>
    <row r="113" customFormat="false" ht="15" hidden="false" customHeight="false" outlineLevel="0" collapsed="false">
      <c r="Z113" s="125" t="str">
        <f aca="false">IF(ROW(AA113)-2&lt;=MAX($C$3:$W$44),ROW(AA113)-2,"")</f>
        <v/>
      </c>
    </row>
    <row r="114" customFormat="false" ht="15" hidden="false" customHeight="false" outlineLevel="0" collapsed="false">
      <c r="Z114" s="125" t="str">
        <f aca="false">IF(ROW(AA114)-2&lt;=MAX($C$3:$W$44),ROW(AA114)-2,"")</f>
        <v/>
      </c>
    </row>
    <row r="115" customFormat="false" ht="15" hidden="false" customHeight="false" outlineLevel="0" collapsed="false">
      <c r="Z115" s="125" t="str">
        <f aca="false">IF(ROW(AA115)-2&lt;=MAX($C$3:$W$44),ROW(AA115)-2,"")</f>
        <v/>
      </c>
    </row>
    <row r="116" customFormat="false" ht="15" hidden="false" customHeight="false" outlineLevel="0" collapsed="false">
      <c r="Z116" s="125" t="str">
        <f aca="false">IF(ROW(AA116)-2&lt;=MAX($C$3:$W$44),ROW(AA116)-2,"")</f>
        <v/>
      </c>
    </row>
    <row r="117" customFormat="false" ht="15" hidden="false" customHeight="false" outlineLevel="0" collapsed="false">
      <c r="Z117" s="125" t="str">
        <f aca="false">IF(ROW(AA117)-2&lt;=MAX($C$3:$W$44),ROW(AA117)-2,"")</f>
        <v/>
      </c>
    </row>
    <row r="118" customFormat="false" ht="15" hidden="false" customHeight="false" outlineLevel="0" collapsed="false">
      <c r="Z118" s="125" t="str">
        <f aca="false">IF(ROW(AA118)-2&lt;=MAX($C$3:$W$44),ROW(AA118)-2,"")</f>
        <v/>
      </c>
    </row>
    <row r="119" customFormat="false" ht="15" hidden="false" customHeight="false" outlineLevel="0" collapsed="false">
      <c r="Z119" s="125" t="str">
        <f aca="false">IF(ROW(AA119)-2&lt;=MAX($C$3:$W$44),ROW(AA119)-2,"")</f>
        <v/>
      </c>
    </row>
    <row r="120" customFormat="false" ht="15" hidden="false" customHeight="false" outlineLevel="0" collapsed="false">
      <c r="Z120" s="125" t="str">
        <f aca="false">IF(ROW(AA120)-2&lt;=MAX($C$3:$W$44),ROW(AA120)-2,"")</f>
        <v/>
      </c>
    </row>
    <row r="121" customFormat="false" ht="15" hidden="false" customHeight="false" outlineLevel="0" collapsed="false">
      <c r="Z121" s="125" t="str">
        <f aca="false">IF(ROW(AA121)-2&lt;=MAX($C$3:$W$44),ROW(AA121)-2,"")</f>
        <v/>
      </c>
    </row>
    <row r="122" customFormat="false" ht="15" hidden="false" customHeight="false" outlineLevel="0" collapsed="false">
      <c r="Z122" s="125" t="str">
        <f aca="false">IF(ROW(AA122)-2&lt;=MAX($C$3:$W$44),ROW(AA122)-2,"")</f>
        <v/>
      </c>
    </row>
    <row r="123" customFormat="false" ht="15" hidden="false" customHeight="false" outlineLevel="0" collapsed="false">
      <c r="Z123" s="125" t="str">
        <f aca="false">IF(ROW(AA123)-2&lt;=MAX($C$3:$W$44),ROW(AA123)-2,"")</f>
        <v/>
      </c>
    </row>
    <row r="124" customFormat="false" ht="15" hidden="false" customHeight="false" outlineLevel="0" collapsed="false">
      <c r="Z124" s="125" t="str">
        <f aca="false">IF(ROW(AA124)-2&lt;=MAX($C$3:$W$44),ROW(AA124)-2,"")</f>
        <v/>
      </c>
    </row>
    <row r="125" customFormat="false" ht="15" hidden="false" customHeight="false" outlineLevel="0" collapsed="false">
      <c r="Z125" s="125" t="str">
        <f aca="false">IF(ROW(AA125)-2&lt;=MAX($C$3:$W$44),ROW(AA125)-2,"")</f>
        <v/>
      </c>
    </row>
    <row r="126" customFormat="false" ht="15" hidden="false" customHeight="false" outlineLevel="0" collapsed="false">
      <c r="Z126" s="125" t="str">
        <f aca="false">IF(ROW(AA126)-2&lt;=MAX($C$3:$W$44),ROW(AA126)-2,"")</f>
        <v/>
      </c>
    </row>
    <row r="127" customFormat="false" ht="15" hidden="false" customHeight="false" outlineLevel="0" collapsed="false">
      <c r="Z127" s="125" t="str">
        <f aca="false">IF(ROW(AA127)-2&lt;=MAX($C$3:$W$44),ROW(AA127)-2,"")</f>
        <v/>
      </c>
    </row>
    <row r="128" customFormat="false" ht="15" hidden="false" customHeight="false" outlineLevel="0" collapsed="false">
      <c r="Z128" s="125" t="str">
        <f aca="false">IF(ROW(AA128)-2&lt;=MAX($C$3:$W$44),ROW(AA128)-2,"")</f>
        <v/>
      </c>
    </row>
    <row r="129" customFormat="false" ht="15" hidden="false" customHeight="false" outlineLevel="0" collapsed="false">
      <c r="Z129" s="125" t="str">
        <f aca="false">IF(ROW(AA129)-2&lt;=MAX($C$3:$W$44),ROW(AA129)-2,"")</f>
        <v/>
      </c>
    </row>
    <row r="130" customFormat="false" ht="15" hidden="false" customHeight="false" outlineLevel="0" collapsed="false">
      <c r="Z130" s="125" t="str">
        <f aca="false">IF(ROW(AA130)-2&lt;=MAX($C$3:$W$44),ROW(AA130)-2,"")</f>
        <v/>
      </c>
    </row>
    <row r="131" customFormat="false" ht="15" hidden="false" customHeight="false" outlineLevel="0" collapsed="false">
      <c r="Z131" s="125" t="str">
        <f aca="false">IF(ROW(AA131)-2&lt;=MAX($C$3:$W$44),ROW(AA131)-2,"")</f>
        <v/>
      </c>
    </row>
    <row r="132" customFormat="false" ht="15" hidden="false" customHeight="false" outlineLevel="0" collapsed="false">
      <c r="Z132" s="125" t="str">
        <f aca="false">IF(ROW(AA132)-2&lt;=MAX($C$3:$W$44),ROW(AA132)-2,"")</f>
        <v/>
      </c>
    </row>
    <row r="133" customFormat="false" ht="15" hidden="false" customHeight="false" outlineLevel="0" collapsed="false">
      <c r="Z133" s="125" t="str">
        <f aca="false">IF(ROW(AA133)-2&lt;=MAX($C$3:$W$44),ROW(AA133)-2,"")</f>
        <v/>
      </c>
    </row>
    <row r="134" customFormat="false" ht="15" hidden="false" customHeight="false" outlineLevel="0" collapsed="false">
      <c r="Z134" s="125" t="str">
        <f aca="false">IF(ROW(AA134)-2&lt;=MAX($C$3:$W$44),ROW(AA134)-2,"")</f>
        <v/>
      </c>
    </row>
    <row r="135" customFormat="false" ht="15" hidden="false" customHeight="false" outlineLevel="0" collapsed="false">
      <c r="Z135" s="125" t="str">
        <f aca="false">IF(ROW(AA135)-2&lt;=MAX($C$3:$W$44),ROW(AA135)-2,"")</f>
        <v/>
      </c>
    </row>
    <row r="136" customFormat="false" ht="15" hidden="false" customHeight="false" outlineLevel="0" collapsed="false">
      <c r="Z136" s="125" t="str">
        <f aca="false">IF(ROW(AA136)-2&lt;=MAX($C$3:$W$44),ROW(AA136)-2,"")</f>
        <v/>
      </c>
    </row>
    <row r="137" customFormat="false" ht="15" hidden="false" customHeight="false" outlineLevel="0" collapsed="false">
      <c r="Z137" s="125" t="str">
        <f aca="false">IF(ROW(AA137)-2&lt;=MAX($C$3:$W$44),ROW(AA137)-2,"")</f>
        <v/>
      </c>
    </row>
    <row r="138" customFormat="false" ht="15" hidden="false" customHeight="false" outlineLevel="0" collapsed="false">
      <c r="Z138" s="125" t="str">
        <f aca="false">IF(ROW(AA138)-2&lt;=MAX($C$3:$W$44),ROW(AA138)-2,"")</f>
        <v/>
      </c>
    </row>
    <row r="139" customFormat="false" ht="15" hidden="false" customHeight="false" outlineLevel="0" collapsed="false">
      <c r="Z139" s="125" t="str">
        <f aca="false">IF(ROW(AA139)-2&lt;=MAX($C$3:$W$44),ROW(AA139)-2,"")</f>
        <v/>
      </c>
    </row>
    <row r="140" customFormat="false" ht="15" hidden="false" customHeight="false" outlineLevel="0" collapsed="false">
      <c r="Z140" s="125" t="str">
        <f aca="false">IF(ROW(AA140)-2&lt;=MAX($C$3:$W$44),ROW(AA140)-2,"")</f>
        <v/>
      </c>
    </row>
    <row r="141" customFormat="false" ht="15" hidden="false" customHeight="false" outlineLevel="0" collapsed="false">
      <c r="Z141" s="125" t="str">
        <f aca="false">IF(ROW(AA141)-2&lt;=MAX($C$3:$W$44),ROW(AA141)-2,"")</f>
        <v/>
      </c>
    </row>
    <row r="142" customFormat="false" ht="15" hidden="false" customHeight="false" outlineLevel="0" collapsed="false">
      <c r="Z142" s="125" t="str">
        <f aca="false">IF(ROW(AA142)-2&lt;=MAX($C$3:$W$44),ROW(AA142)-2,"")</f>
        <v/>
      </c>
    </row>
    <row r="143" customFormat="false" ht="15" hidden="false" customHeight="false" outlineLevel="0" collapsed="false">
      <c r="Z143" s="125" t="str">
        <f aca="false">IF(ROW(AA143)-2&lt;=MAX($C$3:$W$44),ROW(AA143)-2,"")</f>
        <v/>
      </c>
    </row>
    <row r="144" customFormat="false" ht="15" hidden="false" customHeight="false" outlineLevel="0" collapsed="false">
      <c r="Z144" s="125" t="str">
        <f aca="false">IF(ROW(AA144)-2&lt;=MAX($C$3:$W$44),ROW(AA144)-2,"")</f>
        <v/>
      </c>
    </row>
    <row r="145" customFormat="false" ht="15" hidden="false" customHeight="false" outlineLevel="0" collapsed="false">
      <c r="Z145" s="125" t="str">
        <f aca="false">IF(ROW(AA145)-2&lt;=MAX($C$3:$W$44),ROW(AA145)-2,"")</f>
        <v/>
      </c>
    </row>
    <row r="146" customFormat="false" ht="15" hidden="false" customHeight="false" outlineLevel="0" collapsed="false">
      <c r="Z146" s="125" t="str">
        <f aca="false">IF(ROW(AA146)-2&lt;=MAX($C$3:$W$44),ROW(AA146)-2,"")</f>
        <v/>
      </c>
    </row>
    <row r="147" customFormat="false" ht="15" hidden="false" customHeight="false" outlineLevel="0" collapsed="false">
      <c r="Z147" s="125" t="str">
        <f aca="false">IF(ROW(AA147)-2&lt;=MAX($C$3:$W$44),ROW(AA147)-2,"")</f>
        <v/>
      </c>
    </row>
    <row r="148" customFormat="false" ht="15" hidden="false" customHeight="false" outlineLevel="0" collapsed="false">
      <c r="Z148" s="125" t="str">
        <f aca="false">IF(ROW(AA148)-2&lt;=MAX($C$3:$W$44),ROW(AA148)-2,"")</f>
        <v/>
      </c>
    </row>
    <row r="149" customFormat="false" ht="15" hidden="false" customHeight="false" outlineLevel="0" collapsed="false">
      <c r="Z149" s="125" t="str">
        <f aca="false">IF(ROW(AA149)-2&lt;=MAX($C$3:$W$44),ROW(AA149)-2,"")</f>
        <v/>
      </c>
    </row>
    <row r="150" customFormat="false" ht="15" hidden="false" customHeight="false" outlineLevel="0" collapsed="false">
      <c r="Z150" s="125" t="str">
        <f aca="false">IF(ROW(AA150)-2&lt;=MAX($C$3:$W$44),ROW(AA150)-2,"")</f>
        <v/>
      </c>
    </row>
    <row r="151" customFormat="false" ht="15" hidden="false" customHeight="false" outlineLevel="0" collapsed="false">
      <c r="Z151" s="125" t="str">
        <f aca="false">IF(ROW(AA151)-2&lt;=MAX($C$3:$W$44),ROW(AA151)-2,"")</f>
        <v/>
      </c>
    </row>
    <row r="152" customFormat="false" ht="15" hidden="false" customHeight="false" outlineLevel="0" collapsed="false">
      <c r="Z152" s="125" t="str">
        <f aca="false">IF(ROW(AA152)-2&lt;=MAX($C$3:$W$44),ROW(AA152)-2,"")</f>
        <v/>
      </c>
    </row>
    <row r="153" customFormat="false" ht="15" hidden="false" customHeight="false" outlineLevel="0" collapsed="false">
      <c r="Z153" s="125" t="str">
        <f aca="false">IF(ROW(AA153)-2&lt;=MAX($C$3:$W$44),ROW(AA153)-2,"")</f>
        <v/>
      </c>
    </row>
    <row r="154" customFormat="false" ht="15" hidden="false" customHeight="false" outlineLevel="0" collapsed="false">
      <c r="Z154" s="125" t="str">
        <f aca="false">IF(ROW(AA154)-2&lt;=MAX($C$3:$W$44),ROW(AA154)-2,"")</f>
        <v/>
      </c>
    </row>
    <row r="155" customFormat="false" ht="15" hidden="false" customHeight="false" outlineLevel="0" collapsed="false">
      <c r="Z155" s="125" t="str">
        <f aca="false">IF(ROW(AA155)-2&lt;=MAX($C$3:$W$44),ROW(AA155)-2,"")</f>
        <v/>
      </c>
    </row>
    <row r="156" customFormat="false" ht="15" hidden="false" customHeight="false" outlineLevel="0" collapsed="false">
      <c r="Z156" s="125" t="str">
        <f aca="false">IF(ROW(AA156)-2&lt;=MAX($C$3:$W$44),ROW(AA156)-2,"")</f>
        <v/>
      </c>
    </row>
    <row r="157" customFormat="false" ht="15" hidden="false" customHeight="false" outlineLevel="0" collapsed="false">
      <c r="Z157" s="125" t="str">
        <f aca="false">IF(ROW(AA157)-2&lt;=MAX($C$3:$W$44),ROW(AA157)-2,"")</f>
        <v/>
      </c>
    </row>
    <row r="158" customFormat="false" ht="15" hidden="false" customHeight="false" outlineLevel="0" collapsed="false">
      <c r="Z158" s="125" t="str">
        <f aca="false">IF(ROW(AA158)-2&lt;=MAX($C$3:$W$44),ROW(AA158)-2,"")</f>
        <v/>
      </c>
    </row>
    <row r="159" customFormat="false" ht="15" hidden="false" customHeight="false" outlineLevel="0" collapsed="false">
      <c r="Z159" s="125" t="str">
        <f aca="false">IF(ROW(AA159)-2&lt;=MAX($C$3:$W$44),ROW(AA159)-2,"")</f>
        <v/>
      </c>
    </row>
    <row r="160" customFormat="false" ht="15" hidden="false" customHeight="false" outlineLevel="0" collapsed="false">
      <c r="Z160" s="125" t="str">
        <f aca="false">IF(ROW(AA160)-2&lt;=MAX($C$3:$W$44),ROW(AA160)-2,"")</f>
        <v/>
      </c>
    </row>
    <row r="161" customFormat="false" ht="15" hidden="false" customHeight="false" outlineLevel="0" collapsed="false">
      <c r="Z161" s="125" t="str">
        <f aca="false">IF(ROW(AA161)-2&lt;=MAX($C$3:$W$44),ROW(AA161)-2,"")</f>
        <v/>
      </c>
    </row>
    <row r="162" customFormat="false" ht="15" hidden="false" customHeight="false" outlineLevel="0" collapsed="false">
      <c r="Z162" s="125" t="str">
        <f aca="false">IF(ROW(AA162)-2&lt;=MAX($C$3:$W$44),ROW(AA162)-2,"")</f>
        <v/>
      </c>
    </row>
    <row r="163" customFormat="false" ht="15" hidden="false" customHeight="false" outlineLevel="0" collapsed="false">
      <c r="Z163" s="125" t="str">
        <f aca="false">IF(ROW(AA163)-2&lt;=MAX($C$3:$W$44),ROW(AA163)-2,"")</f>
        <v/>
      </c>
    </row>
    <row r="164" customFormat="false" ht="15" hidden="false" customHeight="false" outlineLevel="0" collapsed="false">
      <c r="Z164" s="125" t="str">
        <f aca="false">IF(ROW(AA164)-2&lt;=MAX($C$3:$W$44),ROW(AA164)-2,"")</f>
        <v/>
      </c>
    </row>
    <row r="165" customFormat="false" ht="15" hidden="false" customHeight="false" outlineLevel="0" collapsed="false">
      <c r="Z165" s="125" t="str">
        <f aca="false">IF(ROW(AA165)-2&lt;=MAX($C$3:$W$44),ROW(AA165)-2,"")</f>
        <v/>
      </c>
    </row>
    <row r="166" customFormat="false" ht="15" hidden="false" customHeight="false" outlineLevel="0" collapsed="false">
      <c r="Z166" s="125" t="str">
        <f aca="false">IF(ROW(AA166)-2&lt;=MAX($C$3:$W$44),ROW(AA166)-2,"")</f>
        <v/>
      </c>
    </row>
    <row r="167" customFormat="false" ht="15" hidden="false" customHeight="false" outlineLevel="0" collapsed="false">
      <c r="Z167" s="125" t="str">
        <f aca="false">IF(ROW(AA167)-2&lt;=MAX($C$3:$W$44),ROW(AA167)-2,"")</f>
        <v/>
      </c>
    </row>
    <row r="168" customFormat="false" ht="15" hidden="false" customHeight="false" outlineLevel="0" collapsed="false">
      <c r="Z168" s="125" t="str">
        <f aca="false">IF(ROW(AA168)-2&lt;=MAX($C$3:$W$44),ROW(AA168)-2,"")</f>
        <v/>
      </c>
    </row>
    <row r="169" customFormat="false" ht="15" hidden="false" customHeight="false" outlineLevel="0" collapsed="false">
      <c r="Z169" s="125" t="str">
        <f aca="false">IF(ROW(AA169)-2&lt;=MAX($C$3:$W$44),ROW(AA169)-2,"")</f>
        <v/>
      </c>
    </row>
    <row r="170" customFormat="false" ht="15" hidden="false" customHeight="false" outlineLevel="0" collapsed="false">
      <c r="Z170" s="125" t="str">
        <f aca="false">IF(ROW(AA170)-2&lt;=MAX($C$3:$W$44),ROW(AA170)-2,"")</f>
        <v/>
      </c>
    </row>
    <row r="171" customFormat="false" ht="15" hidden="false" customHeight="false" outlineLevel="0" collapsed="false">
      <c r="Z171" s="125" t="str">
        <f aca="false">IF(ROW(AA171)-2&lt;=MAX($C$3:$W$44),ROW(AA171)-2,"")</f>
        <v/>
      </c>
    </row>
    <row r="172" customFormat="false" ht="15" hidden="false" customHeight="false" outlineLevel="0" collapsed="false">
      <c r="Z172" s="125" t="str">
        <f aca="false">IF(ROW(AA172)-2&lt;=MAX($C$3:$W$44),ROW(AA172)-2,"")</f>
        <v/>
      </c>
    </row>
    <row r="173" customFormat="false" ht="15" hidden="false" customHeight="false" outlineLevel="0" collapsed="false">
      <c r="Z173" s="125" t="str">
        <f aca="false">IF(ROW(AA173)-2&lt;=MAX($C$3:$W$44),ROW(AA173)-2,"")</f>
        <v/>
      </c>
    </row>
    <row r="174" customFormat="false" ht="15" hidden="false" customHeight="false" outlineLevel="0" collapsed="false">
      <c r="Z174" s="125" t="str">
        <f aca="false">IF(ROW(AA174)-2&lt;=MAX($C$3:$W$44),ROW(AA174)-2,"")</f>
        <v/>
      </c>
    </row>
    <row r="175" customFormat="false" ht="15" hidden="false" customHeight="false" outlineLevel="0" collapsed="false">
      <c r="Z175" s="125" t="str">
        <f aca="false">IF(ROW(AA175)-2&lt;=MAX($C$3:$W$44),ROW(AA175)-2,"")</f>
        <v/>
      </c>
    </row>
    <row r="176" customFormat="false" ht="15" hidden="false" customHeight="false" outlineLevel="0" collapsed="false">
      <c r="Z176" s="125" t="str">
        <f aca="false">IF(ROW(AA176)-2&lt;=MAX($C$3:$W$44),ROW(AA176)-2,"")</f>
        <v/>
      </c>
    </row>
    <row r="177" customFormat="false" ht="15" hidden="false" customHeight="false" outlineLevel="0" collapsed="false">
      <c r="Z177" s="125" t="str">
        <f aca="false">IF(ROW(AA177)-2&lt;=MAX($C$3:$W$44),ROW(AA177)-2,"")</f>
        <v/>
      </c>
    </row>
    <row r="178" customFormat="false" ht="15" hidden="false" customHeight="false" outlineLevel="0" collapsed="false">
      <c r="Z178" s="125" t="str">
        <f aca="false">IF(ROW(AA178)-2&lt;=MAX($C$3:$W$44),ROW(AA178)-2,"")</f>
        <v/>
      </c>
    </row>
    <row r="179" customFormat="false" ht="15" hidden="false" customHeight="false" outlineLevel="0" collapsed="false">
      <c r="Z179" s="125" t="str">
        <f aca="false">IF(ROW(AA179)-2&lt;=MAX($C$3:$W$44),ROW(AA179)-2,"")</f>
        <v/>
      </c>
    </row>
    <row r="180" customFormat="false" ht="15" hidden="false" customHeight="false" outlineLevel="0" collapsed="false">
      <c r="Z180" s="125" t="str">
        <f aca="false">IF(ROW(AA180)-2&lt;=MAX($C$3:$W$44),ROW(AA180)-2,"")</f>
        <v/>
      </c>
    </row>
    <row r="181" customFormat="false" ht="15" hidden="false" customHeight="false" outlineLevel="0" collapsed="false">
      <c r="Z181" s="125" t="str">
        <f aca="false">IF(ROW(AA181)-2&lt;=MAX($C$3:$W$44),ROW(AA181)-2,"")</f>
        <v/>
      </c>
    </row>
    <row r="182" customFormat="false" ht="15" hidden="false" customHeight="false" outlineLevel="0" collapsed="false">
      <c r="Z182" s="125" t="str">
        <f aca="false">IF(ROW(AA182)-2&lt;=MAX($C$3:$W$44),ROW(AA182)-2,"")</f>
        <v/>
      </c>
    </row>
    <row r="183" customFormat="false" ht="15" hidden="false" customHeight="false" outlineLevel="0" collapsed="false">
      <c r="Z183" s="125" t="str">
        <f aca="false">IF(ROW(AA183)-2&lt;=MAX($C$3:$W$44),ROW(AA183)-2,"")</f>
        <v/>
      </c>
    </row>
    <row r="184" customFormat="false" ht="15" hidden="false" customHeight="false" outlineLevel="0" collapsed="false">
      <c r="Z184" s="125" t="str">
        <f aca="false">IF(ROW(AA184)-2&lt;=MAX($C$3:$W$44),ROW(AA184)-2,"")</f>
        <v/>
      </c>
    </row>
    <row r="185" customFormat="false" ht="15" hidden="false" customHeight="false" outlineLevel="0" collapsed="false">
      <c r="Z185" s="125" t="str">
        <f aca="false">IF(ROW(AA185)-2&lt;=MAX($C$3:$W$44),ROW(AA185)-2,"")</f>
        <v/>
      </c>
    </row>
    <row r="186" customFormat="false" ht="15" hidden="false" customHeight="false" outlineLevel="0" collapsed="false">
      <c r="Z186" s="125" t="str">
        <f aca="false">IF(ROW(AA186)-2&lt;=MAX($C$3:$W$44),ROW(AA186)-2,"")</f>
        <v/>
      </c>
    </row>
    <row r="187" customFormat="false" ht="15" hidden="false" customHeight="false" outlineLevel="0" collapsed="false">
      <c r="Z187" s="125" t="str">
        <f aca="false">IF(ROW(AA187)-2&lt;=MAX($C$3:$W$44),ROW(AA187)-2,"")</f>
        <v/>
      </c>
    </row>
    <row r="188" customFormat="false" ht="15" hidden="false" customHeight="false" outlineLevel="0" collapsed="false">
      <c r="Z188" s="125" t="str">
        <f aca="false">IF(ROW(AA188)-2&lt;=MAX($C$3:$W$44),ROW(AA188)-2,"")</f>
        <v/>
      </c>
    </row>
    <row r="189" customFormat="false" ht="15" hidden="false" customHeight="false" outlineLevel="0" collapsed="false">
      <c r="Z189" s="125" t="str">
        <f aca="false">IF(ROW(AA189)-2&lt;=MAX($C$3:$W$44),ROW(AA189)-2,"")</f>
        <v/>
      </c>
    </row>
    <row r="190" customFormat="false" ht="15" hidden="false" customHeight="false" outlineLevel="0" collapsed="false">
      <c r="Z190" s="125" t="str">
        <f aca="false">IF(ROW(AA190)-2&lt;=MAX($C$3:$W$44),ROW(AA190)-2,"")</f>
        <v/>
      </c>
    </row>
    <row r="191" customFormat="false" ht="15" hidden="false" customHeight="false" outlineLevel="0" collapsed="false">
      <c r="Z191" s="125" t="str">
        <f aca="false">IF(ROW(AA191)-2&lt;=MAX($C$3:$W$44),ROW(AA191)-2,"")</f>
        <v/>
      </c>
    </row>
    <row r="192" customFormat="false" ht="15" hidden="false" customHeight="false" outlineLevel="0" collapsed="false">
      <c r="Z192" s="125" t="str">
        <f aca="false">IF(ROW(AA192)-2&lt;=MAX($C$3:$W$44),ROW(AA192)-2,"")</f>
        <v/>
      </c>
    </row>
    <row r="193" customFormat="false" ht="15" hidden="false" customHeight="false" outlineLevel="0" collapsed="false">
      <c r="Z193" s="125" t="str">
        <f aca="false">IF(ROW(AA193)-2&lt;=MAX($C$3:$W$44),ROW(AA193)-2,"")</f>
        <v/>
      </c>
    </row>
    <row r="194" customFormat="false" ht="15" hidden="false" customHeight="false" outlineLevel="0" collapsed="false">
      <c r="Z194" s="125" t="str">
        <f aca="false">IF(ROW(AA194)-2&lt;=MAX($C$3:$W$44),ROW(AA194)-2,"")</f>
        <v/>
      </c>
    </row>
    <row r="195" customFormat="false" ht="15" hidden="false" customHeight="false" outlineLevel="0" collapsed="false">
      <c r="Z195" s="125" t="str">
        <f aca="false">IF(ROW(AA195)-2&lt;=MAX($C$3:$W$44),ROW(AA195)-2,"")</f>
        <v/>
      </c>
    </row>
    <row r="196" customFormat="false" ht="15" hidden="false" customHeight="false" outlineLevel="0" collapsed="false">
      <c r="Z196" s="125" t="str">
        <f aca="false">IF(ROW(AA196)-2&lt;=MAX($C$3:$W$44),ROW(AA196)-2,"")</f>
        <v/>
      </c>
    </row>
    <row r="197" customFormat="false" ht="15" hidden="false" customHeight="false" outlineLevel="0" collapsed="false">
      <c r="Z197" s="125" t="str">
        <f aca="false">IF(ROW(AA197)-2&lt;=MAX($C$3:$W$44),ROW(AA197)-2,"")</f>
        <v/>
      </c>
    </row>
    <row r="198" customFormat="false" ht="15" hidden="false" customHeight="false" outlineLevel="0" collapsed="false">
      <c r="Z198" s="125" t="str">
        <f aca="false">IF(ROW(AA198)-2&lt;=MAX($C$3:$W$44),ROW(AA198)-2,"")</f>
        <v/>
      </c>
    </row>
    <row r="199" customFormat="false" ht="15" hidden="false" customHeight="false" outlineLevel="0" collapsed="false">
      <c r="Z199" s="125" t="str">
        <f aca="false">IF(ROW(AA199)-2&lt;=MAX($C$3:$W$44),ROW(AA199)-2,"")</f>
        <v/>
      </c>
    </row>
    <row r="200" customFormat="false" ht="15" hidden="false" customHeight="false" outlineLevel="0" collapsed="false">
      <c r="Z200" s="125" t="str">
        <f aca="false">IF(ROW(AA200)-2&lt;=MAX($C$3:$W$44),ROW(AA200)-2,"")</f>
        <v/>
      </c>
    </row>
    <row r="201" customFormat="false" ht="15" hidden="false" customHeight="false" outlineLevel="0" collapsed="false">
      <c r="Z201" s="125" t="str">
        <f aca="false">IF(ROW(AA201)-2&lt;=MAX($C$3:$W$44),ROW(AA201)-2,"")</f>
        <v/>
      </c>
    </row>
    <row r="202" customFormat="false" ht="15" hidden="false" customHeight="false" outlineLevel="0" collapsed="false">
      <c r="Z202" s="125" t="str">
        <f aca="false">IF(ROW(AA202)-2&lt;=MAX($C$3:$W$44),ROW(AA202)-2,"")</f>
        <v/>
      </c>
    </row>
    <row r="203" customFormat="false" ht="15" hidden="false" customHeight="false" outlineLevel="0" collapsed="false">
      <c r="Z203" s="125" t="str">
        <f aca="false">IF(ROW(AA203)-2&lt;=MAX($C$3:$W$44),ROW(AA203)-2,"")</f>
        <v/>
      </c>
    </row>
    <row r="204" customFormat="false" ht="15" hidden="false" customHeight="false" outlineLevel="0" collapsed="false">
      <c r="Z204" s="125" t="str">
        <f aca="false">IF(ROW(AA204)-2&lt;=MAX($C$3:$W$44),ROW(AA204)-2,"")</f>
        <v/>
      </c>
    </row>
    <row r="205" customFormat="false" ht="15" hidden="false" customHeight="false" outlineLevel="0" collapsed="false">
      <c r="Z205" s="125" t="str">
        <f aca="false">IF(ROW(AA205)-2&lt;=MAX($C$3:$W$44),ROW(AA205)-2,"")</f>
        <v/>
      </c>
    </row>
    <row r="206" customFormat="false" ht="15" hidden="false" customHeight="false" outlineLevel="0" collapsed="false">
      <c r="Z206" s="125" t="str">
        <f aca="false">IF(ROW(AA206)-2&lt;=MAX($C$3:$W$44),ROW(AA206)-2,"")</f>
        <v/>
      </c>
    </row>
    <row r="207" customFormat="false" ht="15" hidden="false" customHeight="false" outlineLevel="0" collapsed="false">
      <c r="Z207" s="125" t="str">
        <f aca="false">IF(ROW(AA207)-2&lt;=MAX($C$3:$W$44),ROW(AA207)-2,"")</f>
        <v/>
      </c>
    </row>
    <row r="208" customFormat="false" ht="15" hidden="false" customHeight="false" outlineLevel="0" collapsed="false">
      <c r="Z208" s="125" t="str">
        <f aca="false">IF(ROW(AA208)-2&lt;=MAX($C$3:$W$44),ROW(AA208)-2,"")</f>
        <v/>
      </c>
    </row>
    <row r="209" customFormat="false" ht="15" hidden="false" customHeight="false" outlineLevel="0" collapsed="false">
      <c r="Z209" s="125" t="str">
        <f aca="false">IF(ROW(AA209)-2&lt;=MAX($C$3:$W$44),ROW(AA209)-2,"")</f>
        <v/>
      </c>
    </row>
    <row r="210" customFormat="false" ht="15" hidden="false" customHeight="false" outlineLevel="0" collapsed="false">
      <c r="Z210" s="125" t="str">
        <f aca="false">IF(ROW(AA210)-2&lt;=MAX($C$3:$W$44),ROW(AA210)-2,"")</f>
        <v/>
      </c>
    </row>
    <row r="211" customFormat="false" ht="15" hidden="false" customHeight="false" outlineLevel="0" collapsed="false">
      <c r="Z211" s="125" t="str">
        <f aca="false">IF(ROW(AA211)-2&lt;=MAX($C$3:$W$44),ROW(AA211)-2,"")</f>
        <v/>
      </c>
    </row>
    <row r="212" customFormat="false" ht="15" hidden="false" customHeight="false" outlineLevel="0" collapsed="false">
      <c r="Z212" s="125" t="str">
        <f aca="false">IF(ROW(AA212)-2&lt;=MAX($C$3:$W$44),ROW(AA212)-2,"")</f>
        <v/>
      </c>
    </row>
    <row r="213" customFormat="false" ht="15" hidden="false" customHeight="false" outlineLevel="0" collapsed="false">
      <c r="Z213" s="125" t="str">
        <f aca="false">IF(ROW(AA213)-2&lt;=MAX($C$3:$W$44),ROW(AA213)-2,"")</f>
        <v/>
      </c>
    </row>
    <row r="214" customFormat="false" ht="15" hidden="false" customHeight="false" outlineLevel="0" collapsed="false">
      <c r="Z214" s="125" t="str">
        <f aca="false">IF(ROW(AA214)-2&lt;=MAX($C$3:$W$44),ROW(AA214)-2,"")</f>
        <v/>
      </c>
    </row>
    <row r="215" customFormat="false" ht="15" hidden="false" customHeight="false" outlineLevel="0" collapsed="false">
      <c r="Z215" s="125" t="str">
        <f aca="false">IF(ROW(AA215)-2&lt;=MAX($C$3:$W$44),ROW(AA215)-2,"")</f>
        <v/>
      </c>
    </row>
    <row r="216" customFormat="false" ht="15" hidden="false" customHeight="false" outlineLevel="0" collapsed="false">
      <c r="Z216" s="125" t="str">
        <f aca="false">IF(ROW(AA216)-2&lt;=MAX($C$3:$W$44),ROW(AA216)-2,"")</f>
        <v/>
      </c>
    </row>
    <row r="217" customFormat="false" ht="15" hidden="false" customHeight="false" outlineLevel="0" collapsed="false">
      <c r="Z217" s="125" t="str">
        <f aca="false">IF(ROW(AA217)-2&lt;=MAX($C$3:$W$44),ROW(AA217)-2,"")</f>
        <v/>
      </c>
    </row>
    <row r="218" customFormat="false" ht="15" hidden="false" customHeight="false" outlineLevel="0" collapsed="false">
      <c r="Z218" s="125" t="str">
        <f aca="false">IF(ROW(AA218)-2&lt;=MAX($C$3:$W$44),ROW(AA218)-2,"")</f>
        <v/>
      </c>
    </row>
    <row r="219" customFormat="false" ht="15" hidden="false" customHeight="false" outlineLevel="0" collapsed="false">
      <c r="Z219" s="125" t="str">
        <f aca="false">IF(ROW(AA219)-2&lt;=MAX($C$3:$W$44),ROW(AA219)-2,"")</f>
        <v/>
      </c>
    </row>
    <row r="220" customFormat="false" ht="15" hidden="false" customHeight="false" outlineLevel="0" collapsed="false">
      <c r="Z220" s="125" t="str">
        <f aca="false">IF(ROW(AA220)-2&lt;=MAX($C$3:$W$44),ROW(AA220)-2,"")</f>
        <v/>
      </c>
    </row>
    <row r="221" customFormat="false" ht="15" hidden="false" customHeight="false" outlineLevel="0" collapsed="false">
      <c r="Z221" s="125" t="str">
        <f aca="false">IF(ROW(AA221)-2&lt;=MAX($C$3:$W$44),ROW(AA221)-2,"")</f>
        <v/>
      </c>
    </row>
    <row r="222" customFormat="false" ht="15" hidden="false" customHeight="false" outlineLevel="0" collapsed="false">
      <c r="Z222" s="125" t="str">
        <f aca="false">IF(ROW(AA222)-2&lt;=MAX($C$3:$W$44),ROW(AA222)-2,"")</f>
        <v/>
      </c>
    </row>
    <row r="223" customFormat="false" ht="15" hidden="false" customHeight="false" outlineLevel="0" collapsed="false">
      <c r="Z223" s="125" t="str">
        <f aca="false">IF(ROW(AA223)-2&lt;=MAX($C$3:$W$44),ROW(AA223)-2,"")</f>
        <v/>
      </c>
    </row>
    <row r="224" customFormat="false" ht="15" hidden="false" customHeight="false" outlineLevel="0" collapsed="false">
      <c r="Z224" s="125" t="str">
        <f aca="false">IF(ROW(AA224)-2&lt;=MAX($C$3:$W$44),ROW(AA224)-2,"")</f>
        <v/>
      </c>
    </row>
    <row r="225" customFormat="false" ht="15" hidden="false" customHeight="false" outlineLevel="0" collapsed="false">
      <c r="Z225" s="125" t="str">
        <f aca="false">IF(ROW(AA225)-2&lt;=MAX($C$3:$W$44),ROW(AA225)-2,"")</f>
        <v/>
      </c>
    </row>
    <row r="226" customFormat="false" ht="15" hidden="false" customHeight="false" outlineLevel="0" collapsed="false">
      <c r="Z226" s="125" t="str">
        <f aca="false">IF(ROW(AA226)-2&lt;=MAX($C$3:$W$44),ROW(AA226)-2,"")</f>
        <v/>
      </c>
    </row>
    <row r="227" customFormat="false" ht="15" hidden="false" customHeight="false" outlineLevel="0" collapsed="false">
      <c r="Z227" s="125" t="str">
        <f aca="false">IF(ROW(AA227)-2&lt;=MAX($C$3:$W$44),ROW(AA227)-2,"")</f>
        <v/>
      </c>
    </row>
    <row r="228" customFormat="false" ht="15" hidden="false" customHeight="false" outlineLevel="0" collapsed="false">
      <c r="Z228" s="125" t="str">
        <f aca="false">IF(ROW(AA228)-2&lt;=MAX($C$3:$W$44),ROW(AA228)-2,"")</f>
        <v/>
      </c>
    </row>
    <row r="229" customFormat="false" ht="15" hidden="false" customHeight="false" outlineLevel="0" collapsed="false">
      <c r="Z229" s="125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C2:W2">
    <cfRule type="cellIs" priority="2" operator="equal" aboveAverage="0" equalAverage="0" bottom="0" percent="0" rank="0" text="" dxfId="486">
      <formula>0</formula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487">
      <formula>0</formula>
    </cfRule>
  </conditionalFormatting>
  <conditionalFormatting sqref="C25:W26 C3:S3 Q31:S31 C30:V30 Q32:V32 C28:P29 R28:V28 S4:U28 C43:W44 C4:V13 C33:V42 C27:V27 C15:V24 C14:P14 R14:V14">
    <cfRule type="colorScale" priority="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Z2:Z1048576">
    <cfRule type="colorScale" priority="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2:Y1048576 Z1">
    <cfRule type="dataBar" priority="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{7175C3D4-3F31-47E9-A294-7AB04FA3826F}</x14:id>
        </ext>
      </extLst>
    </cfRule>
  </conditionalFormatting>
  <conditionalFormatting sqref="U3">
    <cfRule type="colorScale" priority="7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">
    <cfRule type="colorScale" priority="8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1:V31">
    <cfRule type="colorScale" priority="9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R29:S29">
    <cfRule type="colorScale" priority="10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S29:V29">
    <cfRule type="colorScale" priority="11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C31:P32">
    <cfRule type="colorScale" priority="12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28">
    <cfRule type="colorScale" priority="13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29">
    <cfRule type="colorScale" priority="1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">
    <cfRule type="colorScale" priority="1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U3">
    <cfRule type="colorScale" priority="1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S3">
    <cfRule type="colorScale" priority="17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V3">
    <cfRule type="colorScale" priority="18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:W24">
    <cfRule type="colorScale" priority="19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27:W30 W33:W42">
    <cfRule type="colorScale" priority="20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2">
    <cfRule type="colorScale" priority="21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1">
    <cfRule type="colorScale" priority="22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14">
    <cfRule type="colorScale" priority="23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75C3D4-3F31-47E9-A294-7AB04FA3826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L22" activeCellId="0" sqref="L2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14"/>
    <col collapsed="false" customWidth="false" hidden="false" outlineLevel="0" max="2" min="2" style="1" width="9.14"/>
    <col collapsed="false" customWidth="true" hidden="false" outlineLevel="0" max="23" min="3" style="1" width="6.71"/>
    <col collapsed="false" customWidth="true" hidden="false" outlineLevel="0" max="25" min="24" style="1" width="5.71"/>
    <col collapsed="false" customWidth="false" hidden="false" outlineLevel="0" max="1024" min="26" style="1" width="9.14"/>
  </cols>
  <sheetData>
    <row r="1" customFormat="false" ht="15.75" hidden="false" customHeight="false" outlineLevel="0" collapsed="false">
      <c r="A1" s="76"/>
      <c r="B1" s="76"/>
      <c r="C1" s="202" t="s">
        <v>220</v>
      </c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</row>
    <row r="2" customFormat="false" ht="15.75" hidden="false" customHeight="false" outlineLevel="0" collapsed="false">
      <c r="A2" s="76"/>
      <c r="B2" s="76"/>
      <c r="C2" s="203" t="str">
        <f aca="false">Neu!B4</f>
        <v>B4</v>
      </c>
      <c r="D2" s="204" t="str">
        <f aca="false">Neu!B5</f>
        <v>B8</v>
      </c>
      <c r="E2" s="204" t="str">
        <f aca="false">Neu!B6</f>
        <v>B20</v>
      </c>
      <c r="F2" s="204" t="str">
        <f aca="false">Neu!B7</f>
        <v>B30</v>
      </c>
      <c r="G2" s="204" t="str">
        <f aca="false">Neu!B8</f>
        <v>B31s</v>
      </c>
      <c r="H2" s="204" t="str">
        <f aca="false">Neu!B9</f>
        <v>B31a</v>
      </c>
      <c r="I2" s="204" t="str">
        <f aca="false">Neu!B10</f>
        <v>B34</v>
      </c>
      <c r="J2" s="204" t="str">
        <f aca="false">Neu!B11</f>
        <v>B35</v>
      </c>
      <c r="K2" s="204" t="str">
        <f aca="false">Neu!B12</f>
        <v>B40</v>
      </c>
      <c r="L2" s="204" t="str">
        <f aca="false">Neu!B13</f>
        <v>B51s</v>
      </c>
      <c r="M2" s="204" t="str">
        <f aca="false">Neu!B14</f>
        <v>B71</v>
      </c>
      <c r="N2" s="204" t="str">
        <f aca="false">Neu!B15</f>
        <v>B52</v>
      </c>
      <c r="O2" s="204" t="str">
        <f aca="false">Neu!B16</f>
        <v>B63</v>
      </c>
      <c r="P2" s="204" t="str">
        <f aca="false">Neu!B17</f>
        <v>B64s</v>
      </c>
      <c r="Q2" s="204" t="str">
        <f aca="false">Neu!$B18</f>
        <v>B65</v>
      </c>
      <c r="R2" s="204" t="str">
        <f aca="false">Neu!$B19</f>
        <v>CBI2</v>
      </c>
      <c r="S2" s="204" t="str">
        <f aca="false">Neu!$B20</f>
        <v>B6</v>
      </c>
      <c r="T2" s="204" t="str">
        <f aca="false">Neu!$B21</f>
        <v>B9</v>
      </c>
      <c r="U2" s="204" t="str">
        <f aca="false">Neu!$B22</f>
        <v>B3</v>
      </c>
      <c r="V2" s="204" t="str">
        <f aca="false">Neu!$B23</f>
        <v>B91</v>
      </c>
      <c r="W2" s="205" t="str">
        <f aca="false">Neu!$B24</f>
        <v>B52b</v>
      </c>
    </row>
    <row r="3" customFormat="false" ht="28.5" hidden="false" customHeight="true" outlineLevel="0" collapsed="false">
      <c r="A3" s="206" t="s">
        <v>221</v>
      </c>
      <c r="B3" s="27" t="str">
        <f aca="false">Neu!B4</f>
        <v>B4</v>
      </c>
      <c r="C3" s="207"/>
      <c r="D3" s="208" t="n">
        <f aca="false">C4</f>
        <v>0</v>
      </c>
      <c r="E3" s="208" t="n">
        <f aca="false">C5</f>
        <v>0</v>
      </c>
      <c r="F3" s="208" t="n">
        <f aca="false">C6</f>
        <v>0</v>
      </c>
      <c r="G3" s="208" t="n">
        <v>0.0086</v>
      </c>
      <c r="H3" s="208" t="n">
        <f aca="false">C8</f>
        <v>0</v>
      </c>
      <c r="I3" s="208" t="n">
        <f aca="false">C9</f>
        <v>0</v>
      </c>
      <c r="J3" s="208" t="n">
        <f aca="false">C10</f>
        <v>0</v>
      </c>
      <c r="K3" s="208" t="n">
        <f aca="false">C11</f>
        <v>0</v>
      </c>
      <c r="L3" s="208" t="n">
        <f aca="false">C12</f>
        <v>0.002</v>
      </c>
      <c r="M3" s="208" t="n">
        <f aca="false">C13</f>
        <v>0</v>
      </c>
      <c r="N3" s="208" t="n">
        <f aca="false">C14</f>
        <v>0</v>
      </c>
      <c r="O3" s="208" t="n">
        <f aca="false">C14</f>
        <v>0</v>
      </c>
      <c r="P3" s="208" t="n">
        <v>0.013</v>
      </c>
      <c r="Q3" s="209" t="n">
        <f aca="false">C17</f>
        <v>0</v>
      </c>
      <c r="R3" s="209" t="n">
        <f aca="false">C18</f>
        <v>0</v>
      </c>
      <c r="S3" s="209" t="n">
        <f aca="false">C19</f>
        <v>0.05</v>
      </c>
      <c r="T3" s="209" t="n">
        <f aca="false">C20</f>
        <v>0.03</v>
      </c>
      <c r="U3" s="209" t="n">
        <f aca="false">C21</f>
        <v>0.04</v>
      </c>
      <c r="V3" s="209" t="n">
        <f aca="false">C22</f>
        <v>0</v>
      </c>
      <c r="W3" s="210" t="n">
        <f aca="false">C23</f>
        <v>0</v>
      </c>
    </row>
    <row r="4" customFormat="false" ht="28.5" hidden="false" customHeight="true" outlineLevel="0" collapsed="false">
      <c r="A4" s="206"/>
      <c r="B4" s="42" t="str">
        <f aca="false">Neu!B5</f>
        <v>B8</v>
      </c>
      <c r="C4" s="211"/>
      <c r="D4" s="212"/>
      <c r="E4" s="213" t="n">
        <f aca="false">D5</f>
        <v>0</v>
      </c>
      <c r="F4" s="213" t="n">
        <f aca="false">D6</f>
        <v>0</v>
      </c>
      <c r="G4" s="213" t="n">
        <f aca="false">D7</f>
        <v>0</v>
      </c>
      <c r="H4" s="213" t="n">
        <f aca="false">D8</f>
        <v>0</v>
      </c>
      <c r="I4" s="213" t="n">
        <f aca="false">D9</f>
        <v>0</v>
      </c>
      <c r="J4" s="213" t="n">
        <f aca="false">D10</f>
        <v>0</v>
      </c>
      <c r="K4" s="213" t="n">
        <f aca="false">D11</f>
        <v>0</v>
      </c>
      <c r="L4" s="213" t="n">
        <f aca="false">D12</f>
        <v>0</v>
      </c>
      <c r="M4" s="213" t="n">
        <f aca="false">D13</f>
        <v>0</v>
      </c>
      <c r="N4" s="213" t="n">
        <f aca="false">D14</f>
        <v>0</v>
      </c>
      <c r="O4" s="213" t="n">
        <f aca="false">D15</f>
        <v>0</v>
      </c>
      <c r="P4" s="213" t="n">
        <f aca="false">D16</f>
        <v>0</v>
      </c>
      <c r="Q4" s="214" t="n">
        <f aca="false">D17</f>
        <v>0</v>
      </c>
      <c r="R4" s="214" t="n">
        <f aca="false">D18</f>
        <v>0</v>
      </c>
      <c r="S4" s="215" t="n">
        <f aca="false">D19</f>
        <v>0</v>
      </c>
      <c r="T4" s="215" t="n">
        <f aca="false">D20</f>
        <v>0</v>
      </c>
      <c r="U4" s="215" t="n">
        <f aca="false">D21</f>
        <v>0</v>
      </c>
      <c r="V4" s="215" t="n">
        <f aca="false">D22</f>
        <v>0</v>
      </c>
      <c r="W4" s="216" t="n">
        <f aca="false">D23</f>
        <v>0</v>
      </c>
    </row>
    <row r="5" customFormat="false" ht="28.5" hidden="false" customHeight="true" outlineLevel="0" collapsed="false">
      <c r="A5" s="206"/>
      <c r="B5" s="42" t="str">
        <f aca="false">Neu!B6</f>
        <v>B20</v>
      </c>
      <c r="C5" s="211"/>
      <c r="D5" s="217"/>
      <c r="E5" s="212"/>
      <c r="F5" s="213" t="n">
        <f aca="false">E6</f>
        <v>0</v>
      </c>
      <c r="G5" s="213" t="n">
        <f aca="false">E7</f>
        <v>0.004</v>
      </c>
      <c r="H5" s="213" t="n">
        <f aca="false">E8</f>
        <v>0</v>
      </c>
      <c r="I5" s="213" t="n">
        <f aca="false">E9</f>
        <v>0</v>
      </c>
      <c r="J5" s="213" t="n">
        <f aca="false">E10</f>
        <v>0</v>
      </c>
      <c r="K5" s="213" t="n">
        <f aca="false">E11</f>
        <v>0</v>
      </c>
      <c r="L5" s="213" t="n">
        <f aca="false">E12</f>
        <v>0</v>
      </c>
      <c r="M5" s="213" t="n">
        <f aca="false">E13</f>
        <v>0</v>
      </c>
      <c r="N5" s="213" t="n">
        <f aca="false">E14</f>
        <v>0</v>
      </c>
      <c r="O5" s="213" t="n">
        <f aca="false">E15</f>
        <v>0.004</v>
      </c>
      <c r="P5" s="213" t="n">
        <f aca="false">E16</f>
        <v>0</v>
      </c>
      <c r="Q5" s="214" t="n">
        <f aca="false">E17</f>
        <v>0.012</v>
      </c>
      <c r="R5" s="214" t="n">
        <f aca="false">E18</f>
        <v>0</v>
      </c>
      <c r="S5" s="215" t="n">
        <f aca="false">E19</f>
        <v>0</v>
      </c>
      <c r="T5" s="215" t="n">
        <f aca="false">E20</f>
        <v>0</v>
      </c>
      <c r="U5" s="215" t="n">
        <f aca="false">E21</f>
        <v>0</v>
      </c>
      <c r="V5" s="215" t="n">
        <f aca="false">E22</f>
        <v>0</v>
      </c>
      <c r="W5" s="216" t="n">
        <f aca="false">E23</f>
        <v>0</v>
      </c>
    </row>
    <row r="6" customFormat="false" ht="28.5" hidden="false" customHeight="true" outlineLevel="0" collapsed="false">
      <c r="A6" s="206"/>
      <c r="B6" s="42" t="str">
        <f aca="false">Neu!B7</f>
        <v>B30</v>
      </c>
      <c r="C6" s="211"/>
      <c r="D6" s="217"/>
      <c r="E6" s="217"/>
      <c r="F6" s="212"/>
      <c r="G6" s="213" t="n">
        <f aca="false">F7</f>
        <v>0.009</v>
      </c>
      <c r="H6" s="213" t="n">
        <f aca="false">F8</f>
        <v>0</v>
      </c>
      <c r="I6" s="213" t="n">
        <f aca="false">F9</f>
        <v>0</v>
      </c>
      <c r="J6" s="213" t="n">
        <f aca="false">F10</f>
        <v>0</v>
      </c>
      <c r="K6" s="213" t="n">
        <f aca="false">F11</f>
        <v>0</v>
      </c>
      <c r="L6" s="213" t="n">
        <f aca="false">F12</f>
        <v>0</v>
      </c>
      <c r="M6" s="213" t="n">
        <f aca="false">F13</f>
        <v>0</v>
      </c>
      <c r="N6" s="213" t="n">
        <f aca="false">F14</f>
        <v>0</v>
      </c>
      <c r="O6" s="213" t="n">
        <f aca="false">F15</f>
        <v>0.006</v>
      </c>
      <c r="P6" s="213" t="n">
        <f aca="false">F16</f>
        <v>0</v>
      </c>
      <c r="Q6" s="214" t="n">
        <f aca="false">F17</f>
        <v>0</v>
      </c>
      <c r="R6" s="214" t="n">
        <f aca="false">F18</f>
        <v>0</v>
      </c>
      <c r="S6" s="215" t="n">
        <f aca="false">F19</f>
        <v>0</v>
      </c>
      <c r="T6" s="215" t="n">
        <f aca="false">F20</f>
        <v>0</v>
      </c>
      <c r="U6" s="215" t="n">
        <f aca="false">F21</f>
        <v>0</v>
      </c>
      <c r="V6" s="215" t="n">
        <f aca="false">F22</f>
        <v>0</v>
      </c>
      <c r="W6" s="216" t="n">
        <f aca="false">F23</f>
        <v>0</v>
      </c>
    </row>
    <row r="7" customFormat="false" ht="28.5" hidden="false" customHeight="true" outlineLevel="0" collapsed="false">
      <c r="A7" s="206"/>
      <c r="B7" s="42" t="str">
        <f aca="false">Neu!B8</f>
        <v>B31s</v>
      </c>
      <c r="C7" s="211" t="n">
        <v>0.0082</v>
      </c>
      <c r="D7" s="217"/>
      <c r="E7" s="217" t="n">
        <v>0.004</v>
      </c>
      <c r="F7" s="217" t="n">
        <v>0.009</v>
      </c>
      <c r="G7" s="212"/>
      <c r="H7" s="213" t="n">
        <f aca="false">G8</f>
        <v>0.012</v>
      </c>
      <c r="I7" s="213" t="n">
        <f aca="false">G9</f>
        <v>0.008</v>
      </c>
      <c r="J7" s="213" t="n">
        <f aca="false">G10</f>
        <v>0.0075</v>
      </c>
      <c r="K7" s="213" t="n">
        <f aca="false">G11</f>
        <v>0</v>
      </c>
      <c r="L7" s="213" t="n">
        <f aca="false">G12</f>
        <v>0</v>
      </c>
      <c r="M7" s="213" t="n">
        <f aca="false">G13</f>
        <v>0</v>
      </c>
      <c r="N7" s="213" t="n">
        <f aca="false">G14</f>
        <v>0</v>
      </c>
      <c r="O7" s="213" t="n">
        <f aca="false">G15</f>
        <v>0.015</v>
      </c>
      <c r="P7" s="213" t="n">
        <f aca="false">G16</f>
        <v>0</v>
      </c>
      <c r="Q7" s="214" t="n">
        <f aca="false">G17</f>
        <v>0.0075</v>
      </c>
      <c r="R7" s="214" t="n">
        <f aca="false">G18</f>
        <v>0</v>
      </c>
      <c r="S7" s="215" t="n">
        <f aca="false">G19</f>
        <v>0</v>
      </c>
      <c r="T7" s="215" t="n">
        <f aca="false">G20</f>
        <v>0</v>
      </c>
      <c r="U7" s="215" t="n">
        <f aca="false">G21</f>
        <v>0</v>
      </c>
      <c r="V7" s="215" t="n">
        <f aca="false">G22</f>
        <v>0</v>
      </c>
      <c r="W7" s="216" t="n">
        <f aca="false">G23</f>
        <v>0</v>
      </c>
    </row>
    <row r="8" customFormat="false" ht="28.5" hidden="false" customHeight="true" outlineLevel="0" collapsed="false">
      <c r="A8" s="206"/>
      <c r="B8" s="42" t="str">
        <f aca="false">Neu!B9</f>
        <v>B31a</v>
      </c>
      <c r="C8" s="211"/>
      <c r="D8" s="217"/>
      <c r="E8" s="217"/>
      <c r="F8" s="217"/>
      <c r="G8" s="217" t="n">
        <v>0.012</v>
      </c>
      <c r="H8" s="212"/>
      <c r="I8" s="213" t="n">
        <f aca="false">H9</f>
        <v>0</v>
      </c>
      <c r="J8" s="213" t="n">
        <f aca="false">H10</f>
        <v>0</v>
      </c>
      <c r="K8" s="213" t="n">
        <f aca="false">H11</f>
        <v>0</v>
      </c>
      <c r="L8" s="213" t="n">
        <f aca="false">H12</f>
        <v>0</v>
      </c>
      <c r="M8" s="213" t="n">
        <f aca="false">H13</f>
        <v>0</v>
      </c>
      <c r="N8" s="213" t="n">
        <f aca="false">H14</f>
        <v>0</v>
      </c>
      <c r="O8" s="213" t="n">
        <f aca="false">H15</f>
        <v>0</v>
      </c>
      <c r="P8" s="213" t="n">
        <f aca="false">H16</f>
        <v>0</v>
      </c>
      <c r="Q8" s="214" t="n">
        <f aca="false">H17</f>
        <v>0</v>
      </c>
      <c r="R8" s="214" t="n">
        <f aca="false">H18</f>
        <v>0</v>
      </c>
      <c r="S8" s="215" t="n">
        <f aca="false">H19</f>
        <v>0</v>
      </c>
      <c r="T8" s="215" t="n">
        <f aca="false">H20</f>
        <v>0</v>
      </c>
      <c r="U8" s="215" t="n">
        <f aca="false">H21</f>
        <v>0</v>
      </c>
      <c r="V8" s="215" t="n">
        <f aca="false">H22</f>
        <v>0</v>
      </c>
      <c r="W8" s="216" t="n">
        <f aca="false">H23</f>
        <v>0</v>
      </c>
    </row>
    <row r="9" customFormat="false" ht="28.5" hidden="false" customHeight="true" outlineLevel="0" collapsed="false">
      <c r="A9" s="206"/>
      <c r="B9" s="42" t="str">
        <f aca="false">Neu!B10</f>
        <v>B34</v>
      </c>
      <c r="C9" s="211"/>
      <c r="D9" s="217"/>
      <c r="E9" s="217"/>
      <c r="F9" s="217"/>
      <c r="G9" s="217" t="n">
        <v>0.008</v>
      </c>
      <c r="H9" s="217"/>
      <c r="I9" s="212"/>
      <c r="J9" s="213" t="n">
        <f aca="false">I10</f>
        <v>0</v>
      </c>
      <c r="K9" s="213" t="n">
        <f aca="false">I11</f>
        <v>0.008</v>
      </c>
      <c r="L9" s="213" t="n">
        <f aca="false">I12</f>
        <v>0</v>
      </c>
      <c r="M9" s="213" t="n">
        <f aca="false">I13</f>
        <v>0</v>
      </c>
      <c r="N9" s="213" t="n">
        <f aca="false">I14</f>
        <v>0</v>
      </c>
      <c r="O9" s="213" t="n">
        <f aca="false">I15</f>
        <v>0</v>
      </c>
      <c r="P9" s="213" t="n">
        <f aca="false">I16</f>
        <v>0</v>
      </c>
      <c r="Q9" s="214" t="n">
        <f aca="false">I17</f>
        <v>0.008</v>
      </c>
      <c r="R9" s="214" t="n">
        <f aca="false">I18</f>
        <v>0</v>
      </c>
      <c r="S9" s="215" t="n">
        <f aca="false">I19</f>
        <v>0</v>
      </c>
      <c r="T9" s="215" t="n">
        <f aca="false">I20</f>
        <v>0</v>
      </c>
      <c r="U9" s="215" t="n">
        <f aca="false">I21</f>
        <v>0</v>
      </c>
      <c r="V9" s="215" t="n">
        <f aca="false">I22</f>
        <v>0</v>
      </c>
      <c r="W9" s="216" t="n">
        <f aca="false">I23</f>
        <v>0</v>
      </c>
    </row>
    <row r="10" customFormat="false" ht="28.5" hidden="false" customHeight="true" outlineLevel="0" collapsed="false">
      <c r="A10" s="206"/>
      <c r="B10" s="42" t="str">
        <f aca="false">Neu!B11</f>
        <v>B35</v>
      </c>
      <c r="C10" s="211"/>
      <c r="D10" s="217"/>
      <c r="E10" s="217"/>
      <c r="F10" s="217"/>
      <c r="G10" s="217" t="n">
        <v>0.0075</v>
      </c>
      <c r="H10" s="217"/>
      <c r="I10" s="217"/>
      <c r="J10" s="212"/>
      <c r="K10" s="213" t="n">
        <f aca="false">J11</f>
        <v>0</v>
      </c>
      <c r="L10" s="213" t="n">
        <f aca="false">J12</f>
        <v>0</v>
      </c>
      <c r="M10" s="213" t="n">
        <f aca="false">J13</f>
        <v>0</v>
      </c>
      <c r="N10" s="213" t="n">
        <f aca="false">J14</f>
        <v>0</v>
      </c>
      <c r="O10" s="213" t="n">
        <f aca="false">J15</f>
        <v>0</v>
      </c>
      <c r="P10" s="213" t="n">
        <f aca="false">J16</f>
        <v>0</v>
      </c>
      <c r="Q10" s="214" t="n">
        <f aca="false">J17</f>
        <v>0</v>
      </c>
      <c r="R10" s="214" t="n">
        <f aca="false">J18</f>
        <v>0</v>
      </c>
      <c r="S10" s="215" t="n">
        <f aca="false">J19</f>
        <v>0</v>
      </c>
      <c r="T10" s="215" t="n">
        <f aca="false">J20</f>
        <v>0</v>
      </c>
      <c r="U10" s="215" t="n">
        <f aca="false">J21</f>
        <v>0</v>
      </c>
      <c r="V10" s="215" t="n">
        <f aca="false">J22</f>
        <v>0</v>
      </c>
      <c r="W10" s="216" t="n">
        <f aca="false">J23</f>
        <v>0</v>
      </c>
    </row>
    <row r="11" customFormat="false" ht="28.5" hidden="false" customHeight="true" outlineLevel="0" collapsed="false">
      <c r="A11" s="206"/>
      <c r="B11" s="42" t="str">
        <f aca="false">Neu!B12</f>
        <v>B40</v>
      </c>
      <c r="C11" s="211"/>
      <c r="D11" s="217"/>
      <c r="E11" s="217"/>
      <c r="F11" s="217"/>
      <c r="G11" s="217"/>
      <c r="H11" s="217"/>
      <c r="I11" s="217" t="n">
        <v>0.008</v>
      </c>
      <c r="J11" s="217"/>
      <c r="K11" s="212"/>
      <c r="L11" s="213" t="n">
        <f aca="false">K12</f>
        <v>0</v>
      </c>
      <c r="M11" s="213" t="n">
        <f aca="false">K13</f>
        <v>0</v>
      </c>
      <c r="N11" s="213" t="n">
        <f aca="false">K14</f>
        <v>0</v>
      </c>
      <c r="O11" s="213" t="n">
        <f aca="false">K15</f>
        <v>0.004</v>
      </c>
      <c r="P11" s="213" t="n">
        <f aca="false">K16</f>
        <v>0</v>
      </c>
      <c r="Q11" s="214" t="n">
        <f aca="false">K17</f>
        <v>0.008</v>
      </c>
      <c r="R11" s="214" t="n">
        <f aca="false">K18</f>
        <v>0</v>
      </c>
      <c r="S11" s="215" t="n">
        <f aca="false">K19</f>
        <v>0</v>
      </c>
      <c r="T11" s="215" t="n">
        <f aca="false">K20</f>
        <v>0</v>
      </c>
      <c r="U11" s="215" t="n">
        <f aca="false">K21</f>
        <v>0</v>
      </c>
      <c r="V11" s="215" t="n">
        <f aca="false">K22</f>
        <v>0</v>
      </c>
      <c r="W11" s="216" t="n">
        <f aca="false">K23</f>
        <v>0</v>
      </c>
    </row>
    <row r="12" customFormat="false" ht="28.5" hidden="false" customHeight="true" outlineLevel="0" collapsed="false">
      <c r="A12" s="206"/>
      <c r="B12" s="42" t="str">
        <f aca="false">Neu!B13</f>
        <v>B51s</v>
      </c>
      <c r="C12" s="211" t="n">
        <v>0.002</v>
      </c>
      <c r="D12" s="217"/>
      <c r="E12" s="217"/>
      <c r="F12" s="217"/>
      <c r="G12" s="217"/>
      <c r="H12" s="217"/>
      <c r="I12" s="217"/>
      <c r="J12" s="217"/>
      <c r="K12" s="217"/>
      <c r="L12" s="212"/>
      <c r="M12" s="213" t="n">
        <v>0.015</v>
      </c>
      <c r="N12" s="213" t="n">
        <f aca="false">L14</f>
        <v>0</v>
      </c>
      <c r="O12" s="213" t="n">
        <f aca="false">L15</f>
        <v>0</v>
      </c>
      <c r="P12" s="213" t="n">
        <v>0.037</v>
      </c>
      <c r="Q12" s="214" t="n">
        <f aca="false">L17</f>
        <v>0</v>
      </c>
      <c r="R12" s="214" t="n">
        <f aca="false">L18</f>
        <v>0</v>
      </c>
      <c r="S12" s="215" t="n">
        <f aca="false">L19</f>
        <v>0.02</v>
      </c>
      <c r="T12" s="215" t="n">
        <f aca="false">L20</f>
        <v>0.02</v>
      </c>
      <c r="U12" s="215" t="n">
        <f aca="false">L21</f>
        <v>0.065</v>
      </c>
      <c r="V12" s="215" t="n">
        <f aca="false">L22</f>
        <v>0</v>
      </c>
      <c r="W12" s="216" t="n">
        <f aca="false">L23</f>
        <v>0</v>
      </c>
      <c r="AB12" s="77"/>
    </row>
    <row r="13" customFormat="false" ht="28.5" hidden="false" customHeight="true" outlineLevel="0" collapsed="false">
      <c r="A13" s="206"/>
      <c r="B13" s="42" t="str">
        <f aca="false">Neu!B14</f>
        <v>B71</v>
      </c>
      <c r="C13" s="211"/>
      <c r="D13" s="217"/>
      <c r="E13" s="217"/>
      <c r="F13" s="217"/>
      <c r="G13" s="217"/>
      <c r="H13" s="217"/>
      <c r="I13" s="217"/>
      <c r="J13" s="217"/>
      <c r="K13" s="217"/>
      <c r="L13" s="217" t="n">
        <v>0.032</v>
      </c>
      <c r="M13" s="212"/>
      <c r="N13" s="213" t="n">
        <f aca="false">M14</f>
        <v>0</v>
      </c>
      <c r="O13" s="213" t="n">
        <f aca="false">M15</f>
        <v>0</v>
      </c>
      <c r="P13" s="213" t="n">
        <v>0.01</v>
      </c>
      <c r="Q13" s="214" t="n">
        <f aca="false">M17</f>
        <v>0</v>
      </c>
      <c r="R13" s="214" t="n">
        <f aca="false">M18</f>
        <v>0</v>
      </c>
      <c r="S13" s="215" t="n">
        <v>0.05</v>
      </c>
      <c r="T13" s="215" t="n">
        <f aca="false">M20</f>
        <v>0.04</v>
      </c>
      <c r="U13" s="215" t="n">
        <f aca="false">M21</f>
        <v>0.02</v>
      </c>
      <c r="V13" s="215" t="n">
        <f aca="false">M22</f>
        <v>0</v>
      </c>
      <c r="W13" s="216" t="n">
        <f aca="false">M23</f>
        <v>0</v>
      </c>
    </row>
    <row r="14" customFormat="false" ht="28.5" hidden="false" customHeight="true" outlineLevel="0" collapsed="false">
      <c r="A14" s="206"/>
      <c r="B14" s="42" t="str">
        <f aca="false">Neu!B15</f>
        <v>B52</v>
      </c>
      <c r="C14" s="211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2"/>
      <c r="O14" s="213" t="n">
        <f aca="false">N15</f>
        <v>0</v>
      </c>
      <c r="P14" s="213" t="n">
        <f aca="false">N16</f>
        <v>0</v>
      </c>
      <c r="Q14" s="214" t="n">
        <f aca="false">N17</f>
        <v>0</v>
      </c>
      <c r="R14" s="214" t="n">
        <f aca="false">N18</f>
        <v>0</v>
      </c>
      <c r="S14" s="215" t="n">
        <f aca="false">N19</f>
        <v>0</v>
      </c>
      <c r="T14" s="215" t="n">
        <f aca="false">N20</f>
        <v>0</v>
      </c>
      <c r="U14" s="215" t="n">
        <f aca="false">N21</f>
        <v>0</v>
      </c>
      <c r="V14" s="215" t="n">
        <f aca="false">N22</f>
        <v>0</v>
      </c>
      <c r="W14" s="216" t="n">
        <f aca="false">N23</f>
        <v>0</v>
      </c>
    </row>
    <row r="15" customFormat="false" ht="28.5" hidden="false" customHeight="true" outlineLevel="0" collapsed="false">
      <c r="A15" s="206"/>
      <c r="B15" s="42" t="str">
        <f aca="false">Neu!B16</f>
        <v>B63</v>
      </c>
      <c r="C15" s="211"/>
      <c r="D15" s="217"/>
      <c r="E15" s="217" t="n">
        <v>0.004</v>
      </c>
      <c r="F15" s="217" t="n">
        <f aca="false">OC_effects!AC5</f>
        <v>0.006</v>
      </c>
      <c r="G15" s="217" t="n">
        <v>0.015</v>
      </c>
      <c r="H15" s="217"/>
      <c r="I15" s="217"/>
      <c r="J15" s="217"/>
      <c r="K15" s="217" t="n">
        <v>0.004</v>
      </c>
      <c r="L15" s="217"/>
      <c r="M15" s="217"/>
      <c r="N15" s="217"/>
      <c r="O15" s="212"/>
      <c r="P15" s="213" t="n">
        <f aca="false">O16</f>
        <v>0</v>
      </c>
      <c r="Q15" s="214" t="n">
        <f aca="false">O17</f>
        <v>0.002</v>
      </c>
      <c r="R15" s="214" t="n">
        <f aca="false">O18</f>
        <v>0</v>
      </c>
      <c r="S15" s="215" t="n">
        <f aca="false">O19</f>
        <v>0</v>
      </c>
      <c r="T15" s="215" t="n">
        <f aca="false">O20</f>
        <v>0</v>
      </c>
      <c r="U15" s="215" t="n">
        <f aca="false">O21</f>
        <v>0</v>
      </c>
      <c r="V15" s="215" t="n">
        <f aca="false">O22</f>
        <v>0</v>
      </c>
      <c r="W15" s="216" t="n">
        <f aca="false">O23</f>
        <v>0</v>
      </c>
    </row>
    <row r="16" customFormat="false" ht="28.5" hidden="false" customHeight="true" outlineLevel="0" collapsed="false">
      <c r="A16" s="206"/>
      <c r="B16" s="42" t="str">
        <f aca="false">Neu!B17</f>
        <v>B64s</v>
      </c>
      <c r="C16" s="211" t="n">
        <v>0.005</v>
      </c>
      <c r="D16" s="217"/>
      <c r="E16" s="217"/>
      <c r="F16" s="217"/>
      <c r="G16" s="217"/>
      <c r="H16" s="217"/>
      <c r="I16" s="217"/>
      <c r="J16" s="217"/>
      <c r="K16" s="217"/>
      <c r="L16" s="217" t="n">
        <v>0.01</v>
      </c>
      <c r="M16" s="217" t="n">
        <v>0.04</v>
      </c>
      <c r="N16" s="217"/>
      <c r="O16" s="217"/>
      <c r="P16" s="212"/>
      <c r="Q16" s="214" t="n">
        <f aca="false">P17</f>
        <v>0</v>
      </c>
      <c r="R16" s="214" t="n">
        <f aca="false">P18</f>
        <v>0</v>
      </c>
      <c r="S16" s="215" t="n">
        <f aca="false">P19</f>
        <v>0</v>
      </c>
      <c r="T16" s="215" t="n">
        <f aca="false">P20</f>
        <v>0</v>
      </c>
      <c r="U16" s="215" t="n">
        <f aca="false">P21</f>
        <v>0</v>
      </c>
      <c r="V16" s="215" t="n">
        <f aca="false">P22</f>
        <v>0</v>
      </c>
      <c r="W16" s="216" t="n">
        <f aca="false">P23</f>
        <v>0</v>
      </c>
    </row>
    <row r="17" customFormat="false" ht="28.5" hidden="false" customHeight="true" outlineLevel="0" collapsed="false">
      <c r="A17" s="206"/>
      <c r="B17" s="42" t="str">
        <f aca="false">Neu!B18</f>
        <v>B65</v>
      </c>
      <c r="C17" s="218"/>
      <c r="D17" s="219"/>
      <c r="E17" s="219" t="n">
        <v>0.012</v>
      </c>
      <c r="F17" s="219"/>
      <c r="G17" s="219" t="n">
        <v>0.0075</v>
      </c>
      <c r="H17" s="219"/>
      <c r="I17" s="219" t="n">
        <v>0.008</v>
      </c>
      <c r="J17" s="219"/>
      <c r="K17" s="219" t="n">
        <v>0.008</v>
      </c>
      <c r="L17" s="219"/>
      <c r="M17" s="219"/>
      <c r="N17" s="219"/>
      <c r="O17" s="219" t="n">
        <v>0.002</v>
      </c>
      <c r="P17" s="219"/>
      <c r="Q17" s="220"/>
      <c r="R17" s="214" t="n">
        <f aca="false">Q18</f>
        <v>0</v>
      </c>
      <c r="S17" s="215" t="n">
        <f aca="false">Q19</f>
        <v>0</v>
      </c>
      <c r="T17" s="215" t="n">
        <f aca="false">Q20</f>
        <v>0</v>
      </c>
      <c r="U17" s="215" t="n">
        <f aca="false">Q21</f>
        <v>0</v>
      </c>
      <c r="V17" s="215" t="n">
        <f aca="false">Q22</f>
        <v>0</v>
      </c>
      <c r="W17" s="216" t="n">
        <f aca="false">Q23</f>
        <v>0</v>
      </c>
    </row>
    <row r="18" customFormat="false" ht="28.5" hidden="false" customHeight="true" outlineLevel="0" collapsed="false">
      <c r="B18" s="42" t="str">
        <f aca="false">Neu!B19</f>
        <v>CBI2</v>
      </c>
      <c r="C18" s="211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2"/>
      <c r="S18" s="215" t="n">
        <f aca="false">R19</f>
        <v>0</v>
      </c>
      <c r="T18" s="215" t="n">
        <f aca="false">R20</f>
        <v>0</v>
      </c>
      <c r="U18" s="215" t="n">
        <f aca="false">R21</f>
        <v>0</v>
      </c>
      <c r="V18" s="215" t="n">
        <f aca="false">R22</f>
        <v>0</v>
      </c>
      <c r="W18" s="216" t="n">
        <f aca="false">R23</f>
        <v>0</v>
      </c>
    </row>
    <row r="19" customFormat="false" ht="28.5" hidden="false" customHeight="true" outlineLevel="0" collapsed="false">
      <c r="B19" s="42" t="str">
        <f aca="false">Neu!B20</f>
        <v>B6</v>
      </c>
      <c r="C19" s="211" t="n">
        <v>0.05</v>
      </c>
      <c r="D19" s="217"/>
      <c r="E19" s="217"/>
      <c r="F19" s="217"/>
      <c r="G19" s="217"/>
      <c r="H19" s="217"/>
      <c r="I19" s="217"/>
      <c r="J19" s="217"/>
      <c r="K19" s="217"/>
      <c r="L19" s="217" t="n">
        <v>0.02</v>
      </c>
      <c r="M19" s="217" t="n">
        <v>0.03</v>
      </c>
      <c r="N19" s="217"/>
      <c r="O19" s="217"/>
      <c r="P19" s="217"/>
      <c r="Q19" s="217"/>
      <c r="R19" s="217"/>
      <c r="S19" s="212"/>
      <c r="T19" s="215" t="n">
        <f aca="false">S20</f>
        <v>0</v>
      </c>
      <c r="U19" s="215" t="n">
        <f aca="false">S21</f>
        <v>0.03</v>
      </c>
      <c r="V19" s="215" t="n">
        <f aca="false">S22</f>
        <v>0</v>
      </c>
      <c r="W19" s="216" t="n">
        <f aca="false">S23</f>
        <v>0</v>
      </c>
    </row>
    <row r="20" customFormat="false" ht="28.5" hidden="false" customHeight="true" outlineLevel="0" collapsed="false">
      <c r="B20" s="42" t="str">
        <f aca="false">Neu!B21</f>
        <v>B9</v>
      </c>
      <c r="C20" s="211" t="n">
        <v>0.03</v>
      </c>
      <c r="D20" s="217"/>
      <c r="E20" s="217"/>
      <c r="F20" s="217"/>
      <c r="G20" s="217"/>
      <c r="H20" s="217"/>
      <c r="I20" s="217"/>
      <c r="J20" s="217"/>
      <c r="K20" s="217"/>
      <c r="L20" s="217" t="n">
        <v>0.02</v>
      </c>
      <c r="M20" s="217" t="n">
        <v>0.04</v>
      </c>
      <c r="N20" s="217"/>
      <c r="O20" s="217"/>
      <c r="P20" s="217"/>
      <c r="Q20" s="217"/>
      <c r="R20" s="217"/>
      <c r="S20" s="217"/>
      <c r="T20" s="212"/>
      <c r="U20" s="221" t="n">
        <v>0.015</v>
      </c>
      <c r="V20" s="221" t="n">
        <f aca="false">T22</f>
        <v>0</v>
      </c>
      <c r="W20" s="216" t="n">
        <f aca="false">T23</f>
        <v>0</v>
      </c>
    </row>
    <row r="21" customFormat="false" ht="28.5" hidden="false" customHeight="true" outlineLevel="0" collapsed="false">
      <c r="B21" s="42" t="str">
        <f aca="false">Neu!B22</f>
        <v>B3</v>
      </c>
      <c r="C21" s="211" t="n">
        <v>0.04</v>
      </c>
      <c r="D21" s="217"/>
      <c r="E21" s="217"/>
      <c r="F21" s="217"/>
      <c r="G21" s="217"/>
      <c r="H21" s="217"/>
      <c r="I21" s="217"/>
      <c r="J21" s="217"/>
      <c r="K21" s="217"/>
      <c r="L21" s="217" t="n">
        <v>0.065</v>
      </c>
      <c r="M21" s="217" t="n">
        <v>0.02</v>
      </c>
      <c r="N21" s="217"/>
      <c r="O21" s="217"/>
      <c r="P21" s="217"/>
      <c r="Q21" s="217"/>
      <c r="R21" s="217"/>
      <c r="S21" s="217" t="n">
        <v>0.03</v>
      </c>
      <c r="T21" s="217" t="n">
        <v>0.05</v>
      </c>
      <c r="U21" s="212"/>
      <c r="V21" s="221" t="n">
        <f aca="false">U22</f>
        <v>0</v>
      </c>
      <c r="W21" s="216" t="n">
        <f aca="false">U23</f>
        <v>0</v>
      </c>
    </row>
    <row r="22" customFormat="false" ht="28.5" hidden="false" customHeight="true" outlineLevel="0" collapsed="false">
      <c r="B22" s="42" t="str">
        <f aca="false">Neu!B23</f>
        <v>B91</v>
      </c>
      <c r="C22" s="211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2"/>
      <c r="W22" s="216" t="n">
        <f aca="false">V23</f>
        <v>0</v>
      </c>
    </row>
    <row r="23" customFormat="false" ht="28.5" hidden="false" customHeight="true" outlineLevel="0" collapsed="false">
      <c r="B23" s="89" t="str">
        <f aca="false">Neu!B24</f>
        <v>B52b</v>
      </c>
      <c r="C23" s="222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4"/>
    </row>
  </sheetData>
  <mergeCells count="3">
    <mergeCell ref="A1:B2"/>
    <mergeCell ref="C1:Q1"/>
    <mergeCell ref="A3:A17"/>
  </mergeCells>
  <conditionalFormatting sqref="C2:W2">
    <cfRule type="cellIs" priority="2" operator="equal" aboveAverage="0" equalAverage="0" bottom="0" percent="0" rank="0" text="" dxfId="488">
      <formula>0</formula>
    </cfRule>
  </conditionalFormatting>
  <conditionalFormatting sqref="B3:B23">
    <cfRule type="cellIs" priority="3" operator="equal" aboveAverage="0" equalAverage="0" bottom="0" percent="0" rank="0" text="" dxfId="489">
      <formula>0</formula>
    </cfRule>
  </conditionalFormatting>
  <conditionalFormatting sqref="C5:D5 C4 C6:E6 C7:F7 C8:G8 C9:H9 C10:I10 C11:J11 C12:K12 C13:L13 C14:M14 C15:N15 C16:O16 C17:P17 C18:Q18 C19:R19 C20:S20 C21:T21 C22:U22 C23:V23 C23:W23 Q20:W22 D19:O22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5">
      <colorScale>
        <cfvo type="min" val="0"/>
        <cfvo type="max" val="0"/>
        <color rgb="FFDAE3F3"/>
        <color rgb="FFFF0000"/>
      </colorScale>
    </cfRule>
    <cfRule type="cellIs" priority="6" operator="equal" aboveAverage="0" equalAverage="0" bottom="0" percent="0" rank="0" text="" dxfId="49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4453125" defaultRowHeight="15" zeroHeight="false" outlineLevelRow="0" outlineLevelCol="0"/>
  <cols>
    <col collapsed="false" customWidth="true" hidden="false" outlineLevel="0" max="1" min="1" style="225" width="35.43"/>
    <col collapsed="false" customWidth="true" hidden="false" outlineLevel="0" max="2" min="2" style="226" width="10.85"/>
    <col collapsed="false" customWidth="false" hidden="false" outlineLevel="0" max="3" min="3" style="226" width="9.14"/>
    <col collapsed="false" customWidth="true" hidden="false" outlineLevel="0" max="4" min="4" style="226" width="17.14"/>
    <col collapsed="false" customWidth="false" hidden="false" outlineLevel="0" max="1024" min="5" style="226" width="9.14"/>
  </cols>
  <sheetData>
    <row r="1" customFormat="false" ht="15" hidden="false" customHeight="false" outlineLevel="0" collapsed="false">
      <c r="A1" s="227"/>
      <c r="B1" s="228" t="s">
        <v>239</v>
      </c>
      <c r="C1" s="228" t="s">
        <v>240</v>
      </c>
      <c r="D1" s="228" t="s">
        <v>241</v>
      </c>
    </row>
    <row r="2" customFormat="false" ht="15" hidden="false" customHeight="false" outlineLevel="0" collapsed="false">
      <c r="A2" s="227" t="s">
        <v>242</v>
      </c>
      <c r="B2" s="86" t="n">
        <v>0</v>
      </c>
      <c r="C2" s="86" t="n">
        <v>50</v>
      </c>
      <c r="D2" s="86" t="n">
        <v>10</v>
      </c>
    </row>
    <row r="3" customFormat="false" ht="15" hidden="false" customHeight="false" outlineLevel="0" collapsed="false">
      <c r="A3" s="227" t="s">
        <v>243</v>
      </c>
      <c r="B3" s="86" t="n">
        <v>0</v>
      </c>
      <c r="C3" s="86" t="n">
        <v>200</v>
      </c>
      <c r="D3" s="86" t="n">
        <v>10</v>
      </c>
    </row>
    <row r="4" customFormat="false" ht="15" hidden="false" customHeight="false" outlineLevel="0" collapsed="false">
      <c r="A4" s="227" t="s">
        <v>244</v>
      </c>
      <c r="B4" s="86" t="n">
        <v>0</v>
      </c>
      <c r="C4" s="86" t="n">
        <v>200</v>
      </c>
      <c r="D4" s="86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49609375" defaultRowHeight="15" zeroHeight="false" outlineLevelRow="0" outlineLevelCol="0"/>
  <cols>
    <col collapsed="false" customWidth="true" hidden="false" outlineLevel="0" max="20" min="20" style="229" width="2.71"/>
    <col collapsed="false" customWidth="true" hidden="false" outlineLevel="0" max="21" min="21" style="230" width="9.14"/>
    <col collapsed="false" customWidth="true" hidden="false" outlineLevel="0" max="22" min="22" style="231" width="9.14"/>
    <col collapsed="false" customWidth="true" hidden="false" outlineLevel="0" max="23" min="23" style="0" width="6.71"/>
  </cols>
  <sheetData>
    <row r="2" s="231" customFormat="true" ht="15" hidden="false" customHeight="false" outlineLevel="0" collapsed="false">
      <c r="C2" s="232" t="s">
        <v>245</v>
      </c>
      <c r="D2" s="232"/>
      <c r="E2" s="232"/>
      <c r="F2" s="232"/>
      <c r="G2" s="230"/>
      <c r="I2" s="232" t="s">
        <v>246</v>
      </c>
      <c r="J2" s="232"/>
      <c r="K2" s="232"/>
      <c r="L2" s="232"/>
      <c r="M2" s="230"/>
      <c r="O2" s="232" t="s">
        <v>247</v>
      </c>
      <c r="P2" s="232"/>
      <c r="Q2" s="232"/>
      <c r="R2" s="232"/>
      <c r="T2" s="233"/>
      <c r="U2" s="232" t="s">
        <v>245</v>
      </c>
      <c r="V2" s="232"/>
      <c r="W2" s="232"/>
      <c r="X2" s="232"/>
      <c r="Z2" s="232" t="s">
        <v>246</v>
      </c>
      <c r="AA2" s="232"/>
      <c r="AB2" s="232"/>
      <c r="AC2" s="232"/>
      <c r="AE2" s="232" t="s">
        <v>247</v>
      </c>
      <c r="AF2" s="232"/>
      <c r="AG2" s="232"/>
      <c r="AH2" s="232"/>
    </row>
    <row r="3" s="231" customFormat="true" ht="15" hidden="false" customHeight="false" outlineLevel="0" collapsed="false">
      <c r="A3" s="231" t="s">
        <v>248</v>
      </c>
      <c r="B3" s="231" t="s">
        <v>249</v>
      </c>
      <c r="C3" s="234" t="s">
        <v>250</v>
      </c>
      <c r="D3" s="234" t="s">
        <v>251</v>
      </c>
      <c r="E3" s="234" t="s">
        <v>252</v>
      </c>
      <c r="F3" s="234" t="s">
        <v>253</v>
      </c>
      <c r="G3" s="231" t="s">
        <v>248</v>
      </c>
      <c r="H3" s="231" t="s">
        <v>249</v>
      </c>
      <c r="I3" s="232" t="s">
        <v>254</v>
      </c>
      <c r="J3" s="232" t="s">
        <v>255</v>
      </c>
      <c r="K3" s="232" t="s">
        <v>252</v>
      </c>
      <c r="L3" s="232" t="s">
        <v>253</v>
      </c>
      <c r="M3" s="231" t="s">
        <v>248</v>
      </c>
      <c r="N3" s="231" t="s">
        <v>249</v>
      </c>
      <c r="O3" s="232" t="s">
        <v>256</v>
      </c>
      <c r="P3" s="232" t="s">
        <v>257</v>
      </c>
      <c r="Q3" s="232" t="s">
        <v>252</v>
      </c>
      <c r="R3" s="232" t="s">
        <v>253</v>
      </c>
      <c r="T3" s="233"/>
      <c r="U3" s="232"/>
      <c r="V3" s="232"/>
      <c r="W3" s="232" t="s">
        <v>258</v>
      </c>
      <c r="X3" s="232" t="s">
        <v>259</v>
      </c>
      <c r="Z3" s="232"/>
      <c r="AA3" s="232"/>
      <c r="AB3" s="232" t="s">
        <v>258</v>
      </c>
      <c r="AC3" s="232" t="s">
        <v>259</v>
      </c>
      <c r="AE3" s="232"/>
      <c r="AF3" s="232"/>
      <c r="AG3" s="232" t="s">
        <v>258</v>
      </c>
      <c r="AH3" s="232" t="s">
        <v>259</v>
      </c>
    </row>
    <row r="4" customFormat="false" ht="15" hidden="false" customHeight="false" outlineLevel="0" collapsed="false">
      <c r="A4" s="231" t="str">
        <f aca="false">$B$25</f>
        <v>y</v>
      </c>
      <c r="B4" s="231" t="s">
        <v>260</v>
      </c>
      <c r="C4" s="235" t="s">
        <v>34</v>
      </c>
      <c r="D4" s="236" t="s">
        <v>261</v>
      </c>
      <c r="E4" s="236" t="n">
        <v>0.8</v>
      </c>
      <c r="F4" s="237" t="n">
        <v>8</v>
      </c>
      <c r="G4" s="231" t="str">
        <f aca="false">$B$25</f>
        <v>y</v>
      </c>
      <c r="H4" s="238" t="s">
        <v>260</v>
      </c>
      <c r="I4" s="235" t="s">
        <v>46</v>
      </c>
      <c r="J4" s="236" t="s">
        <v>48</v>
      </c>
      <c r="K4" s="236" t="n">
        <v>0.006</v>
      </c>
      <c r="L4" s="237" t="n">
        <v>0.008</v>
      </c>
      <c r="M4" s="231" t="str">
        <f aca="false">$B$25</f>
        <v>y</v>
      </c>
      <c r="N4" s="231" t="s">
        <v>260</v>
      </c>
      <c r="O4" s="235" t="s">
        <v>34</v>
      </c>
      <c r="P4" s="236" t="s">
        <v>55</v>
      </c>
      <c r="Q4" s="236" t="n">
        <v>0.85</v>
      </c>
      <c r="R4" s="237" t="n">
        <v>0.28</v>
      </c>
      <c r="U4" s="233" t="str">
        <f aca="false">C4</f>
        <v>B4</v>
      </c>
      <c r="V4" s="239" t="str">
        <f aca="false">D4</f>
        <v>Kca</v>
      </c>
      <c r="W4" s="230" t="str">
        <f aca="false">IF(A4=0,B4,A4)</f>
        <v>y</v>
      </c>
      <c r="X4" s="240" t="n">
        <f aca="false">IF(W4="c",F4,E4)</f>
        <v>0.8</v>
      </c>
      <c r="Z4" s="235" t="s">
        <v>46</v>
      </c>
      <c r="AA4" s="236" t="s">
        <v>48</v>
      </c>
      <c r="AB4" s="230" t="str">
        <f aca="false">IF(G4=0,H4,G4)</f>
        <v>y</v>
      </c>
      <c r="AC4" s="240" t="n">
        <f aca="false">IF(AB4="c",L4,K4)</f>
        <v>0.006</v>
      </c>
      <c r="AE4" s="235" t="s">
        <v>46</v>
      </c>
      <c r="AF4" s="236" t="s">
        <v>48</v>
      </c>
      <c r="AG4" s="230" t="str">
        <f aca="false">IF(M4=0,N4,M4)</f>
        <v>y</v>
      </c>
      <c r="AH4" s="240" t="n">
        <f aca="false">IF(AG4="c",R4,Q4)</f>
        <v>0.85</v>
      </c>
    </row>
    <row r="5" customFormat="false" ht="15" hidden="false" customHeight="false" outlineLevel="0" collapsed="false">
      <c r="A5" s="231" t="str">
        <f aca="false">$B$25</f>
        <v>y</v>
      </c>
      <c r="B5" s="231" t="s">
        <v>260</v>
      </c>
      <c r="C5" s="229" t="s">
        <v>37</v>
      </c>
      <c r="D5" s="239" t="s">
        <v>1</v>
      </c>
      <c r="E5" s="239" t="n">
        <v>0.04</v>
      </c>
      <c r="F5" s="241" t="n">
        <v>0.02</v>
      </c>
      <c r="G5" s="231" t="str">
        <f aca="false">$B$25</f>
        <v>y</v>
      </c>
      <c r="H5" s="238" t="s">
        <v>260</v>
      </c>
      <c r="I5" s="229" t="s">
        <v>46</v>
      </c>
      <c r="J5" s="239" t="s">
        <v>37</v>
      </c>
      <c r="K5" s="239" t="n">
        <v>0.006</v>
      </c>
      <c r="L5" s="241" t="n">
        <v>0.007</v>
      </c>
      <c r="M5" s="231"/>
      <c r="N5" s="231"/>
      <c r="O5" s="229"/>
      <c r="P5" s="239"/>
      <c r="Q5" s="239"/>
      <c r="R5" s="241"/>
      <c r="U5" s="233" t="str">
        <f aca="false">C5</f>
        <v>B30</v>
      </c>
      <c r="V5" s="239" t="str">
        <f aca="false">D5</f>
        <v>leak</v>
      </c>
      <c r="W5" s="230" t="str">
        <f aca="false">IF(A5=0,B5,A5)</f>
        <v>y</v>
      </c>
      <c r="X5" s="240" t="n">
        <f aca="false">IF(W5="c",F5,E5)</f>
        <v>0.04</v>
      </c>
      <c r="Z5" s="229" t="s">
        <v>46</v>
      </c>
      <c r="AA5" s="239" t="s">
        <v>37</v>
      </c>
      <c r="AB5" s="230" t="str">
        <f aca="false">IF(G5=0,H5,G5)</f>
        <v>y</v>
      </c>
      <c r="AC5" s="240" t="n">
        <f aca="false">IF(AB5="c",L5,K5)</f>
        <v>0.006</v>
      </c>
      <c r="AE5" s="229"/>
      <c r="AF5" s="239"/>
      <c r="AG5" s="230"/>
      <c r="AH5" s="240"/>
    </row>
    <row r="6" customFormat="false" ht="15" hidden="false" customHeight="false" outlineLevel="0" collapsed="false">
      <c r="A6" s="231" t="str">
        <f aca="false">$B$25</f>
        <v>y</v>
      </c>
      <c r="B6" s="231" t="s">
        <v>260</v>
      </c>
      <c r="C6" s="229" t="s">
        <v>43</v>
      </c>
      <c r="D6" s="239" t="s">
        <v>1</v>
      </c>
      <c r="E6" s="239" t="n">
        <v>0.15</v>
      </c>
      <c r="F6" s="241" t="n">
        <v>0.089</v>
      </c>
      <c r="G6" s="231"/>
      <c r="H6" s="231"/>
      <c r="I6" s="229"/>
      <c r="J6" s="239"/>
      <c r="K6" s="239"/>
      <c r="L6" s="241"/>
      <c r="M6" s="231"/>
      <c r="N6" s="231"/>
      <c r="O6" s="229"/>
      <c r="P6" s="239"/>
      <c r="Q6" s="239"/>
      <c r="R6" s="241"/>
      <c r="U6" s="233" t="str">
        <f aca="false">C6</f>
        <v>B51s</v>
      </c>
      <c r="V6" s="239" t="str">
        <f aca="false">D6</f>
        <v>leak</v>
      </c>
      <c r="W6" s="230" t="str">
        <f aca="false">IF(A6=0,B6,A6)</f>
        <v>y</v>
      </c>
      <c r="X6" s="240" t="n">
        <f aca="false">IF(W6="c",F6,E6)</f>
        <v>0.15</v>
      </c>
      <c r="Z6" s="233"/>
      <c r="AA6" s="239"/>
      <c r="AB6" s="230"/>
      <c r="AC6" s="240"/>
      <c r="AE6" s="233"/>
      <c r="AF6" s="239"/>
      <c r="AG6" s="230"/>
      <c r="AH6" s="240"/>
    </row>
    <row r="7" customFormat="false" ht="15" hidden="false" customHeight="false" outlineLevel="0" collapsed="false">
      <c r="A7" s="231" t="str">
        <f aca="false">$B$25</f>
        <v>y</v>
      </c>
      <c r="B7" s="231" t="s">
        <v>260</v>
      </c>
      <c r="C7" s="229" t="s">
        <v>46</v>
      </c>
      <c r="D7" s="239" t="s">
        <v>1</v>
      </c>
      <c r="E7" s="239" t="n">
        <v>0.04</v>
      </c>
      <c r="F7" s="241" t="n">
        <v>0.02</v>
      </c>
      <c r="G7" s="231"/>
      <c r="H7" s="231"/>
      <c r="I7" s="229"/>
      <c r="J7" s="239"/>
      <c r="K7" s="239"/>
      <c r="L7" s="241"/>
      <c r="M7" s="231"/>
      <c r="N7" s="231"/>
      <c r="O7" s="229"/>
      <c r="P7" s="239"/>
      <c r="Q7" s="239"/>
      <c r="R7" s="241"/>
      <c r="U7" s="233" t="str">
        <f aca="false">C7</f>
        <v>B63</v>
      </c>
      <c r="V7" s="239" t="str">
        <f aca="false">D7</f>
        <v>leak</v>
      </c>
      <c r="W7" s="230" t="str">
        <f aca="false">IF(A7=0,B7,A7)</f>
        <v>y</v>
      </c>
      <c r="X7" s="240" t="n">
        <f aca="false">IF(W7="c",F7,E7)</f>
        <v>0.04</v>
      </c>
      <c r="Z7" s="233"/>
      <c r="AA7" s="239"/>
      <c r="AB7" s="230"/>
      <c r="AC7" s="240"/>
      <c r="AE7" s="233"/>
      <c r="AF7" s="239"/>
      <c r="AG7" s="230"/>
      <c r="AH7" s="240"/>
    </row>
    <row r="8" customFormat="false" ht="15" hidden="false" customHeight="false" outlineLevel="0" collapsed="false">
      <c r="A8" s="231" t="str">
        <f aca="false">$B$25</f>
        <v>y</v>
      </c>
      <c r="B8" s="231" t="s">
        <v>260</v>
      </c>
      <c r="C8" s="229" t="s">
        <v>48</v>
      </c>
      <c r="D8" s="239" t="s">
        <v>1</v>
      </c>
      <c r="E8" s="239" t="n">
        <v>0.08</v>
      </c>
      <c r="F8" s="241" t="n">
        <v>0.06</v>
      </c>
      <c r="G8" s="231"/>
      <c r="H8" s="231"/>
      <c r="I8" s="229"/>
      <c r="J8" s="239"/>
      <c r="K8" s="239"/>
      <c r="L8" s="241"/>
      <c r="M8" s="231"/>
      <c r="N8" s="231"/>
      <c r="O8" s="229"/>
      <c r="P8" s="239"/>
      <c r="Q8" s="239"/>
      <c r="R8" s="241"/>
      <c r="U8" s="233" t="str">
        <f aca="false">C8</f>
        <v>B65</v>
      </c>
      <c r="V8" s="239" t="str">
        <f aca="false">D8</f>
        <v>leak</v>
      </c>
      <c r="W8" s="230" t="str">
        <f aca="false">IF(A8=0,B8,A8)</f>
        <v>y</v>
      </c>
      <c r="X8" s="240" t="n">
        <f aca="false">IF(W8="c",F8,E8)</f>
        <v>0.08</v>
      </c>
      <c r="Z8" s="233"/>
      <c r="AA8" s="239"/>
      <c r="AB8" s="230"/>
      <c r="AC8" s="240"/>
      <c r="AE8" s="233"/>
      <c r="AF8" s="239"/>
      <c r="AG8" s="230"/>
      <c r="AH8" s="240"/>
    </row>
    <row r="9" customFormat="false" ht="15" hidden="false" customHeight="false" outlineLevel="0" collapsed="false">
      <c r="A9" s="231"/>
      <c r="B9" s="231"/>
      <c r="C9" s="229"/>
      <c r="D9" s="239"/>
      <c r="E9" s="239"/>
      <c r="F9" s="241"/>
      <c r="G9" s="230"/>
      <c r="H9" s="231"/>
      <c r="I9" s="229"/>
      <c r="J9" s="239"/>
      <c r="K9" s="239"/>
      <c r="L9" s="241"/>
      <c r="M9" s="230"/>
      <c r="N9" s="231"/>
      <c r="O9" s="229"/>
      <c r="P9" s="239"/>
      <c r="Q9" s="239"/>
      <c r="R9" s="241"/>
      <c r="U9" s="233"/>
      <c r="V9" s="230"/>
      <c r="W9" s="239"/>
      <c r="X9" s="241"/>
      <c r="Z9" s="233"/>
      <c r="AA9" s="230"/>
      <c r="AB9" s="239"/>
      <c r="AC9" s="241"/>
      <c r="AE9" s="233"/>
      <c r="AF9" s="230"/>
      <c r="AG9" s="239"/>
      <c r="AH9" s="241"/>
    </row>
    <row r="10" customFormat="false" ht="15" hidden="false" customHeight="false" outlineLevel="0" collapsed="false">
      <c r="A10" s="231"/>
      <c r="B10" s="231"/>
      <c r="C10" s="229"/>
      <c r="D10" s="239"/>
      <c r="E10" s="239"/>
      <c r="F10" s="241"/>
      <c r="G10" s="230"/>
      <c r="H10" s="231"/>
      <c r="I10" s="229"/>
      <c r="J10" s="239"/>
      <c r="K10" s="239"/>
      <c r="L10" s="241"/>
      <c r="M10" s="230"/>
      <c r="N10" s="231"/>
      <c r="O10" s="229"/>
      <c r="P10" s="239"/>
      <c r="Q10" s="239"/>
      <c r="R10" s="241"/>
      <c r="U10" s="233"/>
      <c r="V10" s="230"/>
      <c r="W10" s="239"/>
      <c r="X10" s="241"/>
      <c r="Z10" s="233"/>
      <c r="AA10" s="230"/>
      <c r="AB10" s="239"/>
      <c r="AC10" s="241"/>
      <c r="AE10" s="233"/>
      <c r="AF10" s="230"/>
      <c r="AG10" s="239"/>
      <c r="AH10" s="241"/>
    </row>
    <row r="11" customFormat="false" ht="15" hidden="false" customHeight="false" outlineLevel="0" collapsed="false">
      <c r="A11" s="231"/>
      <c r="B11" s="231"/>
      <c r="C11" s="229"/>
      <c r="D11" s="239"/>
      <c r="E11" s="239"/>
      <c r="F11" s="241"/>
      <c r="G11" s="230"/>
      <c r="H11" s="231"/>
      <c r="I11" s="229"/>
      <c r="J11" s="239"/>
      <c r="K11" s="239"/>
      <c r="L11" s="241"/>
      <c r="M11" s="230"/>
      <c r="N11" s="231"/>
      <c r="O11" s="229"/>
      <c r="P11" s="239"/>
      <c r="Q11" s="239"/>
      <c r="R11" s="241"/>
      <c r="U11" s="233"/>
      <c r="V11" s="230"/>
      <c r="W11" s="239"/>
      <c r="X11" s="241"/>
      <c r="Z11" s="233"/>
      <c r="AA11" s="230"/>
      <c r="AB11" s="239"/>
      <c r="AC11" s="241"/>
      <c r="AE11" s="233"/>
      <c r="AF11" s="230"/>
      <c r="AG11" s="239"/>
      <c r="AH11" s="241"/>
    </row>
    <row r="12" customFormat="false" ht="15" hidden="false" customHeight="false" outlineLevel="0" collapsed="false">
      <c r="A12" s="231"/>
      <c r="B12" s="231"/>
      <c r="C12" s="229"/>
      <c r="D12" s="239"/>
      <c r="E12" s="239"/>
      <c r="F12" s="241"/>
      <c r="G12" s="230"/>
      <c r="H12" s="231"/>
      <c r="I12" s="229"/>
      <c r="J12" s="239"/>
      <c r="K12" s="239"/>
      <c r="L12" s="241"/>
      <c r="M12" s="230"/>
      <c r="N12" s="231"/>
      <c r="O12" s="229"/>
      <c r="P12" s="239"/>
      <c r="Q12" s="239"/>
      <c r="R12" s="241"/>
      <c r="U12" s="233"/>
      <c r="V12" s="230"/>
      <c r="W12" s="239"/>
      <c r="X12" s="241"/>
      <c r="Z12" s="233"/>
      <c r="AA12" s="230"/>
      <c r="AB12" s="239"/>
      <c r="AC12" s="241"/>
      <c r="AE12" s="233"/>
      <c r="AF12" s="230"/>
      <c r="AG12" s="239"/>
      <c r="AH12" s="241"/>
    </row>
    <row r="13" customFormat="false" ht="15" hidden="false" customHeight="false" outlineLevel="0" collapsed="false">
      <c r="A13" s="231"/>
      <c r="B13" s="231"/>
      <c r="C13" s="229"/>
      <c r="D13" s="239"/>
      <c r="E13" s="239"/>
      <c r="F13" s="241"/>
      <c r="G13" s="230"/>
      <c r="H13" s="231"/>
      <c r="I13" s="229"/>
      <c r="J13" s="239"/>
      <c r="K13" s="239"/>
      <c r="L13" s="241"/>
      <c r="M13" s="230"/>
      <c r="N13" s="231"/>
      <c r="O13" s="229"/>
      <c r="P13" s="239"/>
      <c r="Q13" s="239"/>
      <c r="R13" s="241"/>
      <c r="U13" s="233"/>
      <c r="V13" s="230"/>
      <c r="W13" s="239"/>
      <c r="X13" s="241"/>
      <c r="Z13" s="233"/>
      <c r="AA13" s="230"/>
      <c r="AB13" s="239"/>
      <c r="AC13" s="241"/>
      <c r="AE13" s="233"/>
      <c r="AF13" s="230"/>
      <c r="AG13" s="239"/>
      <c r="AH13" s="241"/>
    </row>
    <row r="14" customFormat="false" ht="15" hidden="false" customHeight="false" outlineLevel="0" collapsed="false">
      <c r="A14" s="231"/>
      <c r="B14" s="231"/>
      <c r="C14" s="229"/>
      <c r="D14" s="239"/>
      <c r="E14" s="239"/>
      <c r="F14" s="241"/>
      <c r="G14" s="230"/>
      <c r="H14" s="231"/>
      <c r="I14" s="229"/>
      <c r="J14" s="239"/>
      <c r="K14" s="239"/>
      <c r="L14" s="241"/>
      <c r="M14" s="230"/>
      <c r="N14" s="231"/>
      <c r="O14" s="229"/>
      <c r="P14" s="239"/>
      <c r="Q14" s="239"/>
      <c r="R14" s="241"/>
      <c r="U14" s="233"/>
      <c r="V14" s="230"/>
      <c r="W14" s="239"/>
      <c r="X14" s="241"/>
      <c r="Z14" s="233"/>
      <c r="AA14" s="230"/>
      <c r="AB14" s="239"/>
      <c r="AC14" s="241"/>
      <c r="AE14" s="233"/>
      <c r="AF14" s="230"/>
      <c r="AG14" s="239"/>
      <c r="AH14" s="241"/>
    </row>
    <row r="15" customFormat="false" ht="15" hidden="false" customHeight="false" outlineLevel="0" collapsed="false">
      <c r="A15" s="231"/>
      <c r="B15" s="231"/>
      <c r="C15" s="229"/>
      <c r="D15" s="239"/>
      <c r="E15" s="239"/>
      <c r="F15" s="241"/>
      <c r="G15" s="230"/>
      <c r="H15" s="231"/>
      <c r="I15" s="229"/>
      <c r="J15" s="239"/>
      <c r="K15" s="239"/>
      <c r="L15" s="241"/>
      <c r="M15" s="230"/>
      <c r="N15" s="231"/>
      <c r="O15" s="229"/>
      <c r="P15" s="239"/>
      <c r="Q15" s="239"/>
      <c r="R15" s="241"/>
      <c r="U15" s="233"/>
      <c r="V15" s="230"/>
      <c r="W15" s="239"/>
      <c r="X15" s="241"/>
      <c r="Z15" s="233"/>
      <c r="AA15" s="230"/>
      <c r="AB15" s="239"/>
      <c r="AC15" s="241"/>
      <c r="AE15" s="233"/>
      <c r="AF15" s="230"/>
      <c r="AG15" s="239"/>
      <c r="AH15" s="241"/>
    </row>
    <row r="16" customFormat="false" ht="15" hidden="false" customHeight="false" outlineLevel="0" collapsed="false">
      <c r="A16" s="231"/>
      <c r="B16" s="231"/>
      <c r="C16" s="229"/>
      <c r="D16" s="239"/>
      <c r="E16" s="239"/>
      <c r="F16" s="241"/>
      <c r="G16" s="230"/>
      <c r="H16" s="231"/>
      <c r="I16" s="229"/>
      <c r="J16" s="239"/>
      <c r="K16" s="239"/>
      <c r="L16" s="241"/>
      <c r="M16" s="230"/>
      <c r="N16" s="231"/>
      <c r="O16" s="229"/>
      <c r="P16" s="239"/>
      <c r="Q16" s="239"/>
      <c r="R16" s="241"/>
      <c r="U16" s="233"/>
      <c r="V16" s="230"/>
      <c r="W16" s="239"/>
      <c r="X16" s="241"/>
      <c r="Z16" s="233"/>
      <c r="AA16" s="230"/>
      <c r="AB16" s="239"/>
      <c r="AC16" s="241"/>
      <c r="AE16" s="233"/>
      <c r="AF16" s="230"/>
      <c r="AG16" s="239"/>
      <c r="AH16" s="241"/>
    </row>
    <row r="17" customFormat="false" ht="15" hidden="false" customHeight="false" outlineLevel="0" collapsed="false">
      <c r="A17" s="231"/>
      <c r="B17" s="231"/>
      <c r="C17" s="229"/>
      <c r="D17" s="239"/>
      <c r="E17" s="239"/>
      <c r="F17" s="241"/>
      <c r="G17" s="230"/>
      <c r="H17" s="231"/>
      <c r="I17" s="229"/>
      <c r="J17" s="239"/>
      <c r="K17" s="239"/>
      <c r="L17" s="241"/>
      <c r="M17" s="230"/>
      <c r="N17" s="231"/>
      <c r="O17" s="229"/>
      <c r="P17" s="239"/>
      <c r="Q17" s="239"/>
      <c r="R17" s="241"/>
      <c r="U17" s="233"/>
      <c r="V17" s="230"/>
      <c r="W17" s="239"/>
      <c r="X17" s="241"/>
      <c r="Z17" s="233"/>
      <c r="AA17" s="230"/>
      <c r="AB17" s="239"/>
      <c r="AC17" s="241"/>
      <c r="AE17" s="233"/>
      <c r="AF17" s="230"/>
      <c r="AG17" s="239"/>
      <c r="AH17" s="241"/>
    </row>
    <row r="18" customFormat="false" ht="15" hidden="false" customHeight="false" outlineLevel="0" collapsed="false">
      <c r="A18" s="231"/>
      <c r="B18" s="231"/>
      <c r="C18" s="229"/>
      <c r="D18" s="239"/>
      <c r="E18" s="239"/>
      <c r="F18" s="241"/>
      <c r="G18" s="230"/>
      <c r="H18" s="231"/>
      <c r="I18" s="229"/>
      <c r="J18" s="239"/>
      <c r="K18" s="239"/>
      <c r="L18" s="241"/>
      <c r="M18" s="230"/>
      <c r="N18" s="231"/>
      <c r="O18" s="229"/>
      <c r="P18" s="239"/>
      <c r="Q18" s="239"/>
      <c r="R18" s="241"/>
      <c r="U18" s="233"/>
      <c r="V18" s="230"/>
      <c r="W18" s="239"/>
      <c r="X18" s="241"/>
      <c r="Z18" s="233"/>
      <c r="AA18" s="230"/>
      <c r="AB18" s="239"/>
      <c r="AC18" s="241"/>
      <c r="AE18" s="233"/>
      <c r="AF18" s="230"/>
      <c r="AG18" s="239"/>
      <c r="AH18" s="241"/>
    </row>
    <row r="19" customFormat="false" ht="15" hidden="false" customHeight="false" outlineLevel="0" collapsed="false">
      <c r="A19" s="231"/>
      <c r="B19" s="231"/>
      <c r="C19" s="229"/>
      <c r="D19" s="239"/>
      <c r="E19" s="239"/>
      <c r="F19" s="241"/>
      <c r="G19" s="230"/>
      <c r="H19" s="231"/>
      <c r="I19" s="229"/>
      <c r="J19" s="239"/>
      <c r="K19" s="239"/>
      <c r="L19" s="241"/>
      <c r="M19" s="230"/>
      <c r="N19" s="231"/>
      <c r="O19" s="229"/>
      <c r="P19" s="239"/>
      <c r="Q19" s="239"/>
      <c r="R19" s="241"/>
      <c r="U19" s="233"/>
      <c r="V19" s="230"/>
      <c r="W19" s="239"/>
      <c r="X19" s="241"/>
      <c r="Z19" s="233"/>
      <c r="AA19" s="230"/>
      <c r="AB19" s="239"/>
      <c r="AC19" s="241"/>
      <c r="AE19" s="233"/>
      <c r="AF19" s="230"/>
      <c r="AG19" s="239"/>
      <c r="AH19" s="241"/>
    </row>
    <row r="20" customFormat="false" ht="15" hidden="false" customHeight="false" outlineLevel="0" collapsed="false">
      <c r="A20" s="231"/>
      <c r="B20" s="231"/>
      <c r="C20" s="229"/>
      <c r="D20" s="239"/>
      <c r="E20" s="239"/>
      <c r="F20" s="241"/>
      <c r="G20" s="230"/>
      <c r="H20" s="231"/>
      <c r="I20" s="229"/>
      <c r="J20" s="239"/>
      <c r="K20" s="239"/>
      <c r="L20" s="241"/>
      <c r="M20" s="230"/>
      <c r="N20" s="231"/>
      <c r="O20" s="229"/>
      <c r="P20" s="239"/>
      <c r="Q20" s="239"/>
      <c r="R20" s="241"/>
      <c r="U20" s="233"/>
      <c r="V20" s="230"/>
      <c r="W20" s="239"/>
      <c r="X20" s="241"/>
      <c r="Z20" s="233"/>
      <c r="AA20" s="230"/>
      <c r="AB20" s="239"/>
      <c r="AC20" s="241"/>
      <c r="AE20" s="233"/>
      <c r="AF20" s="230"/>
      <c r="AG20" s="239"/>
      <c r="AH20" s="241"/>
    </row>
    <row r="21" customFormat="false" ht="15" hidden="false" customHeight="false" outlineLevel="0" collapsed="false">
      <c r="A21" s="231"/>
      <c r="B21" s="231"/>
      <c r="C21" s="229"/>
      <c r="D21" s="239"/>
      <c r="E21" s="239"/>
      <c r="F21" s="241"/>
      <c r="G21" s="230"/>
      <c r="H21" s="231"/>
      <c r="I21" s="229"/>
      <c r="J21" s="239"/>
      <c r="K21" s="239"/>
      <c r="L21" s="241"/>
      <c r="M21" s="230"/>
      <c r="N21" s="231"/>
      <c r="O21" s="229"/>
      <c r="P21" s="239"/>
      <c r="Q21" s="239"/>
      <c r="R21" s="241"/>
      <c r="U21" s="233"/>
      <c r="V21" s="230"/>
      <c r="W21" s="239"/>
      <c r="X21" s="241"/>
      <c r="Z21" s="233"/>
      <c r="AA21" s="230"/>
      <c r="AB21" s="239"/>
      <c r="AC21" s="241"/>
      <c r="AE21" s="233"/>
      <c r="AF21" s="230"/>
      <c r="AG21" s="239"/>
      <c r="AH21" s="241"/>
    </row>
    <row r="22" customFormat="false" ht="15" hidden="false" customHeight="false" outlineLevel="0" collapsed="false">
      <c r="A22" s="231"/>
      <c r="B22" s="231"/>
      <c r="C22" s="242"/>
      <c r="D22" s="243"/>
      <c r="E22" s="243"/>
      <c r="F22" s="244"/>
      <c r="G22" s="230"/>
      <c r="H22" s="231"/>
      <c r="I22" s="242"/>
      <c r="J22" s="243"/>
      <c r="K22" s="243"/>
      <c r="L22" s="244"/>
      <c r="M22" s="230"/>
      <c r="N22" s="231"/>
      <c r="O22" s="242"/>
      <c r="P22" s="243"/>
      <c r="Q22" s="243"/>
      <c r="R22" s="244"/>
      <c r="U22" s="245"/>
      <c r="V22" s="246"/>
      <c r="W22" s="243"/>
      <c r="X22" s="244"/>
      <c r="Z22" s="245"/>
      <c r="AA22" s="246"/>
      <c r="AB22" s="243"/>
      <c r="AC22" s="244"/>
      <c r="AE22" s="245"/>
      <c r="AF22" s="246"/>
      <c r="AG22" s="243"/>
      <c r="AH22" s="244"/>
    </row>
    <row r="24" customFormat="false" ht="15" hidden="false" customHeight="false" outlineLevel="0" collapsed="false">
      <c r="B24" s="0" t="s">
        <v>262</v>
      </c>
    </row>
    <row r="25" customFormat="false" ht="15" hidden="false" customHeight="false" outlineLevel="0" collapsed="false">
      <c r="B25" s="231" t="s">
        <v>260</v>
      </c>
    </row>
  </sheetData>
  <mergeCells count="6">
    <mergeCell ref="C2:F2"/>
    <mergeCell ref="I2:L2"/>
    <mergeCell ref="O2:R2"/>
    <mergeCell ref="U2:X2"/>
    <mergeCell ref="Z2:AC2"/>
    <mergeCell ref="AE2:A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2025-06-25T10:22:04Z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