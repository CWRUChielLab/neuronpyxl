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933AEFF2-C1BE-4D8F-A90A-2D7332385368}" xr6:coauthVersionLast="47" xr6:coauthVersionMax="47" xr10:uidLastSave="{00000000-0000-0000-0000-000000000000}"/>
  <bookViews>
    <workbookView xWindow="30450" yWindow="1650" windowWidth="21600" windowHeight="11175" tabRatio="816" firstSheet="1" activeTab="1" xr2:uid="{00000000-000D-0000-FFFF-FFFF00000000}"/>
  </bookViews>
  <sheets>
    <sheet name="Neu" sheetId="3" r:id="rId1"/>
    <sheet name="rockon.smu" sheetId="13" r:id="rId2"/>
    <sheet name="rockon2.smu" sheetId="27" r:id="rId3"/>
    <sheet name="threshold.smu" sheetId="25" r:id="rId4"/>
    <sheet name="Kca.smu" sheetId="21" r:id="rId5"/>
    <sheet name="KTEA.smu" sheetId="26" r:id="rId6"/>
    <sheet name="K.smu" sheetId="20" r:id="rId7"/>
    <sheet name="KA.smu" sheetId="19" r:id="rId8"/>
    <sheet name="CaR2.smu" sheetId="18" r:id="rId9"/>
    <sheet name="CaR1.smu" sheetId="17" r:id="rId10"/>
    <sheet name="CaL.smu" sheetId="15" r:id="rId11"/>
    <sheet name="textv.smu" sheetId="14" r:id="rId12"/>
    <sheet name="Napp.smu" sheetId="12" r:id="rId13"/>
    <sheet name="IR.smu" sheetId="11" r:id="rId14"/>
    <sheet name="HCN.smu" sheetId="10" r:id="rId15"/>
    <sheet name="cs_g" sheetId="1" r:id="rId16"/>
    <sheet name="cs_E" sheetId="2" r:id="rId17"/>
    <sheet name="cs_FAT" sheetId="4" r:id="rId18"/>
    <sheet name="es" sheetId="5" r:id="rId19"/>
    <sheet name="noise" sheetId="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/>
  <c r="AL6" i="3"/>
  <c r="K6" i="3"/>
  <c r="W6" i="3"/>
  <c r="W5" i="3"/>
  <c r="FQ5" i="3"/>
  <c r="S6" i="3"/>
  <c r="S5" i="3"/>
  <c r="P6" i="3"/>
  <c r="P5" i="3"/>
  <c r="AE32" i="3"/>
  <c r="N6" i="3"/>
  <c r="N5" i="3"/>
  <c r="G6" i="3"/>
  <c r="G5" i="3"/>
  <c r="CW5" i="3"/>
  <c r="AM6" i="3"/>
  <c r="AM5" i="3"/>
  <c r="E33" i="27"/>
  <c r="E32" i="27"/>
  <c r="FR5" i="3"/>
  <c r="C3" i="26"/>
  <c r="T14" i="21"/>
  <c r="S14" i="21"/>
  <c r="R14" i="21"/>
  <c r="T13" i="21"/>
  <c r="T15" i="21" s="1"/>
  <c r="S13" i="21"/>
  <c r="S15" i="21" s="1"/>
  <c r="R13" i="21"/>
  <c r="R15" i="21" s="1"/>
  <c r="AD33" i="3"/>
  <c r="AC33" i="3"/>
  <c r="C3" i="21"/>
  <c r="FO6" i="3"/>
  <c r="FP6" i="3"/>
  <c r="FS6" i="3"/>
  <c r="FT6" i="3"/>
  <c r="E32" i="13" l="1"/>
  <c r="FO5" i="3"/>
  <c r="FP5" i="3"/>
  <c r="FS5" i="3"/>
  <c r="FT5" i="3"/>
  <c r="FN5" i="3"/>
  <c r="IH5" i="3"/>
  <c r="II5" i="3"/>
  <c r="IJ5" i="3"/>
  <c r="IK5" i="3"/>
  <c r="IL5" i="3"/>
  <c r="IM5" i="3"/>
  <c r="IN5" i="3"/>
  <c r="IO5" i="3"/>
  <c r="IH6" i="3"/>
  <c r="II6" i="3"/>
  <c r="IJ6" i="3"/>
  <c r="IK6" i="3"/>
  <c r="IL6" i="3"/>
  <c r="IM6" i="3"/>
  <c r="IN6" i="3"/>
  <c r="IO6" i="3"/>
  <c r="HP5" i="3"/>
  <c r="HQ5" i="3"/>
  <c r="HR5" i="3"/>
  <c r="HU5" i="3"/>
  <c r="HV5" i="3"/>
  <c r="ID5" i="3"/>
  <c r="IE5" i="3"/>
  <c r="IF5" i="3"/>
  <c r="IG5" i="3"/>
  <c r="HP6" i="3"/>
  <c r="HQ6" i="3"/>
  <c r="HR6" i="3"/>
  <c r="HT6" i="3"/>
  <c r="HU6" i="3"/>
  <c r="HV6" i="3"/>
  <c r="ID6" i="3"/>
  <c r="IE6" i="3"/>
  <c r="IF6" i="3"/>
  <c r="IG6" i="3"/>
  <c r="G32" i="3" l="1"/>
  <c r="G33" i="3"/>
  <c r="F32" i="3" l="1"/>
  <c r="E33" i="13"/>
  <c r="B4" i="7" l="1"/>
  <c r="B3" i="7"/>
  <c r="BD51" i="3" l="1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C3" i="15" l="1"/>
  <c r="A4" i="3"/>
  <c r="A5" i="3"/>
  <c r="A6" i="3"/>
  <c r="A7" i="3"/>
  <c r="G2" i="4"/>
  <c r="P3" i="5"/>
  <c r="M3" i="5"/>
  <c r="G3" i="5"/>
  <c r="D3" i="5"/>
  <c r="E3" i="5"/>
  <c r="F3" i="5"/>
  <c r="H3" i="5"/>
  <c r="I3" i="5"/>
  <c r="J3" i="5"/>
  <c r="K3" i="5"/>
  <c r="L3" i="5"/>
  <c r="N3" i="5"/>
  <c r="O3" i="5"/>
  <c r="Q3" i="5"/>
  <c r="R3" i="5"/>
  <c r="S3" i="5"/>
  <c r="T3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H7" i="5"/>
  <c r="I7" i="5"/>
  <c r="J7" i="5"/>
  <c r="K7" i="5"/>
  <c r="L7" i="5"/>
  <c r="M7" i="5"/>
  <c r="N7" i="5"/>
  <c r="O7" i="5"/>
  <c r="P7" i="5"/>
  <c r="Q7" i="5"/>
  <c r="R7" i="5"/>
  <c r="S7" i="5"/>
  <c r="T7" i="5"/>
  <c r="I8" i="5"/>
  <c r="J8" i="5"/>
  <c r="K8" i="5"/>
  <c r="L8" i="5"/>
  <c r="M8" i="5"/>
  <c r="N8" i="5"/>
  <c r="O8" i="5"/>
  <c r="P8" i="5"/>
  <c r="Q8" i="5"/>
  <c r="R8" i="5"/>
  <c r="S8" i="5"/>
  <c r="T8" i="5"/>
  <c r="J9" i="5"/>
  <c r="K9" i="5"/>
  <c r="L9" i="5"/>
  <c r="M9" i="5"/>
  <c r="N9" i="5"/>
  <c r="O9" i="5"/>
  <c r="P9" i="5"/>
  <c r="Q9" i="5"/>
  <c r="R9" i="5"/>
  <c r="S9" i="5"/>
  <c r="T9" i="5"/>
  <c r="K10" i="5"/>
  <c r="L10" i="5"/>
  <c r="M10" i="5"/>
  <c r="N10" i="5"/>
  <c r="O10" i="5"/>
  <c r="P10" i="5"/>
  <c r="Q10" i="5"/>
  <c r="R10" i="5"/>
  <c r="S10" i="5"/>
  <c r="T10" i="5"/>
  <c r="L11" i="5"/>
  <c r="M11" i="5"/>
  <c r="N11" i="5"/>
  <c r="O11" i="5"/>
  <c r="P11" i="5"/>
  <c r="Q11" i="5"/>
  <c r="R11" i="5"/>
  <c r="S11" i="5"/>
  <c r="T11" i="5"/>
  <c r="M12" i="5"/>
  <c r="N12" i="5"/>
  <c r="O12" i="5"/>
  <c r="P12" i="5"/>
  <c r="Q12" i="5"/>
  <c r="R12" i="5"/>
  <c r="S12" i="5"/>
  <c r="T12" i="5"/>
  <c r="N13" i="5"/>
  <c r="O13" i="5"/>
  <c r="P13" i="5"/>
  <c r="Q13" i="5"/>
  <c r="R13" i="5"/>
  <c r="S13" i="5"/>
  <c r="T13" i="5"/>
  <c r="O14" i="5"/>
  <c r="P14" i="5"/>
  <c r="Q14" i="5"/>
  <c r="R14" i="5"/>
  <c r="S14" i="5"/>
  <c r="T14" i="5"/>
  <c r="P15" i="5"/>
  <c r="Q15" i="5"/>
  <c r="R15" i="5"/>
  <c r="S15" i="5"/>
  <c r="T15" i="5"/>
  <c r="Q16" i="5"/>
  <c r="R16" i="5"/>
  <c r="S16" i="5"/>
  <c r="T16" i="5"/>
  <c r="R17" i="5"/>
  <c r="S17" i="5"/>
  <c r="T17" i="5"/>
  <c r="S18" i="5"/>
  <c r="T18" i="5"/>
  <c r="T19" i="5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Y3" i="4"/>
  <c r="Z33" i="4" l="1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<sst xmlns="http://schemas.openxmlformats.org/spreadsheetml/2006/main" count="2723" uniqueCount="226">
  <si>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</si>
  <si>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</si>
  <si>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</si>
  <si>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</si>
  <si>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</si>
  <si>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</si>
  <si>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</si>
  <si>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</si>
  <si>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</si>
  <si>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</si>
  <si>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</si>
  <si>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</si>
  <si>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</si>
  <si>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</si>
  <si>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</si>
  <si>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</si>
  <si>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</si>
  <si>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</si>
  <si>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</si>
  <si>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</si>
  <si>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</si>
  <si>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</si>
  <si>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</si>
  <si>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</si>
  <si>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</si>
  <si>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</si>
  <si>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</si>
  <si>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</si>
  <si>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</si>
  <si>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</si>
  <si>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</si>
  <si>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</si>
  <si>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</si>
  <si>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</si>
  <si>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</si>
  <si>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</si>
  <si>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</si>
  <si>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</si>
  <si>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</si>
  <si>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</si>
  <si>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</si>
  <si>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</si>
  <si>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</si>
  <si>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</si>
  <si>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</si>
  <si>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</si>
  <si>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</si>
  <si>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</si>
  <si>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</si>
  <si>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</si>
  <si>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</si>
  <si>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</si>
  <si>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</si>
  <si>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</si>
  <si>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</si>
  <si>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</si>
  <si>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</si>
  <si>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</si>
  <si>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</si>
  <si>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</si>
  <si>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</si>
  <si>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</si>
  <si>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</si>
  <si>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</si>
  <si>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</si>
  <si>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</si>
  <si>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</si>
  <si>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</si>
  <si>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</si>
  <si>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</si>
  <si>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</si>
  <si>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</si>
  <si>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</si>
  <si>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</si>
  <si>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</si>
  <si>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</si>
  <si>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</si>
  <si>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</si>
  <si>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</si>
  <si>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</si>
  <si>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</si>
  <si>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</si>
  <si>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</si>
  <si>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</si>
  <si>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</si>
  <si>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</si>
  <si>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</si>
  <si>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</si>
  <si>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</si>
  <si>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</si>
  <si>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</si>
  <si>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</si>
  <si>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</si>
  <si>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</si>
  <si>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</si>
  <si>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</si>
  <si>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</si>
  <si>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</si>
  <si>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</si>
  <si>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</si>
  <si>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</si>
  <si>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</si>
  <si>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</si>
  <si>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</si>
  <si>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</si>
  <si>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</si>
  <si>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</si>
  <si>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</si>
  <si>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</si>
  <si>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</si>
  <si>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</si>
  <si>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</si>
  <si>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</si>
  <si>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</si>
  <si>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</si>
  <si>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</si>
  <si>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</si>
  <si>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</si>
  <si>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</si>
  <si>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</si>
  <si>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</si>
  <si>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</si>
  <si>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</si>
  <si>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</si>
  <si>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</si>
  <si>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</si>
  <si>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</si>
  <si>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</si>
  <si>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</si>
  <si>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</si>
  <si>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</si>
  <si>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</si>
  <si>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</si>
  <si>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</si>
  <si>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</si>
  <si>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</si>
  <si>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</si>
  <si>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</si>
  <si>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</si>
  <si>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</si>
  <si>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</si>
  <si>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</si>
  <si>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</si>
  <si>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</si>
  <si>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</si>
  <si>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</si>
  <si>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</si>
  <si>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</si>
  <si>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</si>
  <si>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</si>
  <si>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</si>
  <si>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</si>
  <si>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</si>
  <si>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</si>
  <si>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</si>
  <si>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</si>
  <si>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</si>
  <si>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</si>
  <si>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</si>
  <si>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</si>
  <si>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B8</t>
  </si>
  <si>
    <t>V.B8</t>
  </si>
  <si>
    <t>green</t>
  </si>
  <si>
    <t>orange</t>
  </si>
  <si>
    <t>B51s</t>
  </si>
  <si>
    <t>B51a</t>
  </si>
  <si>
    <t>B64s</t>
  </si>
  <si>
    <t>K_pp</t>
  </si>
  <si>
    <t>white</t>
  </si>
  <si>
    <t>V.B51s</t>
  </si>
  <si>
    <t>V.B51a</t>
  </si>
  <si>
    <t>V.B64s</t>
  </si>
  <si>
    <t>if u2 is empty it is assumed equal to u1</t>
  </si>
  <si>
    <t>midrange</t>
  </si>
  <si>
    <t>Voltage dependence</t>
  </si>
  <si>
    <t>fast</t>
  </si>
  <si>
    <t>slow</t>
  </si>
  <si>
    <t>Ach</t>
  </si>
  <si>
    <t>cyan</t>
  </si>
  <si>
    <t>Colorbar</t>
  </si>
  <si>
    <t>sIvd_reg</t>
  </si>
  <si>
    <t>Ivd.HCN.B8</t>
  </si>
  <si>
    <t>Ivd.leak.B51s</t>
  </si>
  <si>
    <t>Ivd.leak.B64s</t>
  </si>
  <si>
    <t>IR</t>
  </si>
  <si>
    <t>Ivd.Napp.B51s</t>
  </si>
  <si>
    <t>Ivd.Napp.B64s</t>
  </si>
  <si>
    <t>Ivd.Napp.B8</t>
  </si>
  <si>
    <t>sIex.B51s</t>
  </si>
  <si>
    <t>IVDxREG.Kca.B51s</t>
  </si>
  <si>
    <t>rockon</t>
  </si>
  <si>
    <t>testv</t>
  </si>
  <si>
    <t>Ivd.Na.B51a</t>
  </si>
  <si>
    <t>Ivd.K.B51a</t>
  </si>
  <si>
    <t>Ivd.CaL.B51s</t>
  </si>
  <si>
    <t>Ivd.CaL.B64s</t>
  </si>
  <si>
    <t>Ivd.CaL.B8</t>
  </si>
  <si>
    <t>CaR1</t>
  </si>
  <si>
    <t>Ivd.CaR.B51s</t>
  </si>
  <si>
    <t>Ivd.CaR.B64s</t>
  </si>
  <si>
    <t>Ivd.CaR.B8</t>
  </si>
  <si>
    <t>CaR2</t>
  </si>
  <si>
    <t>Ivd.KA.B51s</t>
  </si>
  <si>
    <t>Ivd.KA.B64s</t>
  </si>
  <si>
    <t>Ivd.KA.B8</t>
  </si>
  <si>
    <t>black</t>
  </si>
  <si>
    <t>Ivd.K.B51s</t>
  </si>
  <si>
    <t>Ivd.K.B64s</t>
  </si>
  <si>
    <t>Ivd.K.B8</t>
  </si>
  <si>
    <t>IVDxREG.Kca.B8</t>
  </si>
  <si>
    <t>Initial voltage</t>
  </si>
  <si>
    <t>mV</t>
  </si>
  <si>
    <t>Cion.Ca2.B51s</t>
  </si>
  <si>
    <t>threshold</t>
  </si>
  <si>
    <t>Ivd.Kca.B51s</t>
  </si>
  <si>
    <t>fBR.Ca.Kca.B51s</t>
  </si>
  <si>
    <t>dBR/dt = (ion - BR)/p1  initial: p2</t>
  </si>
  <si>
    <t>Cion.Ca.B51s</t>
  </si>
  <si>
    <t>KTEA</t>
  </si>
  <si>
    <t>IVDxREG.KTEA.B51s</t>
  </si>
  <si>
    <t>Ivd.KTEA.B64s</t>
  </si>
  <si>
    <t>IVDxREG.KTEA.B8</t>
  </si>
  <si>
    <t>Ivd.Kca.B64s</t>
  </si>
  <si>
    <t>Ivd.KTEA.B51s</t>
  </si>
  <si>
    <t>Ivd.KTEA.B8</t>
  </si>
  <si>
    <t>rockon2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</si>
</sst>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6" xfId="0" applyFill="1" applyBorder="1"/>
    <xf numFmtId="0" fontId="0" fillId="4" borderId="5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3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59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5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4" borderId="7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26" xfId="0" applyFill="1" applyBorder="1" applyAlignment="1">
      <alignment horizontal="center" vertical="center"/>
    </xf>
    <xf numFmtId="0" fontId="0" fillId="4" borderId="2" xfId="0" applyFill="1" applyBorder="1"/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76" xfId="0" applyFill="1" applyBorder="1" applyAlignment="1">
      <alignment horizontal="center"/>
    </xf>
    <xf numFmtId="0" fontId="0" fillId="3" borderId="77" xfId="0" applyFill="1" applyBorder="1" applyAlignment="1">
      <alignment horizontal="center"/>
    </xf>
    <xf numFmtId="0" fontId="0" fillId="3" borderId="7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34" xfId="0" applyFill="1" applyBorder="1" applyAlignment="1">
      <alignment horizontal="center" vertical="center"/>
    </xf>
    <xf numFmtId="0" fontId="0" fillId="3" borderId="77" xfId="0" applyFill="1" applyBorder="1"/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3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7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507">
    <dxf>
      <font>
        <strike val="0"/>
        <color theme="4" tint="0.79998168889431442"/>
      </font>
    </dxf>
    <dxf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rgb="FFFF9B9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rgb="FFFF9B9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rgb="FFFF9B9D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fgColor theme="5" tint="-0.24994659260841701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62"/>
  <sheetViews>
    <sheetView topLeftCell="A24" zoomScale="71" zoomScaleNormal="71" workbookViewId="0">
      <pane xSplit="1" topLeftCell="B1" activePane="topRight" state="frozen"/>
      <selection pane="topRight" activeCell="U56" sqref="U56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5.54296875" style="14" customWidth="1"/>
    <col min="8" max="8" width="6" style="14" customWidth="1"/>
    <col min="9" max="9" width="6.81640625" style="14" customWidth="1"/>
    <col min="10" max="10" width="6" style="14" customWidth="1"/>
    <col min="11" max="11" width="7" style="14" customWidth="1"/>
    <col min="12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5" width="5.1796875" style="14" customWidth="1"/>
    <col min="56" max="57" width="7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77" width="7.54296875" style="14" customWidth="1"/>
    <col min="178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6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7.2695312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D1" s="51" t="s">
        <v>87</v>
      </c>
      <c r="E1" s="186" t="s">
        <v>88</v>
      </c>
      <c r="F1" s="187"/>
      <c r="G1" s="168" t="s">
        <v>90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70"/>
      <c r="AH1" s="191" t="s">
        <v>93</v>
      </c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/>
      <c r="BF1" s="191"/>
      <c r="BG1" s="191"/>
      <c r="BH1" s="192"/>
      <c r="BI1" s="165" t="s">
        <v>139</v>
      </c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7"/>
      <c r="CJ1" s="193" t="s">
        <v>137</v>
      </c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94"/>
      <c r="CX1" s="194"/>
      <c r="CY1" s="194"/>
      <c r="CZ1" s="194"/>
      <c r="DA1" s="194"/>
      <c r="DB1" s="194"/>
      <c r="DC1" s="194"/>
      <c r="DD1" s="194"/>
      <c r="DE1" s="194"/>
      <c r="DF1" s="194"/>
      <c r="DG1" s="194"/>
      <c r="DH1" s="194"/>
      <c r="DI1" s="194"/>
      <c r="DJ1" s="195"/>
      <c r="DK1" s="188" t="s">
        <v>138</v>
      </c>
      <c r="DL1" s="189"/>
      <c r="DM1" s="189"/>
      <c r="DN1" s="189"/>
      <c r="DO1" s="189"/>
      <c r="DP1" s="189"/>
      <c r="DQ1" s="189"/>
      <c r="DR1" s="189"/>
      <c r="DS1" s="189"/>
      <c r="DT1" s="189"/>
      <c r="DU1" s="189"/>
      <c r="DV1" s="189"/>
      <c r="DW1" s="189"/>
      <c r="DX1" s="189"/>
      <c r="DY1" s="189"/>
      <c r="DZ1" s="189"/>
      <c r="EA1" s="189"/>
      <c r="EB1" s="189"/>
      <c r="EC1" s="189"/>
      <c r="ED1" s="189"/>
      <c r="EE1" s="189"/>
      <c r="EF1" s="189"/>
      <c r="EG1" s="189"/>
      <c r="EH1" s="189"/>
      <c r="EI1" s="189"/>
      <c r="EJ1" s="189"/>
      <c r="EK1" s="190"/>
      <c r="EL1" s="180" t="s">
        <v>159</v>
      </c>
      <c r="EM1" s="181"/>
      <c r="EN1" s="181"/>
      <c r="EO1" s="181"/>
      <c r="EP1" s="181"/>
      <c r="EQ1" s="181"/>
      <c r="ER1" s="181"/>
      <c r="ES1" s="181"/>
      <c r="ET1" s="181"/>
      <c r="EU1" s="181"/>
      <c r="EV1" s="181"/>
      <c r="EW1" s="181"/>
      <c r="EX1" s="181"/>
      <c r="EY1" s="181"/>
      <c r="EZ1" s="181"/>
      <c r="FA1" s="181"/>
      <c r="FB1" s="181"/>
      <c r="FC1" s="181"/>
      <c r="FD1" s="181"/>
      <c r="FE1" s="181"/>
      <c r="FF1" s="181"/>
      <c r="FG1" s="181"/>
      <c r="FH1" s="181"/>
      <c r="FI1" s="181"/>
      <c r="FJ1" s="181"/>
      <c r="FK1" s="181"/>
      <c r="FL1" s="182"/>
      <c r="FM1" s="174" t="s">
        <v>118</v>
      </c>
      <c r="FN1" s="175"/>
      <c r="FO1" s="175"/>
      <c r="FP1" s="175"/>
      <c r="FQ1" s="175"/>
      <c r="FR1" s="175"/>
      <c r="FS1" s="175"/>
      <c r="FT1" s="175"/>
      <c r="FU1" s="175"/>
      <c r="FV1" s="175"/>
      <c r="FW1" s="175"/>
      <c r="FX1" s="175"/>
      <c r="FY1" s="175"/>
      <c r="FZ1" s="175"/>
      <c r="GA1" s="175"/>
      <c r="GB1" s="175"/>
      <c r="GC1" s="175"/>
      <c r="GD1" s="175"/>
      <c r="GE1" s="175"/>
      <c r="GF1" s="175"/>
      <c r="GG1" s="175"/>
      <c r="GH1" s="175"/>
      <c r="GI1" s="175"/>
      <c r="GJ1" s="175"/>
      <c r="GK1" s="175"/>
      <c r="GL1" s="175"/>
      <c r="GM1" s="176"/>
      <c r="GN1" s="157" t="s">
        <v>218</v>
      </c>
      <c r="GO1" s="158"/>
      <c r="GP1" s="158"/>
      <c r="GQ1" s="158"/>
      <c r="GR1" s="158"/>
      <c r="GS1" s="158"/>
      <c r="GT1" s="158"/>
      <c r="GU1" s="158"/>
      <c r="GV1" s="158"/>
      <c r="GW1" s="158"/>
      <c r="GX1" s="158"/>
      <c r="GY1" s="158"/>
      <c r="GZ1" s="158"/>
      <c r="HA1" s="158"/>
      <c r="HB1" s="158"/>
      <c r="HC1" s="158"/>
      <c r="HD1" s="158"/>
      <c r="HE1" s="158"/>
      <c r="HF1" s="158"/>
      <c r="HG1" s="158"/>
      <c r="HH1" s="158"/>
      <c r="HI1" s="158"/>
      <c r="HJ1" s="158"/>
      <c r="HK1" s="158"/>
      <c r="HL1" s="158"/>
      <c r="HM1" s="158"/>
      <c r="HN1" s="159"/>
      <c r="HO1" s="177" t="s">
        <v>140</v>
      </c>
      <c r="HP1" s="178"/>
      <c r="HQ1" s="178"/>
      <c r="HR1" s="178"/>
      <c r="HS1" s="178"/>
      <c r="HT1" s="178"/>
      <c r="HU1" s="178"/>
      <c r="HV1" s="178"/>
      <c r="HW1" s="178"/>
      <c r="HX1" s="178"/>
      <c r="HY1" s="178"/>
      <c r="HZ1" s="178"/>
      <c r="IA1" s="178"/>
      <c r="IB1" s="178"/>
      <c r="IC1" s="178"/>
      <c r="ID1" s="178"/>
      <c r="IE1" s="178"/>
      <c r="IF1" s="178"/>
      <c r="IG1" s="178"/>
      <c r="IH1" s="178"/>
      <c r="II1" s="178"/>
      <c r="IJ1" s="178"/>
      <c r="IK1" s="178"/>
      <c r="IL1" s="178"/>
      <c r="IM1" s="178"/>
      <c r="IN1" s="178"/>
      <c r="IO1" s="179"/>
      <c r="IP1" s="171" t="s">
        <v>146</v>
      </c>
      <c r="IQ1" s="172"/>
      <c r="IR1" s="172"/>
      <c r="IS1" s="172"/>
      <c r="IT1" s="172"/>
      <c r="IU1" s="172"/>
      <c r="IV1" s="172"/>
      <c r="IW1" s="172"/>
      <c r="IX1" s="172"/>
      <c r="IY1" s="172"/>
      <c r="IZ1" s="172"/>
      <c r="JA1" s="172"/>
      <c r="JB1" s="172"/>
      <c r="JC1" s="172"/>
      <c r="JD1" s="172"/>
      <c r="JE1" s="172"/>
      <c r="JF1" s="172"/>
      <c r="JG1" s="172"/>
      <c r="JH1" s="172"/>
      <c r="JI1" s="172"/>
      <c r="JJ1" s="172"/>
      <c r="JK1" s="172"/>
      <c r="JL1" s="172"/>
      <c r="JM1" s="172"/>
      <c r="JN1" s="172"/>
      <c r="JO1" s="172"/>
      <c r="JP1" s="173"/>
      <c r="JQ1" s="183" t="s">
        <v>167</v>
      </c>
      <c r="JR1" s="184"/>
      <c r="JS1" s="184"/>
      <c r="JT1" s="184"/>
      <c r="JU1" s="184"/>
      <c r="JV1" s="184"/>
      <c r="JW1" s="184"/>
      <c r="JX1" s="184"/>
      <c r="JY1" s="184"/>
      <c r="JZ1" s="184"/>
      <c r="KA1" s="184"/>
      <c r="KB1" s="184"/>
      <c r="KC1" s="184"/>
      <c r="KD1" s="184"/>
      <c r="KE1" s="184"/>
      <c r="KF1" s="184"/>
      <c r="KG1" s="184"/>
      <c r="KH1" s="184"/>
      <c r="KI1" s="184"/>
      <c r="KJ1" s="184"/>
      <c r="KK1" s="184"/>
      <c r="KL1" s="184"/>
      <c r="KM1" s="184"/>
      <c r="KN1" s="184"/>
      <c r="KO1" s="184"/>
      <c r="KP1" s="184"/>
      <c r="KQ1" s="185"/>
    </row>
    <row r="2" spans="1:303" ht="15" thickBot="1" x14ac:dyDescent="0.4">
      <c r="E2" s="160" t="s">
        <v>89</v>
      </c>
      <c r="F2" s="164"/>
      <c r="G2" s="160" t="s">
        <v>89</v>
      </c>
      <c r="H2" s="161"/>
      <c r="I2" s="162"/>
      <c r="J2" s="163" t="s">
        <v>50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2"/>
      <c r="V2" s="163" t="s">
        <v>51</v>
      </c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4"/>
      <c r="AH2" s="161" t="s">
        <v>89</v>
      </c>
      <c r="AI2" s="161"/>
      <c r="AJ2" s="162"/>
      <c r="AK2" s="163" t="s">
        <v>50</v>
      </c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2"/>
      <c r="AW2" s="163" t="s">
        <v>51</v>
      </c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4"/>
      <c r="BI2" s="160" t="s">
        <v>89</v>
      </c>
      <c r="BJ2" s="161"/>
      <c r="BK2" s="162"/>
      <c r="BL2" s="163" t="s">
        <v>50</v>
      </c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2"/>
      <c r="BX2" s="163" t="s">
        <v>51</v>
      </c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4"/>
      <c r="CJ2" s="160" t="s">
        <v>89</v>
      </c>
      <c r="CK2" s="161"/>
      <c r="CL2" s="162"/>
      <c r="CM2" s="163" t="s">
        <v>50</v>
      </c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2"/>
      <c r="CY2" s="163" t="s">
        <v>51</v>
      </c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4"/>
      <c r="DK2" s="160" t="s">
        <v>89</v>
      </c>
      <c r="DL2" s="161"/>
      <c r="DM2" s="162"/>
      <c r="DN2" s="163" t="s">
        <v>50</v>
      </c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2"/>
      <c r="DZ2" s="163" t="s">
        <v>51</v>
      </c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4"/>
      <c r="EL2" s="160" t="s">
        <v>89</v>
      </c>
      <c r="EM2" s="161"/>
      <c r="EN2" s="162"/>
      <c r="EO2" s="163" t="s">
        <v>50</v>
      </c>
      <c r="EP2" s="161"/>
      <c r="EQ2" s="161"/>
      <c r="ER2" s="161"/>
      <c r="ES2" s="161"/>
      <c r="ET2" s="161"/>
      <c r="EU2" s="161"/>
      <c r="EV2" s="161"/>
      <c r="EW2" s="161"/>
      <c r="EX2" s="161"/>
      <c r="EY2" s="161"/>
      <c r="EZ2" s="162"/>
      <c r="FA2" s="163" t="s">
        <v>51</v>
      </c>
      <c r="FB2" s="161"/>
      <c r="FC2" s="161"/>
      <c r="FD2" s="161"/>
      <c r="FE2" s="161"/>
      <c r="FF2" s="161"/>
      <c r="FG2" s="161"/>
      <c r="FH2" s="161"/>
      <c r="FI2" s="161"/>
      <c r="FJ2" s="161"/>
      <c r="FK2" s="161"/>
      <c r="FL2" s="164"/>
      <c r="FM2" s="160" t="s">
        <v>89</v>
      </c>
      <c r="FN2" s="161"/>
      <c r="FO2" s="162"/>
      <c r="FP2" s="163" t="s">
        <v>50</v>
      </c>
      <c r="FQ2" s="161"/>
      <c r="FR2" s="161"/>
      <c r="FS2" s="161"/>
      <c r="FT2" s="161"/>
      <c r="FU2" s="161"/>
      <c r="FV2" s="161"/>
      <c r="FW2" s="161"/>
      <c r="FX2" s="161"/>
      <c r="FY2" s="161"/>
      <c r="FZ2" s="161"/>
      <c r="GA2" s="162"/>
      <c r="GB2" s="163" t="s">
        <v>51</v>
      </c>
      <c r="GC2" s="161"/>
      <c r="GD2" s="161"/>
      <c r="GE2" s="161"/>
      <c r="GF2" s="161"/>
      <c r="GG2" s="161"/>
      <c r="GH2" s="161"/>
      <c r="GI2" s="161"/>
      <c r="GJ2" s="161"/>
      <c r="GK2" s="161"/>
      <c r="GL2" s="161"/>
      <c r="GM2" s="164"/>
      <c r="GN2" s="160" t="s">
        <v>89</v>
      </c>
      <c r="GO2" s="161"/>
      <c r="GP2" s="162"/>
      <c r="GQ2" s="163" t="s">
        <v>50</v>
      </c>
      <c r="GR2" s="161"/>
      <c r="GS2" s="161"/>
      <c r="GT2" s="161"/>
      <c r="GU2" s="161"/>
      <c r="GV2" s="161"/>
      <c r="GW2" s="161"/>
      <c r="GX2" s="161"/>
      <c r="GY2" s="161"/>
      <c r="GZ2" s="161"/>
      <c r="HA2" s="161"/>
      <c r="HB2" s="162"/>
      <c r="HC2" s="163" t="s">
        <v>51</v>
      </c>
      <c r="HD2" s="161"/>
      <c r="HE2" s="161"/>
      <c r="HF2" s="161"/>
      <c r="HG2" s="161"/>
      <c r="HH2" s="161"/>
      <c r="HI2" s="161"/>
      <c r="HJ2" s="161"/>
      <c r="HK2" s="161"/>
      <c r="HL2" s="161"/>
      <c r="HM2" s="161"/>
      <c r="HN2" s="164"/>
      <c r="HO2" s="160" t="s">
        <v>89</v>
      </c>
      <c r="HP2" s="161"/>
      <c r="HQ2" s="162"/>
      <c r="HR2" s="163" t="s">
        <v>50</v>
      </c>
      <c r="HS2" s="161"/>
      <c r="HT2" s="161"/>
      <c r="HU2" s="161"/>
      <c r="HV2" s="161"/>
      <c r="HW2" s="161"/>
      <c r="HX2" s="161"/>
      <c r="HY2" s="161"/>
      <c r="HZ2" s="161"/>
      <c r="IA2" s="161"/>
      <c r="IB2" s="161"/>
      <c r="IC2" s="162"/>
      <c r="ID2" s="163" t="s">
        <v>51</v>
      </c>
      <c r="IE2" s="161"/>
      <c r="IF2" s="161"/>
      <c r="IG2" s="161"/>
      <c r="IH2" s="161"/>
      <c r="II2" s="161"/>
      <c r="IJ2" s="161"/>
      <c r="IK2" s="161"/>
      <c r="IL2" s="161"/>
      <c r="IM2" s="161"/>
      <c r="IN2" s="161"/>
      <c r="IO2" s="164"/>
      <c r="IP2" s="160" t="s">
        <v>89</v>
      </c>
      <c r="IQ2" s="161"/>
      <c r="IR2" s="162"/>
      <c r="IS2" s="163" t="s">
        <v>50</v>
      </c>
      <c r="IT2" s="161"/>
      <c r="IU2" s="161"/>
      <c r="IV2" s="161"/>
      <c r="IW2" s="161"/>
      <c r="IX2" s="161"/>
      <c r="IY2" s="161"/>
      <c r="IZ2" s="161"/>
      <c r="JA2" s="161"/>
      <c r="JB2" s="161"/>
      <c r="JC2" s="161"/>
      <c r="JD2" s="162"/>
      <c r="JE2" s="163" t="s">
        <v>51</v>
      </c>
      <c r="JF2" s="161"/>
      <c r="JG2" s="161"/>
      <c r="JH2" s="161"/>
      <c r="JI2" s="161"/>
      <c r="JJ2" s="161"/>
      <c r="JK2" s="161"/>
      <c r="JL2" s="161"/>
      <c r="JM2" s="161"/>
      <c r="JN2" s="161"/>
      <c r="JO2" s="161"/>
      <c r="JP2" s="164"/>
      <c r="JQ2" s="160" t="s">
        <v>89</v>
      </c>
      <c r="JR2" s="161"/>
      <c r="JS2" s="162"/>
      <c r="JT2" s="163" t="s">
        <v>50</v>
      </c>
      <c r="JU2" s="161"/>
      <c r="JV2" s="161"/>
      <c r="JW2" s="161"/>
      <c r="JX2" s="161"/>
      <c r="JY2" s="161"/>
      <c r="JZ2" s="161"/>
      <c r="KA2" s="161"/>
      <c r="KB2" s="161"/>
      <c r="KC2" s="161"/>
      <c r="KD2" s="161"/>
      <c r="KE2" s="162"/>
      <c r="KF2" s="163" t="s">
        <v>51</v>
      </c>
      <c r="KG2" s="161"/>
      <c r="KH2" s="161"/>
      <c r="KI2" s="161"/>
      <c r="KJ2" s="161"/>
      <c r="KK2" s="161"/>
      <c r="KL2" s="161"/>
      <c r="KM2" s="161"/>
      <c r="KN2" s="161"/>
      <c r="KO2" s="161"/>
      <c r="KP2" s="161"/>
      <c r="KQ2" s="164"/>
    </row>
    <row r="3" spans="1:303" ht="15" thickBot="1" x14ac:dyDescent="0.4">
      <c r="B3" s="85" t="s">
        <v>0</v>
      </c>
      <c r="C3" s="86" t="s">
        <v>1</v>
      </c>
      <c r="D3" s="54" t="s">
        <v>134</v>
      </c>
      <c r="E3" s="90" t="s">
        <v>2</v>
      </c>
      <c r="F3" s="91" t="s">
        <v>3</v>
      </c>
      <c r="G3" s="92" t="s">
        <v>2</v>
      </c>
      <c r="H3" s="93" t="s">
        <v>10</v>
      </c>
      <c r="I3" s="93" t="s">
        <v>3</v>
      </c>
      <c r="J3" s="93" t="s">
        <v>95</v>
      </c>
      <c r="K3" s="93" t="s">
        <v>8</v>
      </c>
      <c r="L3" s="93" t="s">
        <v>9</v>
      </c>
      <c r="M3" s="93" t="s">
        <v>10</v>
      </c>
      <c r="N3" s="93" t="s">
        <v>91</v>
      </c>
      <c r="O3" s="93" t="s">
        <v>92</v>
      </c>
      <c r="P3" s="93" t="s">
        <v>97</v>
      </c>
      <c r="Q3" s="93" t="s">
        <v>98</v>
      </c>
      <c r="R3" s="93" t="s">
        <v>99</v>
      </c>
      <c r="S3" s="93" t="s">
        <v>100</v>
      </c>
      <c r="T3" s="93" t="s">
        <v>101</v>
      </c>
      <c r="U3" s="93" t="s">
        <v>102</v>
      </c>
      <c r="V3" s="93" t="s">
        <v>96</v>
      </c>
      <c r="W3" s="93" t="s">
        <v>8</v>
      </c>
      <c r="X3" s="93" t="s">
        <v>9</v>
      </c>
      <c r="Y3" s="93" t="s">
        <v>10</v>
      </c>
      <c r="Z3" s="93" t="s">
        <v>91</v>
      </c>
      <c r="AA3" s="93" t="s">
        <v>92</v>
      </c>
      <c r="AB3" s="93" t="s">
        <v>97</v>
      </c>
      <c r="AC3" s="93" t="s">
        <v>98</v>
      </c>
      <c r="AD3" s="93" t="s">
        <v>99</v>
      </c>
      <c r="AE3" s="93" t="s">
        <v>100</v>
      </c>
      <c r="AF3" s="93" t="s">
        <v>101</v>
      </c>
      <c r="AG3" s="94" t="s">
        <v>102</v>
      </c>
      <c r="AH3" s="150" t="s">
        <v>2</v>
      </c>
      <c r="AI3" s="93" t="s">
        <v>10</v>
      </c>
      <c r="AJ3" s="93" t="s">
        <v>3</v>
      </c>
      <c r="AK3" s="93" t="s">
        <v>95</v>
      </c>
      <c r="AL3" s="93" t="s">
        <v>8</v>
      </c>
      <c r="AM3" s="93" t="s">
        <v>9</v>
      </c>
      <c r="AN3" s="93" t="s">
        <v>10</v>
      </c>
      <c r="AO3" s="93" t="s">
        <v>91</v>
      </c>
      <c r="AP3" s="93" t="s">
        <v>92</v>
      </c>
      <c r="AQ3" s="93" t="s">
        <v>97</v>
      </c>
      <c r="AR3" s="93" t="s">
        <v>98</v>
      </c>
      <c r="AS3" s="93" t="s">
        <v>99</v>
      </c>
      <c r="AT3" s="93" t="s">
        <v>100</v>
      </c>
      <c r="AU3" s="93" t="s">
        <v>101</v>
      </c>
      <c r="AV3" s="93" t="s">
        <v>102</v>
      </c>
      <c r="AW3" s="93" t="s">
        <v>96</v>
      </c>
      <c r="AX3" s="93" t="s">
        <v>8</v>
      </c>
      <c r="AY3" s="93" t="s">
        <v>9</v>
      </c>
      <c r="AZ3" s="93" t="s">
        <v>10</v>
      </c>
      <c r="BA3" s="93" t="s">
        <v>91</v>
      </c>
      <c r="BB3" s="93" t="s">
        <v>92</v>
      </c>
      <c r="BC3" s="93" t="s">
        <v>97</v>
      </c>
      <c r="BD3" s="93" t="s">
        <v>98</v>
      </c>
      <c r="BE3" s="93" t="s">
        <v>99</v>
      </c>
      <c r="BF3" s="93" t="s">
        <v>100</v>
      </c>
      <c r="BG3" s="93" t="s">
        <v>101</v>
      </c>
      <c r="BH3" s="94" t="s">
        <v>102</v>
      </c>
      <c r="BI3" s="92" t="s">
        <v>2</v>
      </c>
      <c r="BJ3" s="93" t="s">
        <v>10</v>
      </c>
      <c r="BK3" s="93" t="s">
        <v>3</v>
      </c>
      <c r="BL3" s="93" t="s">
        <v>95</v>
      </c>
      <c r="BM3" s="93" t="s">
        <v>8</v>
      </c>
      <c r="BN3" s="93" t="s">
        <v>9</v>
      </c>
      <c r="BO3" s="93" t="s">
        <v>10</v>
      </c>
      <c r="BP3" s="93" t="s">
        <v>91</v>
      </c>
      <c r="BQ3" s="93" t="s">
        <v>92</v>
      </c>
      <c r="BR3" s="93" t="s">
        <v>97</v>
      </c>
      <c r="BS3" s="93" t="s">
        <v>98</v>
      </c>
      <c r="BT3" s="93" t="s">
        <v>99</v>
      </c>
      <c r="BU3" s="93" t="s">
        <v>100</v>
      </c>
      <c r="BV3" s="93" t="s">
        <v>101</v>
      </c>
      <c r="BW3" s="93" t="s">
        <v>102</v>
      </c>
      <c r="BX3" s="93" t="s">
        <v>96</v>
      </c>
      <c r="BY3" s="93" t="s">
        <v>8</v>
      </c>
      <c r="BZ3" s="93" t="s">
        <v>9</v>
      </c>
      <c r="CA3" s="93" t="s">
        <v>10</v>
      </c>
      <c r="CB3" s="93" t="s">
        <v>91</v>
      </c>
      <c r="CC3" s="93" t="s">
        <v>92</v>
      </c>
      <c r="CD3" s="93" t="s">
        <v>97</v>
      </c>
      <c r="CE3" s="93" t="s">
        <v>98</v>
      </c>
      <c r="CF3" s="93" t="s">
        <v>99</v>
      </c>
      <c r="CG3" s="93" t="s">
        <v>100</v>
      </c>
      <c r="CH3" s="93" t="s">
        <v>101</v>
      </c>
      <c r="CI3" s="94" t="s">
        <v>102</v>
      </c>
      <c r="CJ3" s="92" t="s">
        <v>2</v>
      </c>
      <c r="CK3" s="93" t="s">
        <v>10</v>
      </c>
      <c r="CL3" s="93" t="s">
        <v>3</v>
      </c>
      <c r="CM3" s="93" t="s">
        <v>95</v>
      </c>
      <c r="CN3" s="93" t="s">
        <v>8</v>
      </c>
      <c r="CO3" s="93" t="s">
        <v>9</v>
      </c>
      <c r="CP3" s="93" t="s">
        <v>10</v>
      </c>
      <c r="CQ3" s="93" t="s">
        <v>91</v>
      </c>
      <c r="CR3" s="93" t="s">
        <v>92</v>
      </c>
      <c r="CS3" s="93" t="s">
        <v>97</v>
      </c>
      <c r="CT3" s="93" t="s">
        <v>98</v>
      </c>
      <c r="CU3" s="93" t="s">
        <v>99</v>
      </c>
      <c r="CV3" s="93" t="s">
        <v>100</v>
      </c>
      <c r="CW3" s="93" t="s">
        <v>101</v>
      </c>
      <c r="CX3" s="93" t="s">
        <v>102</v>
      </c>
      <c r="CY3" s="93" t="s">
        <v>96</v>
      </c>
      <c r="CZ3" s="93" t="s">
        <v>8</v>
      </c>
      <c r="DA3" s="93" t="s">
        <v>9</v>
      </c>
      <c r="DB3" s="93" t="s">
        <v>10</v>
      </c>
      <c r="DC3" s="93" t="s">
        <v>91</v>
      </c>
      <c r="DD3" s="93" t="s">
        <v>92</v>
      </c>
      <c r="DE3" s="93" t="s">
        <v>97</v>
      </c>
      <c r="DF3" s="93" t="s">
        <v>98</v>
      </c>
      <c r="DG3" s="93" t="s">
        <v>99</v>
      </c>
      <c r="DH3" s="93" t="s">
        <v>100</v>
      </c>
      <c r="DI3" s="93" t="s">
        <v>101</v>
      </c>
      <c r="DJ3" s="94" t="s">
        <v>102</v>
      </c>
      <c r="DK3" s="92" t="s">
        <v>2</v>
      </c>
      <c r="DL3" s="93" t="s">
        <v>10</v>
      </c>
      <c r="DM3" s="93" t="s">
        <v>3</v>
      </c>
      <c r="DN3" s="93" t="s">
        <v>95</v>
      </c>
      <c r="DO3" s="93" t="s">
        <v>8</v>
      </c>
      <c r="DP3" s="93" t="s">
        <v>9</v>
      </c>
      <c r="DQ3" s="93" t="s">
        <v>10</v>
      </c>
      <c r="DR3" s="93" t="s">
        <v>91</v>
      </c>
      <c r="DS3" s="93" t="s">
        <v>92</v>
      </c>
      <c r="DT3" s="93" t="s">
        <v>97</v>
      </c>
      <c r="DU3" s="93" t="s">
        <v>98</v>
      </c>
      <c r="DV3" s="93" t="s">
        <v>99</v>
      </c>
      <c r="DW3" s="93" t="s">
        <v>100</v>
      </c>
      <c r="DX3" s="93" t="s">
        <v>101</v>
      </c>
      <c r="DY3" s="93" t="s">
        <v>102</v>
      </c>
      <c r="DZ3" s="93" t="s">
        <v>96</v>
      </c>
      <c r="EA3" s="93" t="s">
        <v>8</v>
      </c>
      <c r="EB3" s="93" t="s">
        <v>9</v>
      </c>
      <c r="EC3" s="93" t="s">
        <v>10</v>
      </c>
      <c r="ED3" s="93" t="s">
        <v>91</v>
      </c>
      <c r="EE3" s="93" t="s">
        <v>92</v>
      </c>
      <c r="EF3" s="93" t="s">
        <v>97</v>
      </c>
      <c r="EG3" s="93" t="s">
        <v>98</v>
      </c>
      <c r="EH3" s="93" t="s">
        <v>99</v>
      </c>
      <c r="EI3" s="93" t="s">
        <v>100</v>
      </c>
      <c r="EJ3" s="93" t="s">
        <v>101</v>
      </c>
      <c r="EK3" s="94" t="s">
        <v>102</v>
      </c>
      <c r="EL3" s="92" t="s">
        <v>2</v>
      </c>
      <c r="EM3" s="93" t="s">
        <v>10</v>
      </c>
      <c r="EN3" s="93" t="s">
        <v>3</v>
      </c>
      <c r="EO3" s="93" t="s">
        <v>95</v>
      </c>
      <c r="EP3" s="93" t="s">
        <v>8</v>
      </c>
      <c r="EQ3" s="93" t="s">
        <v>9</v>
      </c>
      <c r="ER3" s="93" t="s">
        <v>10</v>
      </c>
      <c r="ES3" s="93" t="s">
        <v>91</v>
      </c>
      <c r="ET3" s="93" t="s">
        <v>92</v>
      </c>
      <c r="EU3" s="93" t="s">
        <v>97</v>
      </c>
      <c r="EV3" s="93" t="s">
        <v>98</v>
      </c>
      <c r="EW3" s="93" t="s">
        <v>99</v>
      </c>
      <c r="EX3" s="93" t="s">
        <v>100</v>
      </c>
      <c r="EY3" s="93" t="s">
        <v>101</v>
      </c>
      <c r="EZ3" s="93" t="s">
        <v>102</v>
      </c>
      <c r="FA3" s="93" t="s">
        <v>96</v>
      </c>
      <c r="FB3" s="93" t="s">
        <v>8</v>
      </c>
      <c r="FC3" s="93" t="s">
        <v>9</v>
      </c>
      <c r="FD3" s="93" t="s">
        <v>10</v>
      </c>
      <c r="FE3" s="93" t="s">
        <v>91</v>
      </c>
      <c r="FF3" s="93" t="s">
        <v>92</v>
      </c>
      <c r="FG3" s="93" t="s">
        <v>97</v>
      </c>
      <c r="FH3" s="93" t="s">
        <v>98</v>
      </c>
      <c r="FI3" s="93" t="s">
        <v>99</v>
      </c>
      <c r="FJ3" s="93" t="s">
        <v>100</v>
      </c>
      <c r="FK3" s="93" t="s">
        <v>101</v>
      </c>
      <c r="FL3" s="94" t="s">
        <v>102</v>
      </c>
      <c r="FM3" s="92" t="s">
        <v>2</v>
      </c>
      <c r="FN3" s="93" t="s">
        <v>10</v>
      </c>
      <c r="FO3" s="93" t="s">
        <v>3</v>
      </c>
      <c r="FP3" s="93" t="s">
        <v>95</v>
      </c>
      <c r="FQ3" s="93" t="s">
        <v>8</v>
      </c>
      <c r="FR3" s="93" t="s">
        <v>9</v>
      </c>
      <c r="FS3" s="93" t="s">
        <v>10</v>
      </c>
      <c r="FT3" s="93" t="s">
        <v>91</v>
      </c>
      <c r="FU3" s="93" t="s">
        <v>92</v>
      </c>
      <c r="FV3" s="93" t="s">
        <v>97</v>
      </c>
      <c r="FW3" s="93" t="s">
        <v>98</v>
      </c>
      <c r="FX3" s="93" t="s">
        <v>99</v>
      </c>
      <c r="FY3" s="93" t="s">
        <v>100</v>
      </c>
      <c r="FZ3" s="93" t="s">
        <v>101</v>
      </c>
      <c r="GA3" s="93" t="s">
        <v>102</v>
      </c>
      <c r="GB3" s="93" t="s">
        <v>96</v>
      </c>
      <c r="GC3" s="93" t="s">
        <v>8</v>
      </c>
      <c r="GD3" s="93" t="s">
        <v>9</v>
      </c>
      <c r="GE3" s="93" t="s">
        <v>10</v>
      </c>
      <c r="GF3" s="93" t="s">
        <v>91</v>
      </c>
      <c r="GG3" s="93" t="s">
        <v>92</v>
      </c>
      <c r="GH3" s="93" t="s">
        <v>97</v>
      </c>
      <c r="GI3" s="93" t="s">
        <v>98</v>
      </c>
      <c r="GJ3" s="93" t="s">
        <v>99</v>
      </c>
      <c r="GK3" s="93" t="s">
        <v>100</v>
      </c>
      <c r="GL3" s="93" t="s">
        <v>101</v>
      </c>
      <c r="GM3" s="94" t="s">
        <v>102</v>
      </c>
      <c r="GN3" s="92" t="s">
        <v>2</v>
      </c>
      <c r="GO3" s="93" t="s">
        <v>10</v>
      </c>
      <c r="GP3" s="93" t="s">
        <v>3</v>
      </c>
      <c r="GQ3" s="93" t="s">
        <v>95</v>
      </c>
      <c r="GR3" s="93" t="s">
        <v>8</v>
      </c>
      <c r="GS3" s="93" t="s">
        <v>9</v>
      </c>
      <c r="GT3" s="93" t="s">
        <v>10</v>
      </c>
      <c r="GU3" s="93" t="s">
        <v>91</v>
      </c>
      <c r="GV3" s="93" t="s">
        <v>92</v>
      </c>
      <c r="GW3" s="93" t="s">
        <v>97</v>
      </c>
      <c r="GX3" s="93" t="s">
        <v>98</v>
      </c>
      <c r="GY3" s="93" t="s">
        <v>99</v>
      </c>
      <c r="GZ3" s="93" t="s">
        <v>100</v>
      </c>
      <c r="HA3" s="93" t="s">
        <v>101</v>
      </c>
      <c r="HB3" s="93" t="s">
        <v>102</v>
      </c>
      <c r="HC3" s="93" t="s">
        <v>96</v>
      </c>
      <c r="HD3" s="93" t="s">
        <v>8</v>
      </c>
      <c r="HE3" s="93" t="s">
        <v>9</v>
      </c>
      <c r="HF3" s="93" t="s">
        <v>10</v>
      </c>
      <c r="HG3" s="93" t="s">
        <v>91</v>
      </c>
      <c r="HH3" s="93" t="s">
        <v>92</v>
      </c>
      <c r="HI3" s="93" t="s">
        <v>97</v>
      </c>
      <c r="HJ3" s="93" t="s">
        <v>98</v>
      </c>
      <c r="HK3" s="93" t="s">
        <v>99</v>
      </c>
      <c r="HL3" s="93" t="s">
        <v>100</v>
      </c>
      <c r="HM3" s="93" t="s">
        <v>101</v>
      </c>
      <c r="HN3" s="94" t="s">
        <v>102</v>
      </c>
      <c r="HO3" s="92" t="s">
        <v>2</v>
      </c>
      <c r="HP3" s="93" t="s">
        <v>10</v>
      </c>
      <c r="HQ3" s="93" t="s">
        <v>3</v>
      </c>
      <c r="HR3" s="93" t="s">
        <v>95</v>
      </c>
      <c r="HS3" s="93" t="s">
        <v>8</v>
      </c>
      <c r="HT3" s="93" t="s">
        <v>9</v>
      </c>
      <c r="HU3" s="93" t="s">
        <v>10</v>
      </c>
      <c r="HV3" s="93" t="s">
        <v>91</v>
      </c>
      <c r="HW3" s="93" t="s">
        <v>92</v>
      </c>
      <c r="HX3" s="93" t="s">
        <v>97</v>
      </c>
      <c r="HY3" s="93" t="s">
        <v>98</v>
      </c>
      <c r="HZ3" s="93" t="s">
        <v>99</v>
      </c>
      <c r="IA3" s="93" t="s">
        <v>100</v>
      </c>
      <c r="IB3" s="93" t="s">
        <v>101</v>
      </c>
      <c r="IC3" s="93" t="s">
        <v>102</v>
      </c>
      <c r="ID3" s="93" t="s">
        <v>96</v>
      </c>
      <c r="IE3" s="93" t="s">
        <v>8</v>
      </c>
      <c r="IF3" s="93" t="s">
        <v>9</v>
      </c>
      <c r="IG3" s="93" t="s">
        <v>10</v>
      </c>
      <c r="IH3" s="93" t="s">
        <v>91</v>
      </c>
      <c r="II3" s="93" t="s">
        <v>92</v>
      </c>
      <c r="IJ3" s="93" t="s">
        <v>97</v>
      </c>
      <c r="IK3" s="93" t="s">
        <v>98</v>
      </c>
      <c r="IL3" s="93" t="s">
        <v>99</v>
      </c>
      <c r="IM3" s="93" t="s">
        <v>100</v>
      </c>
      <c r="IN3" s="93" t="s">
        <v>101</v>
      </c>
      <c r="IO3" s="94" t="s">
        <v>102</v>
      </c>
      <c r="IP3" s="92" t="s">
        <v>2</v>
      </c>
      <c r="IQ3" s="93" t="s">
        <v>10</v>
      </c>
      <c r="IR3" s="93" t="s">
        <v>3</v>
      </c>
      <c r="IS3" s="93" t="s">
        <v>95</v>
      </c>
      <c r="IT3" s="93" t="s">
        <v>8</v>
      </c>
      <c r="IU3" s="93" t="s">
        <v>9</v>
      </c>
      <c r="IV3" s="93" t="s">
        <v>10</v>
      </c>
      <c r="IW3" s="93" t="s">
        <v>91</v>
      </c>
      <c r="IX3" s="93" t="s">
        <v>92</v>
      </c>
      <c r="IY3" s="93" t="s">
        <v>97</v>
      </c>
      <c r="IZ3" s="93" t="s">
        <v>98</v>
      </c>
      <c r="JA3" s="93" t="s">
        <v>99</v>
      </c>
      <c r="JB3" s="93" t="s">
        <v>100</v>
      </c>
      <c r="JC3" s="93" t="s">
        <v>101</v>
      </c>
      <c r="JD3" s="93" t="s">
        <v>102</v>
      </c>
      <c r="JE3" s="93" t="s">
        <v>96</v>
      </c>
      <c r="JF3" s="93" t="s">
        <v>8</v>
      </c>
      <c r="JG3" s="93" t="s">
        <v>9</v>
      </c>
      <c r="JH3" s="93" t="s">
        <v>10</v>
      </c>
      <c r="JI3" s="93" t="s">
        <v>91</v>
      </c>
      <c r="JJ3" s="93" t="s">
        <v>92</v>
      </c>
      <c r="JK3" s="93" t="s">
        <v>97</v>
      </c>
      <c r="JL3" s="93" t="s">
        <v>98</v>
      </c>
      <c r="JM3" s="93" t="s">
        <v>99</v>
      </c>
      <c r="JN3" s="93" t="s">
        <v>100</v>
      </c>
      <c r="JO3" s="93" t="s">
        <v>101</v>
      </c>
      <c r="JP3" s="94" t="s">
        <v>102</v>
      </c>
      <c r="JQ3" s="92" t="s">
        <v>2</v>
      </c>
      <c r="JR3" s="93" t="s">
        <v>10</v>
      </c>
      <c r="JS3" s="93" t="s">
        <v>3</v>
      </c>
      <c r="JT3" s="93" t="s">
        <v>95</v>
      </c>
      <c r="JU3" s="93" t="s">
        <v>8</v>
      </c>
      <c r="JV3" s="93" t="s">
        <v>9</v>
      </c>
      <c r="JW3" s="93" t="s">
        <v>10</v>
      </c>
      <c r="JX3" s="93" t="s">
        <v>91</v>
      </c>
      <c r="JY3" s="93" t="s">
        <v>92</v>
      </c>
      <c r="JZ3" s="93" t="s">
        <v>97</v>
      </c>
      <c r="KA3" s="93" t="s">
        <v>98</v>
      </c>
      <c r="KB3" s="93" t="s">
        <v>99</v>
      </c>
      <c r="KC3" s="93" t="s">
        <v>100</v>
      </c>
      <c r="KD3" s="93" t="s">
        <v>101</v>
      </c>
      <c r="KE3" s="93" t="s">
        <v>102</v>
      </c>
      <c r="KF3" s="93" t="s">
        <v>96</v>
      </c>
      <c r="KG3" s="93" t="s">
        <v>8</v>
      </c>
      <c r="KH3" s="93" t="s">
        <v>9</v>
      </c>
      <c r="KI3" s="93" t="s">
        <v>10</v>
      </c>
      <c r="KJ3" s="93" t="s">
        <v>91</v>
      </c>
      <c r="KK3" s="93" t="s">
        <v>92</v>
      </c>
      <c r="KL3" s="93" t="s">
        <v>97</v>
      </c>
      <c r="KM3" s="93" t="s">
        <v>98</v>
      </c>
      <c r="KN3" s="93" t="s">
        <v>99</v>
      </c>
      <c r="KO3" s="93" t="s">
        <v>100</v>
      </c>
      <c r="KP3" s="93" t="s">
        <v>101</v>
      </c>
      <c r="KQ3" s="94" t="s">
        <v>102</v>
      </c>
    </row>
    <row r="4" spans="1:303" x14ac:dyDescent="0.35">
      <c r="A4" s="142" t="str">
        <f>Neu!B4</f>
        <v>B51s</v>
      </c>
      <c r="B4" s="143" t="s">
        <v>164</v>
      </c>
      <c r="C4" s="20"/>
      <c r="D4" s="45">
        <v>2E-3</v>
      </c>
      <c r="E4" s="144">
        <v>4.5999999999999999E-2</v>
      </c>
      <c r="F4" s="146">
        <v>-63</v>
      </c>
      <c r="G4" s="144">
        <v>50</v>
      </c>
      <c r="H4" s="145">
        <v>3</v>
      </c>
      <c r="I4" s="145">
        <v>60</v>
      </c>
      <c r="J4" s="145">
        <v>0</v>
      </c>
      <c r="K4" s="145">
        <v>-16.600000000000001</v>
      </c>
      <c r="L4" s="145">
        <v>6.66</v>
      </c>
      <c r="M4" s="145">
        <v>1</v>
      </c>
      <c r="N4" s="145">
        <v>3.5000000000000003E-2</v>
      </c>
      <c r="O4" s="145">
        <v>2.4000000000000001E-4</v>
      </c>
      <c r="P4" s="145">
        <v>-30</v>
      </c>
      <c r="Q4" s="145">
        <v>5.3820000000000006</v>
      </c>
      <c r="R4" s="145">
        <v>1</v>
      </c>
      <c r="S4" s="145">
        <v>-17</v>
      </c>
      <c r="T4" s="145">
        <v>-9.9</v>
      </c>
      <c r="U4" s="145">
        <v>1</v>
      </c>
      <c r="V4" s="145">
        <v>0</v>
      </c>
      <c r="W4" s="145">
        <v>-24</v>
      </c>
      <c r="X4" s="145">
        <v>3.8070000000000004</v>
      </c>
      <c r="Y4" s="145">
        <v>1</v>
      </c>
      <c r="Z4" s="145">
        <v>4.2000000000000003E-2</v>
      </c>
      <c r="AA4" s="145">
        <v>1E-3</v>
      </c>
      <c r="AB4" s="145">
        <v>-32</v>
      </c>
      <c r="AC4" s="145">
        <v>14.472</v>
      </c>
      <c r="AD4" s="145">
        <v>1</v>
      </c>
      <c r="AE4" s="145"/>
      <c r="AF4" s="145"/>
      <c r="AG4" s="146"/>
      <c r="AH4" s="17">
        <v>1.9</v>
      </c>
      <c r="AI4" s="64">
        <v>1</v>
      </c>
      <c r="AJ4" s="64">
        <v>-70</v>
      </c>
      <c r="AK4" s="64">
        <v>0</v>
      </c>
      <c r="AL4" s="64">
        <v>2</v>
      </c>
      <c r="AM4" s="64">
        <v>8</v>
      </c>
      <c r="AN4" s="64">
        <v>1</v>
      </c>
      <c r="AO4" s="64">
        <v>0.01</v>
      </c>
      <c r="AP4" s="64"/>
      <c r="AQ4" s="64"/>
      <c r="AR4" s="64"/>
      <c r="AS4" s="64"/>
      <c r="AT4" s="64"/>
      <c r="AU4" s="64"/>
      <c r="AV4" s="64"/>
      <c r="AW4" s="64">
        <v>0.36399999999999999</v>
      </c>
      <c r="AX4" s="64">
        <v>-10.5</v>
      </c>
      <c r="AY4" s="64">
        <v>4.5999999999999996</v>
      </c>
      <c r="AZ4" s="64">
        <v>1</v>
      </c>
      <c r="BA4" s="64">
        <v>3</v>
      </c>
      <c r="BB4" s="64">
        <v>0.26</v>
      </c>
      <c r="BC4" s="64">
        <v>-14</v>
      </c>
      <c r="BD4" s="64">
        <v>7</v>
      </c>
      <c r="BE4" s="64">
        <v>1</v>
      </c>
      <c r="BF4" s="64"/>
      <c r="BG4" s="64"/>
      <c r="BH4" s="64"/>
      <c r="BI4" s="64">
        <v>1.4</v>
      </c>
      <c r="BJ4" s="64">
        <v>1</v>
      </c>
      <c r="BK4" s="64">
        <v>-70</v>
      </c>
      <c r="BL4" s="64">
        <v>0</v>
      </c>
      <c r="BM4" s="64">
        <v>-29</v>
      </c>
      <c r="BN4" s="64">
        <v>5.6</v>
      </c>
      <c r="BO4" s="64">
        <v>1</v>
      </c>
      <c r="BP4" s="64">
        <v>0.03</v>
      </c>
      <c r="BQ4" s="64">
        <v>1E-3</v>
      </c>
      <c r="BR4" s="64">
        <v>-30</v>
      </c>
      <c r="BS4" s="64">
        <v>5.7</v>
      </c>
      <c r="BT4" s="64">
        <v>1</v>
      </c>
      <c r="BU4" s="64"/>
      <c r="BV4" s="64"/>
      <c r="BW4" s="64"/>
      <c r="BX4" s="64">
        <v>0</v>
      </c>
      <c r="BY4" s="64">
        <v>-56</v>
      </c>
      <c r="BZ4" s="64">
        <v>4.3</v>
      </c>
      <c r="CA4" s="64">
        <v>1</v>
      </c>
      <c r="CB4" s="64">
        <v>3.5000000000000003E-2</v>
      </c>
      <c r="CC4" s="64"/>
      <c r="CD4" s="64"/>
      <c r="CE4" s="64"/>
      <c r="CF4" s="64"/>
      <c r="CG4" s="64"/>
      <c r="CH4" s="64"/>
      <c r="CI4" s="64"/>
      <c r="CJ4" s="64">
        <v>0.23</v>
      </c>
      <c r="CK4" s="64">
        <v>1</v>
      </c>
      <c r="CL4" s="64">
        <v>60</v>
      </c>
      <c r="CM4" s="64">
        <v>0</v>
      </c>
      <c r="CN4" s="64">
        <v>-8</v>
      </c>
      <c r="CO4" s="64">
        <v>7.89</v>
      </c>
      <c r="CP4" s="64">
        <v>1</v>
      </c>
      <c r="CQ4" s="64">
        <v>0.06</v>
      </c>
      <c r="CR4" s="64">
        <v>2E-3</v>
      </c>
      <c r="CS4" s="64">
        <v>-15</v>
      </c>
      <c r="CT4" s="64">
        <v>-13</v>
      </c>
      <c r="CU4" s="64">
        <v>1</v>
      </c>
      <c r="CV4" s="64">
        <v>5</v>
      </c>
      <c r="CW4" s="64">
        <v>13</v>
      </c>
      <c r="CX4" s="64">
        <v>1</v>
      </c>
      <c r="CY4" s="64">
        <v>0</v>
      </c>
      <c r="CZ4" s="64">
        <v>-22</v>
      </c>
      <c r="DA4" s="64">
        <v>0.95</v>
      </c>
      <c r="DB4" s="64">
        <v>1</v>
      </c>
      <c r="DC4" s="64">
        <v>0.12</v>
      </c>
      <c r="DD4" s="64"/>
      <c r="DE4" s="64"/>
      <c r="DF4" s="64"/>
      <c r="DG4" s="64"/>
      <c r="DH4" s="64"/>
      <c r="DI4" s="64"/>
      <c r="DJ4" s="64"/>
      <c r="DK4" s="64">
        <v>0.4</v>
      </c>
      <c r="DL4" s="64">
        <v>1</v>
      </c>
      <c r="DM4" s="64">
        <v>60</v>
      </c>
      <c r="DN4" s="64">
        <v>0</v>
      </c>
      <c r="DO4" s="64">
        <v>2</v>
      </c>
      <c r="DP4" s="64">
        <v>7.25</v>
      </c>
      <c r="DQ4" s="64">
        <v>1</v>
      </c>
      <c r="DR4" s="64">
        <v>0.03</v>
      </c>
      <c r="DS4" s="64">
        <v>1E-3</v>
      </c>
      <c r="DT4" s="64">
        <v>-10</v>
      </c>
      <c r="DU4" s="64">
        <v>-5.3</v>
      </c>
      <c r="DV4" s="64">
        <v>1</v>
      </c>
      <c r="DW4" s="64">
        <v>14</v>
      </c>
      <c r="DX4" s="64">
        <v>5.6</v>
      </c>
      <c r="DY4" s="64">
        <v>1</v>
      </c>
      <c r="DZ4" s="64">
        <v>0</v>
      </c>
      <c r="EA4" s="64">
        <v>-18.2</v>
      </c>
      <c r="EB4" s="64">
        <v>1.5</v>
      </c>
      <c r="EC4" s="64">
        <v>1</v>
      </c>
      <c r="ED4" s="64">
        <v>0.08</v>
      </c>
      <c r="EE4" s="64">
        <v>3.7999999999999999E-2</v>
      </c>
      <c r="EF4" s="64">
        <v>0</v>
      </c>
      <c r="EG4" s="64">
        <v>5</v>
      </c>
      <c r="EH4" s="64">
        <v>1</v>
      </c>
      <c r="EI4" s="64"/>
      <c r="EJ4" s="64"/>
      <c r="EK4" s="45"/>
      <c r="EL4" s="144"/>
      <c r="EM4" s="145"/>
      <c r="EN4" s="145"/>
      <c r="EO4" s="145"/>
      <c r="EP4" s="145"/>
      <c r="EQ4" s="145"/>
      <c r="ER4" s="145"/>
      <c r="ES4" s="145"/>
      <c r="ET4" s="145"/>
      <c r="EU4" s="145"/>
      <c r="EV4" s="145"/>
      <c r="EW4" s="145"/>
      <c r="EX4" s="145"/>
      <c r="EY4" s="145"/>
      <c r="EZ4" s="145"/>
      <c r="FA4" s="145"/>
      <c r="FB4" s="145"/>
      <c r="FC4" s="145"/>
      <c r="FD4" s="145"/>
      <c r="FE4" s="145"/>
      <c r="FF4" s="145"/>
      <c r="FG4" s="145"/>
      <c r="FH4" s="145"/>
      <c r="FI4" s="145"/>
      <c r="FJ4" s="145"/>
      <c r="FK4" s="145"/>
      <c r="FL4" s="146"/>
      <c r="FM4" s="17">
        <v>2.2999999999999998</v>
      </c>
      <c r="FN4" s="64">
        <v>1</v>
      </c>
      <c r="FO4" s="64">
        <v>-70</v>
      </c>
      <c r="FP4" s="64">
        <v>0</v>
      </c>
      <c r="FQ4" s="64">
        <v>-8</v>
      </c>
      <c r="FR4" s="64">
        <v>8</v>
      </c>
      <c r="FS4" s="64">
        <v>1</v>
      </c>
      <c r="FT4" s="64">
        <v>8.9999999999999993E-3</v>
      </c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45"/>
      <c r="GN4" s="144">
        <v>0.15</v>
      </c>
      <c r="GO4" s="145">
        <v>1</v>
      </c>
      <c r="GP4" s="145">
        <v>-70</v>
      </c>
      <c r="GQ4" s="145">
        <v>0</v>
      </c>
      <c r="GR4" s="145">
        <v>12</v>
      </c>
      <c r="GS4" s="145">
        <v>0.24</v>
      </c>
      <c r="GT4" s="145">
        <v>1</v>
      </c>
      <c r="GU4" s="145">
        <v>0.01</v>
      </c>
      <c r="GV4" s="145"/>
      <c r="GW4" s="145"/>
      <c r="GX4" s="145"/>
      <c r="GY4" s="145"/>
      <c r="GZ4" s="145"/>
      <c r="HA4" s="145"/>
      <c r="HB4" s="145"/>
      <c r="HC4" s="145">
        <v>0.1</v>
      </c>
      <c r="HD4" s="145">
        <v>-35</v>
      </c>
      <c r="HE4" s="145">
        <v>5</v>
      </c>
      <c r="HF4" s="145">
        <v>1</v>
      </c>
      <c r="HG4" s="145">
        <v>0.8</v>
      </c>
      <c r="HH4" s="145">
        <v>0.08</v>
      </c>
      <c r="HI4" s="145">
        <v>18</v>
      </c>
      <c r="HJ4" s="145">
        <v>-2</v>
      </c>
      <c r="HK4" s="145">
        <v>1</v>
      </c>
      <c r="HL4" s="145">
        <v>20</v>
      </c>
      <c r="HM4" s="145">
        <v>2</v>
      </c>
      <c r="HN4" s="146">
        <v>1</v>
      </c>
      <c r="HO4" s="144">
        <v>0.1</v>
      </c>
      <c r="HP4" s="145">
        <v>1</v>
      </c>
      <c r="HQ4" s="145">
        <v>60</v>
      </c>
      <c r="HR4" s="145">
        <v>0</v>
      </c>
      <c r="HS4" s="145">
        <v>-48</v>
      </c>
      <c r="HT4" s="145">
        <v>3</v>
      </c>
      <c r="HU4" s="145">
        <v>1</v>
      </c>
      <c r="HV4" s="145">
        <v>0.01</v>
      </c>
      <c r="HW4" s="145"/>
      <c r="HX4" s="145"/>
      <c r="HY4" s="145"/>
      <c r="HZ4" s="145"/>
      <c r="IA4" s="145"/>
      <c r="IB4" s="145"/>
      <c r="IC4" s="145"/>
      <c r="ID4" s="145">
        <v>0.6</v>
      </c>
      <c r="IE4" s="145">
        <v>-62</v>
      </c>
      <c r="IF4" s="145">
        <v>1</v>
      </c>
      <c r="IG4" s="145">
        <v>1</v>
      </c>
      <c r="IH4" s="151">
        <v>2.5</v>
      </c>
      <c r="II4" s="151">
        <v>0.25</v>
      </c>
      <c r="IJ4" s="151">
        <v>-55</v>
      </c>
      <c r="IK4" s="151">
        <v>-1.5</v>
      </c>
      <c r="IL4" s="151">
        <v>1</v>
      </c>
      <c r="IM4" s="151">
        <v>-42</v>
      </c>
      <c r="IN4" s="151">
        <v>1.5</v>
      </c>
      <c r="IO4" s="152">
        <v>1</v>
      </c>
      <c r="IP4" s="17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64"/>
      <c r="JO4" s="64"/>
      <c r="JP4" s="64"/>
      <c r="JQ4" s="39"/>
      <c r="JR4" s="64"/>
      <c r="JS4" s="64"/>
      <c r="JT4" s="64"/>
      <c r="JU4" s="64"/>
      <c r="JV4" s="64"/>
      <c r="JW4" s="64"/>
      <c r="JX4" s="64"/>
      <c r="JY4" s="64"/>
      <c r="JZ4" s="64"/>
      <c r="KA4" s="64"/>
      <c r="KB4" s="64"/>
      <c r="KC4" s="64"/>
      <c r="KD4" s="64"/>
      <c r="KE4" s="64"/>
      <c r="KF4" s="64"/>
      <c r="KG4" s="64"/>
      <c r="KH4" s="64"/>
      <c r="KI4" s="64"/>
      <c r="KJ4" s="64"/>
      <c r="KK4" s="64"/>
      <c r="KL4" s="64"/>
      <c r="KM4" s="64"/>
      <c r="KN4" s="64"/>
      <c r="KO4" s="64"/>
      <c r="KP4" s="64"/>
      <c r="KQ4" s="16"/>
    </row>
    <row r="5" spans="1:303" x14ac:dyDescent="0.35">
      <c r="A5" s="142" t="str">
        <f>Neu!B5</f>
        <v>B64s</v>
      </c>
      <c r="B5" s="143" t="s">
        <v>166</v>
      </c>
      <c r="C5" s="20"/>
      <c r="D5" s="45">
        <v>2.3E-3</v>
      </c>
      <c r="E5" s="39">
        <v>6.5000000000000002E-2</v>
      </c>
      <c r="F5" s="16">
        <v>-63</v>
      </c>
      <c r="G5" s="39">
        <f>G4</f>
        <v>50</v>
      </c>
      <c r="H5" s="64">
        <v>3</v>
      </c>
      <c r="I5" s="64">
        <v>60</v>
      </c>
      <c r="J5" s="64">
        <v>0</v>
      </c>
      <c r="K5" s="64">
        <f>K4</f>
        <v>-16.600000000000001</v>
      </c>
      <c r="L5" s="64">
        <v>6.66</v>
      </c>
      <c r="M5" s="64">
        <v>1</v>
      </c>
      <c r="N5" s="64">
        <f>N4</f>
        <v>3.5000000000000003E-2</v>
      </c>
      <c r="O5" s="64">
        <v>2.4000000000000001E-4</v>
      </c>
      <c r="P5" s="64">
        <f>P4</f>
        <v>-30</v>
      </c>
      <c r="Q5" s="64">
        <v>5.3820000000000006</v>
      </c>
      <c r="R5" s="64">
        <v>1</v>
      </c>
      <c r="S5" s="64">
        <f>S4</f>
        <v>-17</v>
      </c>
      <c r="T5" s="64">
        <v>-9.9</v>
      </c>
      <c r="U5" s="64">
        <v>1</v>
      </c>
      <c r="V5" s="64">
        <v>0</v>
      </c>
      <c r="W5" s="64">
        <f>W4</f>
        <v>-24</v>
      </c>
      <c r="X5" s="64">
        <v>3.8070000000000004</v>
      </c>
      <c r="Y5" s="64">
        <v>1</v>
      </c>
      <c r="Z5" s="64">
        <v>4.2000000000000003E-2</v>
      </c>
      <c r="AA5" s="64">
        <v>1E-3</v>
      </c>
      <c r="AB5" s="64">
        <v>-32</v>
      </c>
      <c r="AC5" s="64">
        <v>14.472</v>
      </c>
      <c r="AD5" s="64">
        <v>1</v>
      </c>
      <c r="AE5" s="64"/>
      <c r="AF5" s="64"/>
      <c r="AG5" s="16"/>
      <c r="AH5" s="17">
        <v>3.1</v>
      </c>
      <c r="AI5" s="64">
        <v>1</v>
      </c>
      <c r="AJ5" s="64">
        <v>-70</v>
      </c>
      <c r="AK5" s="64">
        <v>0</v>
      </c>
      <c r="AL5" s="64">
        <v>2</v>
      </c>
      <c r="AM5" s="64">
        <f>AM4</f>
        <v>8</v>
      </c>
      <c r="AN5" s="64">
        <v>1</v>
      </c>
      <c r="AO5" s="64">
        <v>0.01</v>
      </c>
      <c r="AP5" s="64"/>
      <c r="AQ5" s="64"/>
      <c r="AR5" s="64"/>
      <c r="AS5" s="64"/>
      <c r="AT5" s="64"/>
      <c r="AU5" s="64"/>
      <c r="AV5" s="64"/>
      <c r="AW5" s="64">
        <v>0.4</v>
      </c>
      <c r="AX5" s="64">
        <v>-10.5</v>
      </c>
      <c r="AY5" s="64">
        <v>4.5</v>
      </c>
      <c r="AZ5" s="64">
        <v>1</v>
      </c>
      <c r="BA5" s="64">
        <v>5.8</v>
      </c>
      <c r="BB5" s="64">
        <v>0.18</v>
      </c>
      <c r="BC5" s="64">
        <v>-60</v>
      </c>
      <c r="BD5" s="64">
        <v>15</v>
      </c>
      <c r="BE5" s="64">
        <v>1</v>
      </c>
      <c r="BF5" s="64"/>
      <c r="BG5" s="64"/>
      <c r="BH5" s="64"/>
      <c r="BI5" s="64">
        <v>0.9</v>
      </c>
      <c r="BJ5" s="64">
        <v>1</v>
      </c>
      <c r="BK5" s="64">
        <v>-70</v>
      </c>
      <c r="BL5" s="64">
        <v>0</v>
      </c>
      <c r="BM5" s="64">
        <v>-11</v>
      </c>
      <c r="BN5" s="64">
        <v>11.2</v>
      </c>
      <c r="BO5" s="64">
        <v>1</v>
      </c>
      <c r="BP5" s="64">
        <v>0.02</v>
      </c>
      <c r="BQ5" s="64">
        <v>2E-3</v>
      </c>
      <c r="BR5" s="64">
        <v>-20</v>
      </c>
      <c r="BS5" s="64">
        <v>5.7</v>
      </c>
      <c r="BT5" s="64">
        <v>1</v>
      </c>
      <c r="BU5" s="64"/>
      <c r="BV5" s="64"/>
      <c r="BW5" s="64"/>
      <c r="BX5" s="64">
        <v>0</v>
      </c>
      <c r="BY5" s="64">
        <v>-46.3</v>
      </c>
      <c r="BZ5" s="64">
        <v>7.38</v>
      </c>
      <c r="CA5" s="64">
        <v>1</v>
      </c>
      <c r="CB5" s="64">
        <v>3.5000000000000003E-2</v>
      </c>
      <c r="CC5" s="64"/>
      <c r="CD5" s="64"/>
      <c r="CE5" s="64"/>
      <c r="CF5" s="64"/>
      <c r="CG5" s="64"/>
      <c r="CH5" s="64"/>
      <c r="CI5" s="64"/>
      <c r="CJ5" s="64">
        <v>0.17799999999999999</v>
      </c>
      <c r="CK5" s="64">
        <v>1</v>
      </c>
      <c r="CL5" s="64">
        <v>60</v>
      </c>
      <c r="CM5" s="64">
        <v>0</v>
      </c>
      <c r="CN5" s="64">
        <v>-5</v>
      </c>
      <c r="CO5" s="64">
        <v>12.1</v>
      </c>
      <c r="CP5" s="64">
        <v>1</v>
      </c>
      <c r="CQ5" s="64">
        <v>8.8000000000000005E-3</v>
      </c>
      <c r="CR5" s="64">
        <v>2E-3</v>
      </c>
      <c r="CS5" s="64">
        <v>0</v>
      </c>
      <c r="CT5" s="64">
        <v>-4</v>
      </c>
      <c r="CU5" s="64">
        <v>1</v>
      </c>
      <c r="CV5" s="64">
        <v>35</v>
      </c>
      <c r="CW5" s="64">
        <f>-CT5</f>
        <v>4</v>
      </c>
      <c r="CX5" s="64">
        <v>1</v>
      </c>
      <c r="CY5" s="64">
        <v>0</v>
      </c>
      <c r="CZ5" s="64">
        <v>-26.5</v>
      </c>
      <c r="DA5" s="64">
        <v>7.47</v>
      </c>
      <c r="DB5" s="64">
        <v>1</v>
      </c>
      <c r="DC5" s="64">
        <v>0.14000000000000001</v>
      </c>
      <c r="DD5" s="64"/>
      <c r="DE5" s="64"/>
      <c r="DF5" s="64"/>
      <c r="DG5" s="64"/>
      <c r="DH5" s="64"/>
      <c r="DI5" s="64"/>
      <c r="DJ5" s="64"/>
      <c r="DK5" s="64">
        <v>0.7</v>
      </c>
      <c r="DL5" s="64">
        <v>1</v>
      </c>
      <c r="DM5" s="64">
        <v>60</v>
      </c>
      <c r="DN5" s="64">
        <v>0</v>
      </c>
      <c r="DO5" s="64">
        <v>2</v>
      </c>
      <c r="DP5" s="64">
        <v>8.1999999999999993</v>
      </c>
      <c r="DQ5" s="64">
        <v>1</v>
      </c>
      <c r="DR5" s="64">
        <v>0.02</v>
      </c>
      <c r="DS5" s="64">
        <v>1E-3</v>
      </c>
      <c r="DT5" s="64">
        <v>13</v>
      </c>
      <c r="DU5" s="64">
        <v>-12.7</v>
      </c>
      <c r="DV5" s="64">
        <v>1</v>
      </c>
      <c r="DW5" s="64">
        <v>25</v>
      </c>
      <c r="DX5" s="64">
        <v>13</v>
      </c>
      <c r="DY5" s="64">
        <v>1</v>
      </c>
      <c r="DZ5" s="64">
        <v>0</v>
      </c>
      <c r="EA5" s="64">
        <v>-25</v>
      </c>
      <c r="EB5" s="64">
        <v>6.71</v>
      </c>
      <c r="EC5" s="64">
        <v>1</v>
      </c>
      <c r="ED5" s="64">
        <v>3.5999999999999997E-2</v>
      </c>
      <c r="EE5" s="64">
        <v>2.5000000000000001E-2</v>
      </c>
      <c r="EF5" s="64">
        <v>0</v>
      </c>
      <c r="EG5" s="64">
        <v>0.46</v>
      </c>
      <c r="EH5" s="64">
        <v>1</v>
      </c>
      <c r="EI5" s="64"/>
      <c r="EJ5" s="64"/>
      <c r="EK5" s="45"/>
      <c r="EL5" s="39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16"/>
      <c r="FM5" s="17">
        <v>0</v>
      </c>
      <c r="FN5" s="64">
        <f>FN4</f>
        <v>1</v>
      </c>
      <c r="FO5" s="64">
        <f t="shared" ref="FO5:FT5" si="0">FO4</f>
        <v>-70</v>
      </c>
      <c r="FP5" s="64">
        <f t="shared" si="0"/>
        <v>0</v>
      </c>
      <c r="FQ5" s="64">
        <f>FQ4</f>
        <v>-8</v>
      </c>
      <c r="FR5" s="64">
        <f>FR4</f>
        <v>8</v>
      </c>
      <c r="FS5" s="64">
        <f t="shared" si="0"/>
        <v>1</v>
      </c>
      <c r="FT5" s="64">
        <f t="shared" si="0"/>
        <v>8.9999999999999993E-3</v>
      </c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45"/>
      <c r="GN5" s="39">
        <v>0.26</v>
      </c>
      <c r="GO5" s="64">
        <v>1</v>
      </c>
      <c r="GP5" s="64">
        <v>-70</v>
      </c>
      <c r="GQ5" s="64">
        <v>0</v>
      </c>
      <c r="GR5" s="64">
        <v>9</v>
      </c>
      <c r="GS5" s="64">
        <v>4.5999999999999996</v>
      </c>
      <c r="GT5" s="64">
        <v>1</v>
      </c>
      <c r="GU5" s="64">
        <v>0.01</v>
      </c>
      <c r="GV5" s="64"/>
      <c r="GW5" s="64"/>
      <c r="GX5" s="64"/>
      <c r="GY5" s="64"/>
      <c r="GZ5" s="64"/>
      <c r="HA5" s="64"/>
      <c r="HB5" s="64"/>
      <c r="HC5" s="64">
        <v>0</v>
      </c>
      <c r="HD5" s="64">
        <v>-5</v>
      </c>
      <c r="HE5" s="64">
        <v>5</v>
      </c>
      <c r="HF5" s="64">
        <v>1</v>
      </c>
      <c r="HG5" s="64">
        <v>1.1000000000000001</v>
      </c>
      <c r="HH5" s="64">
        <v>0.2</v>
      </c>
      <c r="HI5" s="64">
        <v>-13</v>
      </c>
      <c r="HJ5" s="64">
        <v>-2</v>
      </c>
      <c r="HK5" s="64">
        <v>1</v>
      </c>
      <c r="HL5" s="64">
        <v>-6</v>
      </c>
      <c r="HM5" s="64">
        <v>2</v>
      </c>
      <c r="HN5" s="16">
        <v>1</v>
      </c>
      <c r="HO5" s="39">
        <v>0.12</v>
      </c>
      <c r="HP5" s="64">
        <f t="shared" ref="HP5:IO5" si="1">HP4</f>
        <v>1</v>
      </c>
      <c r="HQ5" s="64">
        <f t="shared" si="1"/>
        <v>60</v>
      </c>
      <c r="HR5" s="64">
        <f t="shared" si="1"/>
        <v>0</v>
      </c>
      <c r="HS5" s="64">
        <v>-37</v>
      </c>
      <c r="HT5" s="64">
        <v>4.5</v>
      </c>
      <c r="HU5" s="64">
        <f t="shared" si="1"/>
        <v>1</v>
      </c>
      <c r="HV5" s="64">
        <f t="shared" si="1"/>
        <v>0.01</v>
      </c>
      <c r="HW5" s="64"/>
      <c r="HX5" s="64"/>
      <c r="HY5" s="64"/>
      <c r="HZ5" s="64"/>
      <c r="IA5" s="64"/>
      <c r="IB5" s="64"/>
      <c r="IC5" s="64"/>
      <c r="ID5" s="64">
        <f t="shared" si="1"/>
        <v>0.6</v>
      </c>
      <c r="IE5" s="64">
        <f t="shared" si="1"/>
        <v>-62</v>
      </c>
      <c r="IF5" s="64">
        <f t="shared" si="1"/>
        <v>1</v>
      </c>
      <c r="IG5" s="45">
        <f t="shared" si="1"/>
        <v>1</v>
      </c>
      <c r="IH5" s="64">
        <f t="shared" si="1"/>
        <v>2.5</v>
      </c>
      <c r="II5" s="64">
        <f t="shared" si="1"/>
        <v>0.25</v>
      </c>
      <c r="IJ5" s="64">
        <f t="shared" si="1"/>
        <v>-55</v>
      </c>
      <c r="IK5" s="64">
        <f t="shared" si="1"/>
        <v>-1.5</v>
      </c>
      <c r="IL5" s="64">
        <f t="shared" si="1"/>
        <v>1</v>
      </c>
      <c r="IM5" s="64">
        <f t="shared" si="1"/>
        <v>-42</v>
      </c>
      <c r="IN5" s="64">
        <f t="shared" si="1"/>
        <v>1.5</v>
      </c>
      <c r="IO5" s="64">
        <f t="shared" si="1"/>
        <v>1</v>
      </c>
      <c r="IP5" s="17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39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16"/>
    </row>
    <row r="6" spans="1:303" x14ac:dyDescent="0.35">
      <c r="A6" s="142" t="str">
        <f>Neu!B6</f>
        <v>B8</v>
      </c>
      <c r="B6" s="143" t="s">
        <v>160</v>
      </c>
      <c r="C6" s="20"/>
      <c r="D6" s="45">
        <v>0.01</v>
      </c>
      <c r="E6" s="39">
        <v>0</v>
      </c>
      <c r="F6" s="16">
        <v>-63</v>
      </c>
      <c r="G6" s="39">
        <f>G4</f>
        <v>50</v>
      </c>
      <c r="H6" s="64">
        <v>3</v>
      </c>
      <c r="I6" s="64">
        <v>60</v>
      </c>
      <c r="J6" s="64">
        <v>0</v>
      </c>
      <c r="K6" s="64">
        <f>K4</f>
        <v>-16.600000000000001</v>
      </c>
      <c r="L6" s="64">
        <v>6.66</v>
      </c>
      <c r="M6" s="64">
        <v>1</v>
      </c>
      <c r="N6" s="64">
        <f>N4</f>
        <v>3.5000000000000003E-2</v>
      </c>
      <c r="O6" s="64">
        <v>2.4000000000000001E-4</v>
      </c>
      <c r="P6" s="64">
        <f>P4</f>
        <v>-30</v>
      </c>
      <c r="Q6" s="64">
        <v>5.3820000000000006</v>
      </c>
      <c r="R6" s="64">
        <v>1</v>
      </c>
      <c r="S6" s="64">
        <f>S4</f>
        <v>-17</v>
      </c>
      <c r="T6" s="64">
        <v>-9.9</v>
      </c>
      <c r="U6" s="64">
        <v>1</v>
      </c>
      <c r="V6" s="64">
        <v>0</v>
      </c>
      <c r="W6" s="64">
        <f>W4</f>
        <v>-24</v>
      </c>
      <c r="X6" s="64">
        <v>3.8070000000000004</v>
      </c>
      <c r="Y6" s="64">
        <v>1</v>
      </c>
      <c r="Z6" s="64">
        <v>4.2000000000000003E-2</v>
      </c>
      <c r="AA6" s="64">
        <v>1E-3</v>
      </c>
      <c r="AB6" s="64">
        <v>-32</v>
      </c>
      <c r="AC6" s="64">
        <v>14.472</v>
      </c>
      <c r="AD6" s="64">
        <v>1</v>
      </c>
      <c r="AE6" s="64"/>
      <c r="AF6" s="64"/>
      <c r="AG6" s="16"/>
      <c r="AH6" s="17">
        <v>3.9</v>
      </c>
      <c r="AI6" s="64">
        <v>1</v>
      </c>
      <c r="AJ6" s="64">
        <v>-70</v>
      </c>
      <c r="AK6" s="64">
        <v>0</v>
      </c>
      <c r="AL6" s="64">
        <f>AL4</f>
        <v>2</v>
      </c>
      <c r="AM6" s="64">
        <f>AM4</f>
        <v>8</v>
      </c>
      <c r="AN6" s="64">
        <v>1</v>
      </c>
      <c r="AO6" s="64">
        <v>0.01</v>
      </c>
      <c r="AP6" s="64"/>
      <c r="AQ6" s="64"/>
      <c r="AR6" s="64"/>
      <c r="AS6" s="64"/>
      <c r="AT6" s="64"/>
      <c r="AU6" s="64"/>
      <c r="AV6" s="64"/>
      <c r="AW6" s="64">
        <v>0.27400000000000002</v>
      </c>
      <c r="AX6" s="64">
        <v>-13</v>
      </c>
      <c r="AY6" s="64">
        <v>5.7</v>
      </c>
      <c r="AZ6" s="64">
        <v>1</v>
      </c>
      <c r="BA6" s="64">
        <v>2</v>
      </c>
      <c r="BB6" s="64">
        <v>0.15</v>
      </c>
      <c r="BC6" s="64">
        <v>-14</v>
      </c>
      <c r="BD6" s="64">
        <v>8</v>
      </c>
      <c r="BE6" s="64">
        <v>1</v>
      </c>
      <c r="BF6" s="64"/>
      <c r="BG6" s="64"/>
      <c r="BH6" s="64"/>
      <c r="BI6" s="64">
        <v>3.2</v>
      </c>
      <c r="BJ6" s="64">
        <v>1</v>
      </c>
      <c r="BK6" s="64">
        <v>-70</v>
      </c>
      <c r="BL6" s="64">
        <v>0</v>
      </c>
      <c r="BM6" s="64">
        <v>-6</v>
      </c>
      <c r="BN6" s="64">
        <v>10</v>
      </c>
      <c r="BO6" s="64">
        <v>1</v>
      </c>
      <c r="BP6" s="64">
        <v>2.5000000000000001E-2</v>
      </c>
      <c r="BQ6" s="64">
        <v>7.0000000000000001E-3</v>
      </c>
      <c r="BR6" s="64">
        <v>-20</v>
      </c>
      <c r="BS6" s="64">
        <v>6</v>
      </c>
      <c r="BT6" s="64">
        <v>1</v>
      </c>
      <c r="BU6" s="64"/>
      <c r="BV6" s="64"/>
      <c r="BW6" s="64"/>
      <c r="BX6" s="64">
        <v>0</v>
      </c>
      <c r="BY6" s="64">
        <v>-51</v>
      </c>
      <c r="BZ6" s="64">
        <v>9.4</v>
      </c>
      <c r="CA6" s="64">
        <v>1</v>
      </c>
      <c r="CB6" s="64">
        <v>0.14000000000000001</v>
      </c>
      <c r="CC6" s="64"/>
      <c r="CD6" s="64"/>
      <c r="CE6" s="64"/>
      <c r="CF6" s="64"/>
      <c r="CG6" s="64"/>
      <c r="CH6" s="64"/>
      <c r="CI6" s="64"/>
      <c r="CJ6" s="64">
        <v>0.68</v>
      </c>
      <c r="CK6" s="64">
        <v>1</v>
      </c>
      <c r="CL6" s="64">
        <v>60</v>
      </c>
      <c r="CM6" s="64">
        <v>0</v>
      </c>
      <c r="CN6" s="64">
        <v>-14</v>
      </c>
      <c r="CO6" s="64">
        <v>6.5</v>
      </c>
      <c r="CP6" s="64">
        <v>1</v>
      </c>
      <c r="CQ6" s="64">
        <v>0.08</v>
      </c>
      <c r="CR6" s="64">
        <v>2E-3</v>
      </c>
      <c r="CS6" s="64">
        <v>-20.5</v>
      </c>
      <c r="CT6" s="64">
        <v>-13</v>
      </c>
      <c r="CU6" s="64">
        <v>1</v>
      </c>
      <c r="CV6" s="64">
        <v>15</v>
      </c>
      <c r="CW6" s="64">
        <v>13</v>
      </c>
      <c r="CX6" s="64">
        <v>1</v>
      </c>
      <c r="CY6" s="64">
        <v>0</v>
      </c>
      <c r="CZ6" s="64">
        <v>-34.4</v>
      </c>
      <c r="DA6" s="64">
        <v>6.26</v>
      </c>
      <c r="DB6" s="64">
        <v>1</v>
      </c>
      <c r="DC6" s="64">
        <v>3.5000000000000003E-2</v>
      </c>
      <c r="DD6" s="64"/>
      <c r="DE6" s="64"/>
      <c r="DF6" s="64"/>
      <c r="DG6" s="64"/>
      <c r="DH6" s="64"/>
      <c r="DI6" s="64"/>
      <c r="DJ6" s="64"/>
      <c r="DK6" s="64">
        <v>2.4</v>
      </c>
      <c r="DL6" s="64">
        <v>1</v>
      </c>
      <c r="DM6" s="64">
        <v>60</v>
      </c>
      <c r="DN6" s="64">
        <v>0</v>
      </c>
      <c r="DO6" s="64">
        <v>2</v>
      </c>
      <c r="DP6" s="64">
        <v>5.7</v>
      </c>
      <c r="DQ6" s="64">
        <v>1</v>
      </c>
      <c r="DR6" s="64">
        <v>7.5999999999999998E-2</v>
      </c>
      <c r="DS6" s="64">
        <v>1E-3</v>
      </c>
      <c r="DT6" s="64">
        <v>-1</v>
      </c>
      <c r="DU6" s="64">
        <v>-7.2</v>
      </c>
      <c r="DV6" s="64">
        <v>1</v>
      </c>
      <c r="DW6" s="64">
        <v>23</v>
      </c>
      <c r="DX6" s="64">
        <v>7.2</v>
      </c>
      <c r="DY6" s="64">
        <v>1</v>
      </c>
      <c r="DZ6" s="64">
        <v>0</v>
      </c>
      <c r="EA6" s="64">
        <v>-25</v>
      </c>
      <c r="EB6" s="64">
        <v>5.95</v>
      </c>
      <c r="EC6" s="64">
        <v>1</v>
      </c>
      <c r="ED6" s="64">
        <v>4.2999999999999997E-2</v>
      </c>
      <c r="EE6" s="64">
        <v>2.5000000000000001E-2</v>
      </c>
      <c r="EF6" s="64">
        <v>1</v>
      </c>
      <c r="EG6" s="64">
        <v>6</v>
      </c>
      <c r="EH6" s="64">
        <v>1</v>
      </c>
      <c r="EI6" s="64"/>
      <c r="EJ6" s="64"/>
      <c r="EK6" s="45"/>
      <c r="EL6" s="39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16"/>
      <c r="FM6" s="17">
        <v>1.1000000000000001</v>
      </c>
      <c r="FN6" s="64">
        <v>1</v>
      </c>
      <c r="FO6" s="64">
        <f t="shared" ref="FO6:FP6" si="2">FO4</f>
        <v>-70</v>
      </c>
      <c r="FP6" s="64">
        <f t="shared" si="2"/>
        <v>0</v>
      </c>
      <c r="FQ6" s="64">
        <v>5</v>
      </c>
      <c r="FR6" s="64">
        <v>9</v>
      </c>
      <c r="FS6" s="64">
        <f t="shared" ref="FS6:FT6" si="3">FS4</f>
        <v>1</v>
      </c>
      <c r="FT6" s="64">
        <f t="shared" si="3"/>
        <v>8.9999999999999993E-3</v>
      </c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45"/>
      <c r="GN6" s="39">
        <v>0.85</v>
      </c>
      <c r="GO6" s="64">
        <v>1</v>
      </c>
      <c r="GP6" s="64">
        <v>-70</v>
      </c>
      <c r="GQ6" s="64">
        <v>0</v>
      </c>
      <c r="GR6" s="64">
        <v>7</v>
      </c>
      <c r="GS6" s="64">
        <v>6.1</v>
      </c>
      <c r="GT6" s="64">
        <v>1</v>
      </c>
      <c r="GU6" s="64">
        <v>0.01</v>
      </c>
      <c r="GV6" s="64"/>
      <c r="GW6" s="64"/>
      <c r="GX6" s="64"/>
      <c r="GY6" s="64"/>
      <c r="GZ6" s="64"/>
      <c r="HA6" s="64"/>
      <c r="HB6" s="64"/>
      <c r="HC6" s="64">
        <v>0.4</v>
      </c>
      <c r="HD6" s="64">
        <v>-5</v>
      </c>
      <c r="HE6" s="64">
        <v>5</v>
      </c>
      <c r="HF6" s="64">
        <v>1</v>
      </c>
      <c r="HG6" s="64">
        <v>1.4</v>
      </c>
      <c r="HH6" s="64">
        <v>0.2</v>
      </c>
      <c r="HI6" s="64">
        <v>-2</v>
      </c>
      <c r="HJ6" s="64">
        <v>-1.5</v>
      </c>
      <c r="HK6" s="64">
        <v>1</v>
      </c>
      <c r="HL6" s="64">
        <v>3.5</v>
      </c>
      <c r="HM6" s="64">
        <v>1.5</v>
      </c>
      <c r="HN6" s="16">
        <v>1</v>
      </c>
      <c r="HO6" s="39">
        <v>0.12</v>
      </c>
      <c r="HP6" s="64">
        <f t="shared" ref="HP6:IO6" si="4">HP4</f>
        <v>1</v>
      </c>
      <c r="HQ6" s="64">
        <f t="shared" si="4"/>
        <v>60</v>
      </c>
      <c r="HR6" s="64">
        <f t="shared" si="4"/>
        <v>0</v>
      </c>
      <c r="HS6" s="64">
        <v>-48</v>
      </c>
      <c r="HT6" s="64">
        <f t="shared" si="4"/>
        <v>3</v>
      </c>
      <c r="HU6" s="64">
        <f t="shared" si="4"/>
        <v>1</v>
      </c>
      <c r="HV6" s="64">
        <f t="shared" si="4"/>
        <v>0.01</v>
      </c>
      <c r="HW6" s="64"/>
      <c r="HX6" s="64"/>
      <c r="HY6" s="64"/>
      <c r="HZ6" s="64"/>
      <c r="IA6" s="64"/>
      <c r="IB6" s="64"/>
      <c r="IC6" s="64"/>
      <c r="ID6" s="64">
        <f t="shared" si="4"/>
        <v>0.6</v>
      </c>
      <c r="IE6" s="64">
        <f t="shared" si="4"/>
        <v>-62</v>
      </c>
      <c r="IF6" s="64">
        <f t="shared" si="4"/>
        <v>1</v>
      </c>
      <c r="IG6" s="45">
        <f t="shared" si="4"/>
        <v>1</v>
      </c>
      <c r="IH6" s="64">
        <f t="shared" si="4"/>
        <v>2.5</v>
      </c>
      <c r="II6" s="64">
        <f t="shared" si="4"/>
        <v>0.25</v>
      </c>
      <c r="IJ6" s="64">
        <f t="shared" si="4"/>
        <v>-55</v>
      </c>
      <c r="IK6" s="64">
        <f t="shared" si="4"/>
        <v>-1.5</v>
      </c>
      <c r="IL6" s="64">
        <f t="shared" si="4"/>
        <v>1</v>
      </c>
      <c r="IM6" s="64">
        <f t="shared" si="4"/>
        <v>-42</v>
      </c>
      <c r="IN6" s="64">
        <f t="shared" si="4"/>
        <v>1.5</v>
      </c>
      <c r="IO6" s="64">
        <f t="shared" si="4"/>
        <v>1</v>
      </c>
      <c r="IP6" s="17">
        <v>8.5000000000000006E-2</v>
      </c>
      <c r="IQ6" s="64">
        <v>1</v>
      </c>
      <c r="IR6" s="64">
        <v>-40</v>
      </c>
      <c r="IS6" s="64">
        <v>0</v>
      </c>
      <c r="IT6" s="64">
        <v>-68</v>
      </c>
      <c r="IU6" s="64">
        <v>-4.8</v>
      </c>
      <c r="IV6" s="64">
        <v>1</v>
      </c>
      <c r="IW6" s="64">
        <v>14</v>
      </c>
      <c r="IX6" s="64">
        <v>0.9</v>
      </c>
      <c r="IY6" s="64">
        <v>-73</v>
      </c>
      <c r="IZ6" s="64">
        <v>-9</v>
      </c>
      <c r="JA6" s="64">
        <v>1</v>
      </c>
      <c r="JB6" s="64">
        <v>-75</v>
      </c>
      <c r="JC6" s="64">
        <v>9</v>
      </c>
      <c r="JD6" s="64">
        <v>1</v>
      </c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39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4"/>
      <c r="KQ6" s="16"/>
    </row>
    <row r="7" spans="1:303" x14ac:dyDescent="0.35">
      <c r="A7" s="142">
        <f>Neu!B7</f>
        <v>0</v>
      </c>
      <c r="B7" s="87"/>
      <c r="C7" s="20"/>
      <c r="D7" s="45"/>
      <c r="E7" s="39"/>
      <c r="F7" s="16"/>
      <c r="G7" s="39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16"/>
      <c r="AH7" s="17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16"/>
      <c r="BI7" s="39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16"/>
      <c r="CJ7" s="39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16"/>
      <c r="DK7" s="39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45"/>
      <c r="EL7" s="39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16"/>
      <c r="FM7" s="17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45"/>
      <c r="GN7" s="39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16"/>
      <c r="HO7" s="39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45"/>
      <c r="IH7" s="64"/>
      <c r="II7" s="64"/>
      <c r="IJ7" s="64"/>
      <c r="IK7" s="64"/>
      <c r="IL7" s="64"/>
      <c r="IM7" s="64"/>
      <c r="IN7" s="64"/>
      <c r="IO7" s="16"/>
      <c r="IP7" s="17"/>
      <c r="IQ7" s="64"/>
      <c r="IR7" s="64"/>
      <c r="IS7" s="64"/>
      <c r="IT7" s="64"/>
      <c r="IU7" s="64"/>
      <c r="IV7" s="64"/>
      <c r="IW7" s="64"/>
      <c r="IX7" s="64"/>
      <c r="IY7" s="64"/>
      <c r="IZ7" s="64"/>
      <c r="JA7" s="64"/>
      <c r="JB7" s="64"/>
      <c r="JC7" s="64"/>
      <c r="JD7" s="64"/>
      <c r="JE7" s="64"/>
      <c r="JF7" s="64"/>
      <c r="JG7" s="64"/>
      <c r="JH7" s="64"/>
      <c r="JI7" s="64"/>
      <c r="JJ7" s="64"/>
      <c r="JK7" s="64"/>
      <c r="JL7" s="64"/>
      <c r="JM7" s="64"/>
      <c r="JN7" s="64"/>
      <c r="JO7" s="64"/>
      <c r="JP7" s="16"/>
      <c r="JQ7" s="39"/>
      <c r="JR7" s="64"/>
      <c r="JS7" s="64"/>
      <c r="JT7" s="64"/>
      <c r="JU7" s="64"/>
      <c r="JV7" s="64"/>
      <c r="JW7" s="64"/>
      <c r="JX7" s="64"/>
      <c r="JY7" s="64"/>
      <c r="JZ7" s="64"/>
      <c r="KA7" s="64"/>
      <c r="KB7" s="64"/>
      <c r="KC7" s="64"/>
      <c r="KD7" s="64"/>
      <c r="KE7" s="64"/>
      <c r="KF7" s="64"/>
      <c r="KG7" s="64"/>
      <c r="KH7" s="64"/>
      <c r="KI7" s="64"/>
      <c r="KJ7" s="64"/>
      <c r="KK7" s="64"/>
      <c r="KL7" s="64"/>
      <c r="KM7" s="64"/>
      <c r="KN7" s="64"/>
      <c r="KO7" s="64"/>
      <c r="KP7" s="64"/>
      <c r="KQ7" s="16"/>
    </row>
    <row r="8" spans="1:303" x14ac:dyDescent="0.35">
      <c r="A8" s="142">
        <f>Neu!B8</f>
        <v>0</v>
      </c>
      <c r="B8" s="87"/>
      <c r="C8" s="20"/>
      <c r="D8" s="45"/>
      <c r="E8" s="39"/>
      <c r="F8" s="16"/>
      <c r="G8" s="39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16"/>
      <c r="AH8" s="17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16"/>
      <c r="BI8" s="39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16"/>
      <c r="CJ8" s="39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16"/>
      <c r="DK8" s="39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45"/>
      <c r="EL8" s="39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16"/>
      <c r="FM8" s="17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45"/>
      <c r="GN8" s="39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16"/>
      <c r="HO8" s="39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45"/>
      <c r="IH8" s="64"/>
      <c r="II8" s="64"/>
      <c r="IJ8" s="64"/>
      <c r="IK8" s="64"/>
      <c r="IL8" s="64"/>
      <c r="IM8" s="64"/>
      <c r="IN8" s="64"/>
      <c r="IO8" s="16"/>
      <c r="IP8" s="17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16"/>
      <c r="JQ8" s="39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16"/>
    </row>
    <row r="9" spans="1:303" x14ac:dyDescent="0.35">
      <c r="A9" s="142">
        <f>Neu!B9</f>
        <v>0</v>
      </c>
      <c r="B9" s="87"/>
      <c r="C9" s="20"/>
      <c r="D9" s="45"/>
      <c r="E9" s="39"/>
      <c r="F9" s="16"/>
      <c r="G9" s="39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16"/>
      <c r="AH9" s="17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16"/>
      <c r="BI9" s="39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16"/>
      <c r="CJ9" s="39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16"/>
      <c r="DK9" s="39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45"/>
      <c r="EL9" s="39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16"/>
      <c r="FM9" s="17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45"/>
      <c r="GN9" s="39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16"/>
      <c r="HO9" s="39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153"/>
      <c r="II9" s="153"/>
      <c r="IJ9" s="153"/>
      <c r="IK9" s="153"/>
      <c r="IL9" s="153"/>
      <c r="IM9" s="153"/>
      <c r="IN9" s="153"/>
      <c r="IO9" s="154"/>
      <c r="IP9" s="17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16"/>
      <c r="JQ9" s="39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16"/>
    </row>
    <row r="10" spans="1:303" x14ac:dyDescent="0.35">
      <c r="A10" s="142">
        <f>Neu!B10</f>
        <v>0</v>
      </c>
      <c r="B10" s="87"/>
      <c r="C10" s="20"/>
      <c r="D10" s="45"/>
      <c r="E10" s="39"/>
      <c r="F10" s="16"/>
      <c r="G10" s="39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16"/>
      <c r="AH10" s="17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16"/>
      <c r="BI10" s="39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16"/>
      <c r="CJ10" s="39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16"/>
      <c r="DK10" s="39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45"/>
      <c r="EL10" s="39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16"/>
      <c r="FM10" s="17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45"/>
      <c r="GN10" s="39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16"/>
      <c r="HO10" s="39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16"/>
      <c r="IP10" s="17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16"/>
      <c r="JQ10" s="39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16"/>
    </row>
    <row r="11" spans="1:303" x14ac:dyDescent="0.35">
      <c r="A11" s="142">
        <f>Neu!B11</f>
        <v>0</v>
      </c>
      <c r="B11" s="87"/>
      <c r="C11" s="20"/>
      <c r="D11" s="45"/>
      <c r="E11" s="39"/>
      <c r="F11" s="16"/>
      <c r="G11" s="39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16"/>
      <c r="AH11" s="17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16"/>
      <c r="BI11" s="39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16"/>
      <c r="CJ11" s="39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16"/>
      <c r="DK11" s="39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45"/>
      <c r="EL11" s="39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16"/>
      <c r="FM11" s="17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45"/>
      <c r="GN11" s="39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16"/>
      <c r="HO11" s="39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16"/>
      <c r="IP11" s="17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16"/>
      <c r="JQ11" s="39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16"/>
    </row>
    <row r="12" spans="1:303" x14ac:dyDescent="0.35">
      <c r="A12" s="142">
        <f>Neu!B12</f>
        <v>0</v>
      </c>
      <c r="B12" s="87"/>
      <c r="C12" s="20"/>
      <c r="D12" s="45"/>
      <c r="E12" s="39"/>
      <c r="F12" s="16"/>
      <c r="G12" s="39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16"/>
      <c r="AH12" s="17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16"/>
      <c r="BI12" s="39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16"/>
      <c r="CJ12" s="39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16"/>
      <c r="DK12" s="39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45"/>
      <c r="EL12" s="39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16"/>
      <c r="FM12" s="17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45"/>
      <c r="GN12" s="39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16"/>
      <c r="HO12" s="39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16"/>
      <c r="IP12" s="17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16"/>
      <c r="JQ12" s="39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16"/>
    </row>
    <row r="13" spans="1:303" x14ac:dyDescent="0.35">
      <c r="A13" s="142">
        <f>Neu!B13</f>
        <v>0</v>
      </c>
      <c r="B13" s="87"/>
      <c r="C13" s="20"/>
      <c r="D13" s="45"/>
      <c r="E13" s="39"/>
      <c r="F13" s="16"/>
      <c r="G13" s="39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16"/>
      <c r="AH13" s="17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16"/>
      <c r="BI13" s="39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16"/>
      <c r="CJ13" s="39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16"/>
      <c r="DK13" s="39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45"/>
      <c r="EL13" s="39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16"/>
      <c r="FM13" s="17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45"/>
      <c r="GN13" s="39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16"/>
      <c r="HO13" s="39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16"/>
      <c r="IP13" s="17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16"/>
      <c r="JQ13" s="39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16"/>
    </row>
    <row r="14" spans="1:303" x14ac:dyDescent="0.35">
      <c r="A14" s="142">
        <f>Neu!B14</f>
        <v>0</v>
      </c>
      <c r="B14" s="87"/>
      <c r="C14" s="20"/>
      <c r="D14" s="45"/>
      <c r="E14" s="39"/>
      <c r="F14" s="16"/>
      <c r="G14" s="39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16"/>
      <c r="AH14" s="17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16"/>
      <c r="BI14" s="39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16"/>
      <c r="CJ14" s="39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16"/>
      <c r="DK14" s="39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45"/>
      <c r="EL14" s="39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16"/>
      <c r="FM14" s="17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45"/>
      <c r="GN14" s="39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16"/>
      <c r="HO14" s="39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16"/>
      <c r="IP14" s="17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16"/>
      <c r="JQ14" s="39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16"/>
    </row>
    <row r="15" spans="1:303" x14ac:dyDescent="0.35">
      <c r="A15" s="142">
        <f>Neu!B15</f>
        <v>0</v>
      </c>
      <c r="B15" s="87"/>
      <c r="C15" s="20"/>
      <c r="D15" s="45"/>
      <c r="E15" s="39"/>
      <c r="F15" s="16"/>
      <c r="G15" s="39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16"/>
      <c r="AH15" s="17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16"/>
      <c r="BI15" s="39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16"/>
      <c r="CJ15" s="39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16"/>
      <c r="DK15" s="39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45"/>
      <c r="EL15" s="39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16"/>
      <c r="FM15" s="17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45"/>
      <c r="GN15" s="39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16"/>
      <c r="HO15" s="39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16"/>
      <c r="IP15" s="17"/>
      <c r="IQ15" s="64"/>
      <c r="IR15" s="64"/>
      <c r="IS15" s="64"/>
      <c r="IT15" s="64"/>
      <c r="IU15" s="64"/>
      <c r="IV15" s="64"/>
      <c r="IW15" s="64"/>
      <c r="IX15" s="64"/>
      <c r="IY15" s="64"/>
      <c r="IZ15" s="64"/>
      <c r="JA15" s="64"/>
      <c r="JB15" s="64"/>
      <c r="JC15" s="64"/>
      <c r="JD15" s="64"/>
      <c r="JE15" s="64"/>
      <c r="JF15" s="64"/>
      <c r="JG15" s="64"/>
      <c r="JH15" s="64"/>
      <c r="JI15" s="64"/>
      <c r="JJ15" s="64"/>
      <c r="JK15" s="64"/>
      <c r="JL15" s="64"/>
      <c r="JM15" s="64"/>
      <c r="JN15" s="64"/>
      <c r="JO15" s="64"/>
      <c r="JP15" s="16"/>
      <c r="JQ15" s="39"/>
      <c r="JR15" s="64"/>
      <c r="JS15" s="64"/>
      <c r="JT15" s="64"/>
      <c r="JU15" s="64"/>
      <c r="JV15" s="64"/>
      <c r="JW15" s="64"/>
      <c r="JX15" s="64"/>
      <c r="JY15" s="64"/>
      <c r="JZ15" s="64"/>
      <c r="KA15" s="64"/>
      <c r="KB15" s="64"/>
      <c r="KC15" s="64"/>
      <c r="KD15" s="64"/>
      <c r="KE15" s="64"/>
      <c r="KF15" s="64"/>
      <c r="KG15" s="64"/>
      <c r="KH15" s="64"/>
      <c r="KI15" s="64"/>
      <c r="KJ15" s="64"/>
      <c r="KK15" s="64"/>
      <c r="KL15" s="64"/>
      <c r="KM15" s="64"/>
      <c r="KN15" s="64"/>
      <c r="KO15" s="64"/>
      <c r="KP15" s="64"/>
      <c r="KQ15" s="16"/>
    </row>
    <row r="16" spans="1:303" x14ac:dyDescent="0.35">
      <c r="A16" s="142">
        <f>Neu!B16</f>
        <v>0</v>
      </c>
      <c r="B16" s="87"/>
      <c r="C16" s="20"/>
      <c r="D16" s="45"/>
      <c r="E16" s="39"/>
      <c r="F16" s="16"/>
      <c r="G16" s="39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16"/>
      <c r="AH16" s="17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16"/>
      <c r="BI16" s="39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16"/>
      <c r="CJ16" s="39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16"/>
      <c r="DK16" s="39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45"/>
      <c r="EL16" s="39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16"/>
      <c r="FM16" s="17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45"/>
      <c r="GN16" s="39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16"/>
      <c r="HO16" s="39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16"/>
      <c r="IP16" s="17"/>
      <c r="IQ16" s="64"/>
      <c r="IR16" s="64"/>
      <c r="IS16" s="64"/>
      <c r="IT16" s="64"/>
      <c r="IU16" s="64"/>
      <c r="IV16" s="64"/>
      <c r="IW16" s="64"/>
      <c r="IX16" s="64"/>
      <c r="IY16" s="64"/>
      <c r="IZ16" s="64"/>
      <c r="JA16" s="64"/>
      <c r="JB16" s="64"/>
      <c r="JC16" s="64"/>
      <c r="JD16" s="64"/>
      <c r="JE16" s="64"/>
      <c r="JF16" s="64"/>
      <c r="JG16" s="64"/>
      <c r="JH16" s="64"/>
      <c r="JI16" s="64"/>
      <c r="JJ16" s="64"/>
      <c r="JK16" s="64"/>
      <c r="JL16" s="64"/>
      <c r="JM16" s="64"/>
      <c r="JN16" s="64"/>
      <c r="JO16" s="64"/>
      <c r="JP16" s="16"/>
      <c r="JQ16" s="39"/>
      <c r="JR16" s="64"/>
      <c r="JS16" s="64"/>
      <c r="JT16" s="64"/>
      <c r="JU16" s="64"/>
      <c r="JV16" s="64"/>
      <c r="JW16" s="64"/>
      <c r="JX16" s="64"/>
      <c r="JY16" s="64"/>
      <c r="JZ16" s="64"/>
      <c r="KA16" s="64"/>
      <c r="KB16" s="64"/>
      <c r="KC16" s="64"/>
      <c r="KD16" s="64"/>
      <c r="KE16" s="64"/>
      <c r="KF16" s="64"/>
      <c r="KG16" s="64"/>
      <c r="KH16" s="64"/>
      <c r="KI16" s="64"/>
      <c r="KJ16" s="64"/>
      <c r="KK16" s="64"/>
      <c r="KL16" s="64"/>
      <c r="KM16" s="64"/>
      <c r="KN16" s="64"/>
      <c r="KO16" s="64"/>
      <c r="KP16" s="64"/>
      <c r="KQ16" s="16"/>
    </row>
    <row r="17" spans="1:303" x14ac:dyDescent="0.35">
      <c r="A17" s="142">
        <f>Neu!B17</f>
        <v>0</v>
      </c>
      <c r="B17" s="87"/>
      <c r="C17" s="20"/>
      <c r="D17" s="45"/>
      <c r="E17" s="39"/>
      <c r="F17" s="16"/>
      <c r="G17" s="39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16"/>
      <c r="AH17" s="17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16"/>
      <c r="BI17" s="39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16"/>
      <c r="CJ17" s="39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16"/>
      <c r="DK17" s="39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45"/>
      <c r="EL17" s="39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16"/>
      <c r="FM17" s="17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45"/>
      <c r="GN17" s="39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16"/>
      <c r="HO17" s="39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16"/>
      <c r="IP17" s="17"/>
      <c r="IQ17" s="64"/>
      <c r="IR17" s="64"/>
      <c r="IS17" s="64"/>
      <c r="IT17" s="64"/>
      <c r="IU17" s="64"/>
      <c r="IV17" s="64"/>
      <c r="IW17" s="64"/>
      <c r="IX17" s="64"/>
      <c r="IY17" s="64"/>
      <c r="IZ17" s="64"/>
      <c r="JA17" s="64"/>
      <c r="JB17" s="64"/>
      <c r="JC17" s="64"/>
      <c r="JD17" s="64"/>
      <c r="JE17" s="64"/>
      <c r="JF17" s="64"/>
      <c r="JG17" s="64"/>
      <c r="JH17" s="64"/>
      <c r="JI17" s="64"/>
      <c r="JJ17" s="64"/>
      <c r="JK17" s="64"/>
      <c r="JL17" s="64"/>
      <c r="JM17" s="64"/>
      <c r="JN17" s="64"/>
      <c r="JO17" s="64"/>
      <c r="JP17" s="16"/>
      <c r="JQ17" s="39"/>
      <c r="JR17" s="64"/>
      <c r="JS17" s="64"/>
      <c r="JT17" s="64"/>
      <c r="JU17" s="64"/>
      <c r="JV17" s="64"/>
      <c r="JW17" s="64"/>
      <c r="JX17" s="64"/>
      <c r="JY17" s="64"/>
      <c r="JZ17" s="64"/>
      <c r="KA17" s="64"/>
      <c r="KB17" s="64"/>
      <c r="KC17" s="64"/>
      <c r="KD17" s="64"/>
      <c r="KE17" s="64"/>
      <c r="KF17" s="64"/>
      <c r="KG17" s="64"/>
      <c r="KH17" s="64"/>
      <c r="KI17" s="64"/>
      <c r="KJ17" s="64"/>
      <c r="KK17" s="64"/>
      <c r="KL17" s="64"/>
      <c r="KM17" s="64"/>
      <c r="KN17" s="64"/>
      <c r="KO17" s="64"/>
      <c r="KP17" s="64"/>
      <c r="KQ17" s="16"/>
    </row>
    <row r="18" spans="1:303" x14ac:dyDescent="0.35">
      <c r="A18" s="142">
        <f>Neu!B18</f>
        <v>0</v>
      </c>
      <c r="B18" s="87"/>
      <c r="C18" s="20"/>
      <c r="D18" s="45"/>
      <c r="E18" s="39"/>
      <c r="F18" s="16"/>
      <c r="G18" s="39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16"/>
      <c r="AH18" s="17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16"/>
      <c r="BI18" s="39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16"/>
      <c r="CJ18" s="39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16"/>
      <c r="DK18" s="39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45"/>
      <c r="EL18" s="39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16"/>
      <c r="FM18" s="17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45"/>
      <c r="GN18" s="39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/>
      <c r="HD18" s="64"/>
      <c r="HE18" s="64"/>
      <c r="HF18" s="64"/>
      <c r="HG18" s="64"/>
      <c r="HH18" s="64"/>
      <c r="HI18" s="64"/>
      <c r="HJ18" s="64"/>
      <c r="HK18" s="64"/>
      <c r="HL18" s="64"/>
      <c r="HM18" s="64"/>
      <c r="HN18" s="16"/>
      <c r="HO18" s="39"/>
      <c r="HP18" s="64"/>
      <c r="HQ18" s="64"/>
      <c r="HR18" s="64"/>
      <c r="HS18" s="64"/>
      <c r="HT18" s="64"/>
      <c r="HU18" s="64"/>
      <c r="HV18" s="64"/>
      <c r="HW18" s="64"/>
      <c r="HX18" s="64"/>
      <c r="HY18" s="64"/>
      <c r="HZ18" s="64"/>
      <c r="IA18" s="64"/>
      <c r="IB18" s="64"/>
      <c r="IC18" s="64"/>
      <c r="ID18" s="64"/>
      <c r="IE18" s="64"/>
      <c r="IF18" s="64"/>
      <c r="IG18" s="64"/>
      <c r="IH18" s="64"/>
      <c r="II18" s="64"/>
      <c r="IJ18" s="64"/>
      <c r="IK18" s="64"/>
      <c r="IL18" s="64"/>
      <c r="IM18" s="64"/>
      <c r="IN18" s="64"/>
      <c r="IO18" s="16"/>
      <c r="IP18" s="17"/>
      <c r="IQ18" s="64"/>
      <c r="IR18" s="64"/>
      <c r="IS18" s="64"/>
      <c r="IT18" s="64"/>
      <c r="IU18" s="64"/>
      <c r="IV18" s="64"/>
      <c r="IW18" s="64"/>
      <c r="IX18" s="64"/>
      <c r="IY18" s="64"/>
      <c r="IZ18" s="64"/>
      <c r="JA18" s="64"/>
      <c r="JB18" s="64"/>
      <c r="JC18" s="64"/>
      <c r="JD18" s="64"/>
      <c r="JE18" s="64"/>
      <c r="JF18" s="64"/>
      <c r="JG18" s="64"/>
      <c r="JH18" s="64"/>
      <c r="JI18" s="64"/>
      <c r="JJ18" s="64"/>
      <c r="JK18" s="64"/>
      <c r="JL18" s="64"/>
      <c r="JM18" s="64"/>
      <c r="JN18" s="64"/>
      <c r="JO18" s="64"/>
      <c r="JP18" s="16"/>
      <c r="JQ18" s="39"/>
      <c r="JR18" s="64"/>
      <c r="JS18" s="64"/>
      <c r="JT18" s="64"/>
      <c r="JU18" s="64"/>
      <c r="JV18" s="64"/>
      <c r="JW18" s="64"/>
      <c r="JX18" s="64"/>
      <c r="JY18" s="64"/>
      <c r="JZ18" s="64"/>
      <c r="KA18" s="64"/>
      <c r="KB18" s="64"/>
      <c r="KC18" s="64"/>
      <c r="KD18" s="64"/>
      <c r="KE18" s="64"/>
      <c r="KF18" s="64"/>
      <c r="KG18" s="64"/>
      <c r="KH18" s="64"/>
      <c r="KI18" s="64"/>
      <c r="KJ18" s="64"/>
      <c r="KK18" s="64"/>
      <c r="KL18" s="64"/>
      <c r="KM18" s="64"/>
      <c r="KN18" s="64"/>
      <c r="KO18" s="64"/>
      <c r="KP18" s="64"/>
      <c r="KQ18" s="16"/>
    </row>
    <row r="19" spans="1:303" x14ac:dyDescent="0.35">
      <c r="A19" s="142">
        <f>Neu!B19</f>
        <v>0</v>
      </c>
      <c r="B19" s="87"/>
      <c r="C19" s="20"/>
      <c r="D19" s="45"/>
      <c r="E19" s="39"/>
      <c r="F19" s="16"/>
      <c r="G19" s="39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16"/>
      <c r="AH19" s="17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16"/>
      <c r="BI19" s="39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16"/>
      <c r="CJ19" s="39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16"/>
      <c r="DK19" s="39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45"/>
      <c r="EL19" s="39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16"/>
      <c r="FM19" s="17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45"/>
      <c r="GN19" s="39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/>
      <c r="HD19" s="64"/>
      <c r="HE19" s="64"/>
      <c r="HF19" s="64"/>
      <c r="HG19" s="64"/>
      <c r="HH19" s="64"/>
      <c r="HI19" s="64"/>
      <c r="HJ19" s="64"/>
      <c r="HK19" s="64"/>
      <c r="HL19" s="64"/>
      <c r="HM19" s="64"/>
      <c r="HN19" s="16"/>
      <c r="HO19" s="39"/>
      <c r="HP19" s="64"/>
      <c r="HQ19" s="64"/>
      <c r="HR19" s="64"/>
      <c r="HS19" s="64"/>
      <c r="HT19" s="64"/>
      <c r="HU19" s="64"/>
      <c r="HV19" s="64"/>
      <c r="HW19" s="64"/>
      <c r="HX19" s="64"/>
      <c r="HY19" s="64"/>
      <c r="HZ19" s="64"/>
      <c r="IA19" s="64"/>
      <c r="IB19" s="64"/>
      <c r="IC19" s="64"/>
      <c r="ID19" s="64"/>
      <c r="IE19" s="64"/>
      <c r="IF19" s="64"/>
      <c r="IG19" s="64"/>
      <c r="IH19" s="64"/>
      <c r="II19" s="64"/>
      <c r="IJ19" s="64"/>
      <c r="IK19" s="64"/>
      <c r="IL19" s="64"/>
      <c r="IM19" s="64"/>
      <c r="IN19" s="64"/>
      <c r="IO19" s="16"/>
      <c r="IP19" s="17"/>
      <c r="IQ19" s="64"/>
      <c r="IR19" s="64"/>
      <c r="IS19" s="64"/>
      <c r="IT19" s="64"/>
      <c r="IU19" s="64"/>
      <c r="IV19" s="64"/>
      <c r="IW19" s="64"/>
      <c r="IX19" s="64"/>
      <c r="IY19" s="64"/>
      <c r="IZ19" s="64"/>
      <c r="JA19" s="64"/>
      <c r="JB19" s="64"/>
      <c r="JC19" s="64"/>
      <c r="JD19" s="64"/>
      <c r="JE19" s="64"/>
      <c r="JF19" s="64"/>
      <c r="JG19" s="64"/>
      <c r="JH19" s="64"/>
      <c r="JI19" s="64"/>
      <c r="JJ19" s="64"/>
      <c r="JK19" s="64"/>
      <c r="JL19" s="64"/>
      <c r="JM19" s="64"/>
      <c r="JN19" s="64"/>
      <c r="JO19" s="64"/>
      <c r="JP19" s="16"/>
      <c r="JQ19" s="39"/>
      <c r="JR19" s="64"/>
      <c r="JS19" s="64"/>
      <c r="JT19" s="64"/>
      <c r="JU19" s="64"/>
      <c r="JV19" s="64"/>
      <c r="JW19" s="64"/>
      <c r="JX19" s="64"/>
      <c r="JY19" s="64"/>
      <c r="JZ19" s="64"/>
      <c r="KA19" s="64"/>
      <c r="KB19" s="64"/>
      <c r="KC19" s="64"/>
      <c r="KD19" s="64"/>
      <c r="KE19" s="64"/>
      <c r="KF19" s="64"/>
      <c r="KG19" s="64"/>
      <c r="KH19" s="64"/>
      <c r="KI19" s="64"/>
      <c r="KJ19" s="64"/>
      <c r="KK19" s="64"/>
      <c r="KL19" s="64"/>
      <c r="KM19" s="64"/>
      <c r="KN19" s="64"/>
      <c r="KO19" s="64"/>
      <c r="KP19" s="64"/>
      <c r="KQ19" s="16"/>
    </row>
    <row r="20" spans="1:303" x14ac:dyDescent="0.35">
      <c r="A20" s="142">
        <f>Neu!B20</f>
        <v>0</v>
      </c>
      <c r="B20" s="87"/>
      <c r="C20" s="20"/>
      <c r="D20" s="45"/>
      <c r="E20" s="39"/>
      <c r="F20" s="16"/>
      <c r="G20" s="39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16"/>
      <c r="AH20" s="17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16"/>
      <c r="BI20" s="39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16"/>
      <c r="CJ20" s="39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16"/>
      <c r="DK20" s="39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45"/>
      <c r="EL20" s="39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16"/>
      <c r="FM20" s="17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45"/>
      <c r="GN20" s="39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16"/>
      <c r="HO20" s="39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16"/>
      <c r="IP20" s="17"/>
      <c r="IQ20" s="64"/>
      <c r="IR20" s="64"/>
      <c r="IS20" s="64"/>
      <c r="IT20" s="64"/>
      <c r="IU20" s="64"/>
      <c r="IV20" s="64"/>
      <c r="IW20" s="64"/>
      <c r="IX20" s="64"/>
      <c r="IY20" s="64"/>
      <c r="IZ20" s="64"/>
      <c r="JA20" s="64"/>
      <c r="JB20" s="64"/>
      <c r="JC20" s="64"/>
      <c r="JD20" s="64"/>
      <c r="JE20" s="64"/>
      <c r="JF20" s="64"/>
      <c r="JG20" s="64"/>
      <c r="JH20" s="64"/>
      <c r="JI20" s="64"/>
      <c r="JJ20" s="64"/>
      <c r="JK20" s="64"/>
      <c r="JL20" s="64"/>
      <c r="JM20" s="64"/>
      <c r="JN20" s="64"/>
      <c r="JO20" s="64"/>
      <c r="JP20" s="16"/>
      <c r="JQ20" s="39"/>
      <c r="JR20" s="64"/>
      <c r="JS20" s="64"/>
      <c r="JT20" s="64"/>
      <c r="JU20" s="64"/>
      <c r="JV20" s="64"/>
      <c r="JW20" s="64"/>
      <c r="JX20" s="64"/>
      <c r="JY20" s="64"/>
      <c r="JZ20" s="64"/>
      <c r="KA20" s="64"/>
      <c r="KB20" s="64"/>
      <c r="KC20" s="64"/>
      <c r="KD20" s="64"/>
      <c r="KE20" s="64"/>
      <c r="KF20" s="64"/>
      <c r="KG20" s="64"/>
      <c r="KH20" s="64"/>
      <c r="KI20" s="64"/>
      <c r="KJ20" s="64"/>
      <c r="KK20" s="64"/>
      <c r="KL20" s="64"/>
      <c r="KM20" s="64"/>
      <c r="KN20" s="64"/>
      <c r="KO20" s="64"/>
      <c r="KP20" s="64"/>
      <c r="KQ20" s="16"/>
    </row>
    <row r="21" spans="1:303" x14ac:dyDescent="0.35">
      <c r="A21" s="142">
        <f>Neu!B21</f>
        <v>0</v>
      </c>
      <c r="B21" s="87"/>
      <c r="C21" s="20"/>
      <c r="D21" s="45"/>
      <c r="E21" s="39"/>
      <c r="F21" s="16"/>
      <c r="G21" s="39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16"/>
      <c r="AH21" s="17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16"/>
      <c r="BI21" s="39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16"/>
      <c r="CJ21" s="39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16"/>
      <c r="DK21" s="39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45"/>
      <c r="EL21" s="39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16"/>
      <c r="FM21" s="17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45"/>
      <c r="GN21" s="39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16"/>
      <c r="HO21" s="39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16"/>
      <c r="IP21" s="17"/>
      <c r="IQ21" s="64"/>
      <c r="IR21" s="64"/>
      <c r="IS21" s="64"/>
      <c r="IT21" s="64"/>
      <c r="IU21" s="64"/>
      <c r="IV21" s="64"/>
      <c r="IW21" s="64"/>
      <c r="IX21" s="64"/>
      <c r="IY21" s="64"/>
      <c r="IZ21" s="64"/>
      <c r="JA21" s="64"/>
      <c r="JB21" s="64"/>
      <c r="JC21" s="64"/>
      <c r="JD21" s="64"/>
      <c r="JE21" s="64"/>
      <c r="JF21" s="64"/>
      <c r="JG21" s="64"/>
      <c r="JH21" s="64"/>
      <c r="JI21" s="64"/>
      <c r="JJ21" s="64"/>
      <c r="JK21" s="64"/>
      <c r="JL21" s="64"/>
      <c r="JM21" s="64"/>
      <c r="JN21" s="64"/>
      <c r="JO21" s="64"/>
      <c r="JP21" s="16"/>
      <c r="JQ21" s="39"/>
      <c r="JR21" s="64"/>
      <c r="JS21" s="64"/>
      <c r="JT21" s="64"/>
      <c r="JU21" s="64"/>
      <c r="JV21" s="64"/>
      <c r="JW21" s="64"/>
      <c r="JX21" s="64"/>
      <c r="JY21" s="64"/>
      <c r="JZ21" s="64"/>
      <c r="KA21" s="64"/>
      <c r="KB21" s="64"/>
      <c r="KC21" s="64"/>
      <c r="KD21" s="64"/>
      <c r="KE21" s="64"/>
      <c r="KF21" s="64"/>
      <c r="KG21" s="64"/>
      <c r="KH21" s="64"/>
      <c r="KI21" s="64"/>
      <c r="KJ21" s="64"/>
      <c r="KK21" s="64"/>
      <c r="KL21" s="64"/>
      <c r="KM21" s="64"/>
      <c r="KN21" s="64"/>
      <c r="KO21" s="64"/>
      <c r="KP21" s="64"/>
      <c r="KQ21" s="16"/>
    </row>
    <row r="22" spans="1:303" x14ac:dyDescent="0.35">
      <c r="A22" s="142">
        <f>Neu!B22</f>
        <v>0</v>
      </c>
      <c r="B22" s="87"/>
      <c r="C22" s="20"/>
      <c r="D22" s="45"/>
      <c r="E22" s="39"/>
      <c r="F22" s="16"/>
      <c r="G22" s="39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16"/>
      <c r="AH22" s="17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16"/>
      <c r="BI22" s="39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16"/>
      <c r="CJ22" s="39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16"/>
      <c r="DK22" s="39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45"/>
      <c r="EL22" s="39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16"/>
      <c r="FM22" s="17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45"/>
      <c r="GN22" s="39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/>
      <c r="HD22" s="64"/>
      <c r="HE22" s="64"/>
      <c r="HF22" s="64"/>
      <c r="HG22" s="64"/>
      <c r="HH22" s="64"/>
      <c r="HI22" s="64"/>
      <c r="HJ22" s="64"/>
      <c r="HK22" s="64"/>
      <c r="HL22" s="64"/>
      <c r="HM22" s="64"/>
      <c r="HN22" s="16"/>
      <c r="HO22" s="39"/>
      <c r="HP22" s="64"/>
      <c r="HQ22" s="64"/>
      <c r="HR22" s="64"/>
      <c r="HS22" s="64"/>
      <c r="HT22" s="64"/>
      <c r="HU22" s="64"/>
      <c r="HV22" s="64"/>
      <c r="HW22" s="64"/>
      <c r="HX22" s="64"/>
      <c r="HY22" s="64"/>
      <c r="HZ22" s="64"/>
      <c r="IA22" s="64"/>
      <c r="IB22" s="64"/>
      <c r="IC22" s="64"/>
      <c r="ID22" s="64"/>
      <c r="IE22" s="64"/>
      <c r="IF22" s="64"/>
      <c r="IG22" s="64"/>
      <c r="IH22" s="64"/>
      <c r="II22" s="64"/>
      <c r="IJ22" s="64"/>
      <c r="IK22" s="64"/>
      <c r="IL22" s="64"/>
      <c r="IM22" s="64"/>
      <c r="IN22" s="64"/>
      <c r="IO22" s="16"/>
      <c r="IP22" s="17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F22" s="64"/>
      <c r="JG22" s="64"/>
      <c r="JH22" s="64"/>
      <c r="JI22" s="64"/>
      <c r="JJ22" s="64"/>
      <c r="JK22" s="64"/>
      <c r="JL22" s="64"/>
      <c r="JM22" s="64"/>
      <c r="JN22" s="64"/>
      <c r="JO22" s="64"/>
      <c r="JP22" s="16"/>
      <c r="JQ22" s="39"/>
      <c r="JR22" s="64"/>
      <c r="JS22" s="64"/>
      <c r="JT22" s="64"/>
      <c r="JU22" s="64"/>
      <c r="JV22" s="64"/>
      <c r="JW22" s="64"/>
      <c r="JX22" s="64"/>
      <c r="JY22" s="64"/>
      <c r="JZ22" s="64"/>
      <c r="KA22" s="64"/>
      <c r="KB22" s="64"/>
      <c r="KC22" s="64"/>
      <c r="KD22" s="64"/>
      <c r="KE22" s="64"/>
      <c r="KF22" s="64"/>
      <c r="KG22" s="64"/>
      <c r="KH22" s="64"/>
      <c r="KI22" s="64"/>
      <c r="KJ22" s="64"/>
      <c r="KK22" s="64"/>
      <c r="KL22" s="64"/>
      <c r="KM22" s="64"/>
      <c r="KN22" s="64"/>
      <c r="KO22" s="64"/>
      <c r="KP22" s="64"/>
      <c r="KQ22" s="16"/>
    </row>
    <row r="23" spans="1:303" x14ac:dyDescent="0.35">
      <c r="A23" s="142">
        <f>Neu!B23</f>
        <v>0</v>
      </c>
      <c r="B23" s="87"/>
      <c r="C23" s="20"/>
      <c r="D23" s="45"/>
      <c r="E23" s="39"/>
      <c r="F23" s="16"/>
      <c r="G23" s="39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16"/>
      <c r="AH23" s="17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16"/>
      <c r="BI23" s="39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16"/>
      <c r="CJ23" s="39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16"/>
      <c r="DK23" s="39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45"/>
      <c r="EL23" s="39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16"/>
      <c r="FM23" s="39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45"/>
      <c r="GN23" s="39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/>
      <c r="HD23" s="64"/>
      <c r="HE23" s="64"/>
      <c r="HF23" s="64"/>
      <c r="HG23" s="64"/>
      <c r="HH23" s="64"/>
      <c r="HI23" s="64"/>
      <c r="HJ23" s="64"/>
      <c r="HK23" s="64"/>
      <c r="HL23" s="64"/>
      <c r="HM23" s="64"/>
      <c r="HN23" s="16"/>
      <c r="HO23" s="39"/>
      <c r="HP23" s="64"/>
      <c r="HQ23" s="64"/>
      <c r="HR23" s="64"/>
      <c r="HS23" s="64"/>
      <c r="HT23" s="64"/>
      <c r="HU23" s="64"/>
      <c r="HV23" s="64"/>
      <c r="HW23" s="64"/>
      <c r="HX23" s="64"/>
      <c r="HY23" s="64"/>
      <c r="HZ23" s="64"/>
      <c r="IA23" s="64"/>
      <c r="IB23" s="64"/>
      <c r="IC23" s="64"/>
      <c r="ID23" s="64"/>
      <c r="IE23" s="64"/>
      <c r="IF23" s="64"/>
      <c r="IG23" s="64"/>
      <c r="IH23" s="64"/>
      <c r="II23" s="64"/>
      <c r="IJ23" s="64"/>
      <c r="IK23" s="64"/>
      <c r="IL23" s="64"/>
      <c r="IM23" s="64"/>
      <c r="IN23" s="64"/>
      <c r="IO23" s="16"/>
      <c r="IP23" s="17"/>
      <c r="IQ23" s="64"/>
      <c r="IR23" s="64"/>
      <c r="IS23" s="64"/>
      <c r="IT23" s="64"/>
      <c r="IU23" s="64"/>
      <c r="IV23" s="64"/>
      <c r="IW23" s="64"/>
      <c r="IX23" s="64"/>
      <c r="IY23" s="64"/>
      <c r="IZ23" s="64"/>
      <c r="JA23" s="64"/>
      <c r="JB23" s="64"/>
      <c r="JC23" s="64"/>
      <c r="JD23" s="64"/>
      <c r="JE23" s="64"/>
      <c r="JF23" s="64"/>
      <c r="JG23" s="64"/>
      <c r="JH23" s="64"/>
      <c r="JI23" s="64"/>
      <c r="JJ23" s="64"/>
      <c r="JK23" s="64"/>
      <c r="JL23" s="64"/>
      <c r="JM23" s="64"/>
      <c r="JN23" s="64"/>
      <c r="JO23" s="64"/>
      <c r="JP23" s="16"/>
      <c r="JQ23" s="39"/>
      <c r="JR23" s="64"/>
      <c r="JS23" s="64"/>
      <c r="JT23" s="64"/>
      <c r="JU23" s="64"/>
      <c r="JV23" s="64"/>
      <c r="JW23" s="64"/>
      <c r="JX23" s="64"/>
      <c r="JY23" s="64"/>
      <c r="JZ23" s="64"/>
      <c r="KA23" s="64"/>
      <c r="KB23" s="64"/>
      <c r="KC23" s="64"/>
      <c r="KD23" s="64"/>
      <c r="KE23" s="64"/>
      <c r="KF23" s="64"/>
      <c r="KG23" s="64"/>
      <c r="KH23" s="64"/>
      <c r="KI23" s="64"/>
      <c r="KJ23" s="64"/>
      <c r="KK23" s="64"/>
      <c r="KL23" s="64"/>
      <c r="KM23" s="64"/>
      <c r="KN23" s="64"/>
      <c r="KO23" s="64"/>
      <c r="KP23" s="64"/>
      <c r="KQ23" s="16"/>
    </row>
    <row r="24" spans="1:303" s="156" customFormat="1" ht="15" thickBot="1" x14ac:dyDescent="0.4">
      <c r="A24" s="155">
        <f>Neu!B24</f>
        <v>0</v>
      </c>
      <c r="B24" s="88"/>
      <c r="C24" s="89"/>
      <c r="D24" s="46"/>
      <c r="E24" s="40"/>
      <c r="F24" s="41"/>
      <c r="G24" s="40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41"/>
      <c r="AH24" s="18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41"/>
      <c r="BI24" s="40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41"/>
      <c r="CJ24" s="40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41"/>
      <c r="DK24" s="40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46"/>
      <c r="EL24" s="40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41"/>
      <c r="FM24" s="40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46"/>
      <c r="GN24" s="40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41"/>
      <c r="HO24" s="40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41"/>
      <c r="IP24" s="18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41"/>
      <c r="JQ24" s="40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41"/>
    </row>
    <row r="25" spans="1:303" x14ac:dyDescent="0.35">
      <c r="D25" s="34"/>
      <c r="E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FE25" s="34"/>
      <c r="FF25" s="34"/>
      <c r="FG25" s="34"/>
      <c r="FH25" s="34"/>
      <c r="FI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L25" s="34"/>
      <c r="GN25" s="34"/>
      <c r="HJ25" s="34"/>
      <c r="HL25" s="34"/>
      <c r="HM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</row>
    <row r="26" spans="1:303" x14ac:dyDescent="0.35">
      <c r="D26" s="34"/>
      <c r="E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FE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L26" s="34"/>
      <c r="GN26" s="34"/>
      <c r="HJ26" s="34"/>
      <c r="HL26" s="34"/>
      <c r="HM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</row>
    <row r="27" spans="1:303" x14ac:dyDescent="0.35">
      <c r="D27" s="34"/>
      <c r="E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FE27" s="34"/>
      <c r="FF27" s="34"/>
      <c r="FG27" s="34"/>
      <c r="FH27" s="34"/>
      <c r="FI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L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HJ27" s="34"/>
      <c r="HL27" s="34"/>
      <c r="HM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</row>
    <row r="28" spans="1:303" x14ac:dyDescent="0.35"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</row>
    <row r="29" spans="1:303" ht="15" thickBot="1" x14ac:dyDescent="0.4">
      <c r="D29" s="56" t="s">
        <v>108</v>
      </c>
      <c r="O29" s="56" t="s">
        <v>109</v>
      </c>
      <c r="Z29" s="56" t="s">
        <v>110</v>
      </c>
      <c r="BD29" s="56" t="s">
        <v>210</v>
      </c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HO29" s="34"/>
    </row>
    <row r="30" spans="1:303" ht="15" thickBot="1" x14ac:dyDescent="0.4">
      <c r="D30" s="71" t="s">
        <v>0</v>
      </c>
      <c r="E30" s="52" t="s">
        <v>103</v>
      </c>
      <c r="F30" s="53" t="s">
        <v>105</v>
      </c>
      <c r="G30" s="54" t="s">
        <v>106</v>
      </c>
      <c r="H30" s="52" t="s">
        <v>103</v>
      </c>
      <c r="I30" s="53" t="s">
        <v>105</v>
      </c>
      <c r="J30" s="54" t="s">
        <v>106</v>
      </c>
      <c r="K30" s="52" t="s">
        <v>103</v>
      </c>
      <c r="L30" s="53" t="s">
        <v>105</v>
      </c>
      <c r="M30" s="54" t="s">
        <v>106</v>
      </c>
      <c r="O30" s="55" t="s">
        <v>0</v>
      </c>
      <c r="P30" s="52" t="s">
        <v>107</v>
      </c>
      <c r="Q30" s="54" t="s">
        <v>103</v>
      </c>
      <c r="R30" s="52" t="s">
        <v>107</v>
      </c>
      <c r="S30" s="54" t="s">
        <v>103</v>
      </c>
      <c r="T30" s="52" t="s">
        <v>107</v>
      </c>
      <c r="U30" s="54" t="s">
        <v>103</v>
      </c>
      <c r="V30" s="52" t="s">
        <v>107</v>
      </c>
      <c r="W30" s="54" t="s">
        <v>103</v>
      </c>
      <c r="X30" s="34"/>
      <c r="Z30" s="15" t="s">
        <v>0</v>
      </c>
      <c r="AA30" s="52" t="s">
        <v>103</v>
      </c>
      <c r="AB30" s="53" t="s">
        <v>107</v>
      </c>
      <c r="AC30" s="53" t="s">
        <v>122</v>
      </c>
      <c r="AD30" s="53" t="s">
        <v>121</v>
      </c>
      <c r="AE30" s="53" t="s">
        <v>119</v>
      </c>
      <c r="AF30" s="53" t="s">
        <v>120</v>
      </c>
      <c r="AG30" s="54" t="s">
        <v>116</v>
      </c>
      <c r="AH30" s="52" t="s">
        <v>103</v>
      </c>
      <c r="AI30" s="53" t="s">
        <v>107</v>
      </c>
      <c r="AJ30" s="53" t="s">
        <v>122</v>
      </c>
      <c r="AK30" s="53" t="s">
        <v>121</v>
      </c>
      <c r="AL30" s="53" t="s">
        <v>119</v>
      </c>
      <c r="AM30" s="53" t="s">
        <v>120</v>
      </c>
      <c r="AN30" s="54" t="s">
        <v>116</v>
      </c>
      <c r="AO30" s="52" t="s">
        <v>103</v>
      </c>
      <c r="AP30" s="53" t="s">
        <v>107</v>
      </c>
      <c r="AQ30" s="53" t="s">
        <v>122</v>
      </c>
      <c r="AR30" s="53" t="s">
        <v>121</v>
      </c>
      <c r="AS30" s="53" t="s">
        <v>119</v>
      </c>
      <c r="AT30" s="53" t="s">
        <v>120</v>
      </c>
      <c r="AU30" s="54" t="s">
        <v>116</v>
      </c>
      <c r="AV30" s="52" t="s">
        <v>103</v>
      </c>
      <c r="AW30" s="53" t="s">
        <v>107</v>
      </c>
      <c r="AX30" s="53" t="s">
        <v>122</v>
      </c>
      <c r="AY30" s="53" t="s">
        <v>121</v>
      </c>
      <c r="AZ30" s="53" t="s">
        <v>119</v>
      </c>
      <c r="BA30" s="53" t="s">
        <v>120</v>
      </c>
      <c r="BB30" s="54" t="s">
        <v>116</v>
      </c>
      <c r="BD30" s="71" t="s">
        <v>0</v>
      </c>
      <c r="BE30" s="52" t="s">
        <v>211</v>
      </c>
      <c r="DN30" s="34"/>
      <c r="DO30" s="34"/>
      <c r="DP30" s="34"/>
      <c r="DQ30" s="34"/>
      <c r="DR30" s="34"/>
      <c r="DS30" s="34"/>
      <c r="DT30" s="34"/>
      <c r="DU30" s="34"/>
      <c r="DV30" s="34"/>
      <c r="HO30" s="34"/>
    </row>
    <row r="31" spans="1:303" x14ac:dyDescent="0.35">
      <c r="D31" s="2" t="str">
        <f>Neu!$B4</f>
        <v>B51s</v>
      </c>
      <c r="E31" s="39" t="s">
        <v>104</v>
      </c>
      <c r="F31" s="64">
        <v>8</v>
      </c>
      <c r="G31" s="64">
        <v>1</v>
      </c>
      <c r="H31" s="39"/>
      <c r="I31" s="64"/>
      <c r="J31" s="16"/>
      <c r="K31" s="39"/>
      <c r="L31" s="64"/>
      <c r="M31" s="16"/>
      <c r="O31" s="2" t="str">
        <f>Neu!$B4</f>
        <v>B51s</v>
      </c>
      <c r="P31" s="39" t="s">
        <v>138</v>
      </c>
      <c r="Q31" s="16" t="s">
        <v>104</v>
      </c>
      <c r="R31" s="39" t="s">
        <v>137</v>
      </c>
      <c r="S31" s="16" t="s">
        <v>104</v>
      </c>
      <c r="T31" s="39"/>
      <c r="U31" s="16"/>
      <c r="V31" s="39"/>
      <c r="W31" s="16"/>
      <c r="Z31" s="2" t="str">
        <f>Neu!$B4</f>
        <v>B51s</v>
      </c>
      <c r="AA31" s="39" t="s">
        <v>104</v>
      </c>
      <c r="AB31" s="64" t="s">
        <v>118</v>
      </c>
      <c r="AC31" s="64">
        <v>1</v>
      </c>
      <c r="AD31" s="30">
        <v>1</v>
      </c>
      <c r="AE31" s="64">
        <v>20</v>
      </c>
      <c r="AF31" s="64">
        <v>0</v>
      </c>
      <c r="AG31" s="16"/>
      <c r="AH31" s="39"/>
      <c r="AI31" s="64"/>
      <c r="AJ31" s="64"/>
      <c r="AK31" s="30"/>
      <c r="AL31" s="64"/>
      <c r="AM31" s="64"/>
      <c r="AN31" s="16"/>
      <c r="AO31" s="39"/>
      <c r="AP31" s="64"/>
      <c r="AQ31" s="64"/>
      <c r="AR31" s="64"/>
      <c r="AS31" s="64"/>
      <c r="AT31" s="64"/>
      <c r="AU31" s="16"/>
      <c r="AV31" s="39"/>
      <c r="AW31" s="64"/>
      <c r="AX31" s="64"/>
      <c r="AY31" s="64"/>
      <c r="AZ31" s="64"/>
      <c r="BA31" s="64"/>
      <c r="BB31" s="16"/>
      <c r="BD31" s="2" t="str">
        <f>Neu!$B4</f>
        <v>B51s</v>
      </c>
      <c r="BE31" s="39">
        <v>-80</v>
      </c>
      <c r="DN31" s="34"/>
      <c r="DO31" s="34"/>
      <c r="DP31" s="34"/>
      <c r="DQ31" s="34"/>
      <c r="DR31" s="34"/>
      <c r="DS31" s="34"/>
      <c r="DT31" s="34"/>
      <c r="DU31" s="34"/>
      <c r="DV31" s="34"/>
      <c r="HO31" s="34"/>
    </row>
    <row r="32" spans="1:303" x14ac:dyDescent="0.35">
      <c r="D32" s="3" t="str">
        <f>Neu!$B5</f>
        <v>B64s</v>
      </c>
      <c r="E32" s="39" t="s">
        <v>104</v>
      </c>
      <c r="F32" s="64">
        <f>F$31</f>
        <v>8</v>
      </c>
      <c r="G32" s="64">
        <f t="shared" ref="G32:G33" si="5">G$31</f>
        <v>1</v>
      </c>
      <c r="H32" s="39"/>
      <c r="I32" s="64"/>
      <c r="J32" s="16"/>
      <c r="K32" s="39"/>
      <c r="L32" s="64"/>
      <c r="M32" s="16"/>
      <c r="O32" s="3" t="str">
        <f>Neu!$B5</f>
        <v>B64s</v>
      </c>
      <c r="P32" s="39" t="s">
        <v>138</v>
      </c>
      <c r="Q32" s="16" t="s">
        <v>104</v>
      </c>
      <c r="R32" s="39" t="s">
        <v>137</v>
      </c>
      <c r="S32" s="16" t="s">
        <v>104</v>
      </c>
      <c r="T32" s="39"/>
      <c r="U32" s="16"/>
      <c r="V32" s="39"/>
      <c r="W32" s="16"/>
      <c r="Z32" s="3" t="str">
        <f>Neu!$B5</f>
        <v>B64s</v>
      </c>
      <c r="AA32" s="39" t="s">
        <v>104</v>
      </c>
      <c r="AB32" s="64" t="s">
        <v>118</v>
      </c>
      <c r="AC32" s="64">
        <v>1</v>
      </c>
      <c r="AD32" s="30">
        <v>1</v>
      </c>
      <c r="AE32" s="64">
        <f>AE31</f>
        <v>20</v>
      </c>
      <c r="AF32" s="64">
        <v>0</v>
      </c>
      <c r="AG32" s="16"/>
      <c r="AH32" s="39"/>
      <c r="AI32" s="64"/>
      <c r="AJ32" s="64"/>
      <c r="AK32" s="30"/>
      <c r="AL32" s="64"/>
      <c r="AM32" s="64"/>
      <c r="AN32" s="16"/>
      <c r="AO32" s="39"/>
      <c r="AP32" s="64"/>
      <c r="AQ32" s="64"/>
      <c r="AR32" s="64"/>
      <c r="AS32" s="64"/>
      <c r="AT32" s="64"/>
      <c r="AU32" s="16"/>
      <c r="AV32" s="39"/>
      <c r="AW32" s="64"/>
      <c r="AX32" s="64"/>
      <c r="AY32" s="64"/>
      <c r="AZ32" s="64"/>
      <c r="BA32" s="64"/>
      <c r="BB32" s="16"/>
      <c r="BD32" s="3" t="str">
        <f>Neu!$B5</f>
        <v>B64s</v>
      </c>
      <c r="BE32" s="39">
        <v>-80</v>
      </c>
      <c r="DN32" s="34"/>
      <c r="DO32" s="34"/>
      <c r="DP32" s="34"/>
      <c r="DQ32" s="34"/>
      <c r="DR32" s="34"/>
      <c r="DS32" s="34"/>
      <c r="DT32" s="34"/>
      <c r="DU32" s="34"/>
      <c r="DV32" s="34"/>
    </row>
    <row r="33" spans="4:126" x14ac:dyDescent="0.35">
      <c r="D33" s="3" t="str">
        <f>Neu!$B6</f>
        <v>B8</v>
      </c>
      <c r="E33" s="39" t="s">
        <v>104</v>
      </c>
      <c r="F33" s="64">
        <v>80</v>
      </c>
      <c r="G33" s="64">
        <f t="shared" si="5"/>
        <v>1</v>
      </c>
      <c r="H33" s="39"/>
      <c r="I33" s="64"/>
      <c r="J33" s="16"/>
      <c r="K33" s="39"/>
      <c r="L33" s="64"/>
      <c r="M33" s="16"/>
      <c r="O33" s="3" t="str">
        <f>Neu!$B6</f>
        <v>B8</v>
      </c>
      <c r="P33" s="39" t="s">
        <v>138</v>
      </c>
      <c r="Q33" s="16" t="s">
        <v>104</v>
      </c>
      <c r="R33" s="39" t="s">
        <v>137</v>
      </c>
      <c r="S33" s="16" t="s">
        <v>104</v>
      </c>
      <c r="T33" s="39"/>
      <c r="U33" s="16"/>
      <c r="V33" s="39"/>
      <c r="W33" s="16"/>
      <c r="Z33" s="3" t="str">
        <f>Neu!$B6</f>
        <v>B8</v>
      </c>
      <c r="AA33" s="39" t="s">
        <v>104</v>
      </c>
      <c r="AB33" s="64" t="s">
        <v>118</v>
      </c>
      <c r="AC33" s="64">
        <f>AC31</f>
        <v>1</v>
      </c>
      <c r="AD33" s="30">
        <f>AD31</f>
        <v>1</v>
      </c>
      <c r="AE33" s="64">
        <v>0.7</v>
      </c>
      <c r="AF33" s="64">
        <v>0</v>
      </c>
      <c r="AG33" s="16"/>
      <c r="AH33" s="39"/>
      <c r="AI33" s="64"/>
      <c r="AJ33" s="64"/>
      <c r="AK33" s="30"/>
      <c r="AL33" s="64"/>
      <c r="AM33" s="64"/>
      <c r="AN33" s="16"/>
      <c r="AO33" s="39"/>
      <c r="AP33" s="64"/>
      <c r="AQ33" s="64"/>
      <c r="AR33" s="64"/>
      <c r="AS33" s="64"/>
      <c r="AT33" s="64"/>
      <c r="AU33" s="16"/>
      <c r="AV33" s="39"/>
      <c r="AW33" s="64"/>
      <c r="AX33" s="64"/>
      <c r="AY33" s="64"/>
      <c r="AZ33" s="64"/>
      <c r="BA33" s="64"/>
      <c r="BB33" s="16"/>
      <c r="BD33" s="3" t="str">
        <f>Neu!$B6</f>
        <v>B8</v>
      </c>
      <c r="BE33" s="39">
        <v>-80</v>
      </c>
      <c r="DN33" s="34"/>
      <c r="DO33" s="34"/>
      <c r="DP33" s="34"/>
      <c r="DQ33" s="34"/>
      <c r="DR33" s="34"/>
      <c r="DS33" s="34"/>
      <c r="DT33" s="34"/>
      <c r="DU33" s="34"/>
      <c r="DV33" s="34"/>
    </row>
    <row r="34" spans="4:126" x14ac:dyDescent="0.35">
      <c r="D34" s="3">
        <f>Neu!$B7</f>
        <v>0</v>
      </c>
      <c r="E34" s="17"/>
      <c r="F34" s="64"/>
      <c r="G34" s="16"/>
      <c r="H34" s="39"/>
      <c r="I34" s="64"/>
      <c r="J34" s="16"/>
      <c r="K34" s="39"/>
      <c r="L34" s="64"/>
      <c r="M34" s="16"/>
      <c r="O34" s="3">
        <f>Neu!$B7</f>
        <v>0</v>
      </c>
      <c r="P34" s="39"/>
      <c r="Q34" s="16"/>
      <c r="R34" s="39"/>
      <c r="S34" s="16"/>
      <c r="T34" s="39"/>
      <c r="U34" s="16"/>
      <c r="V34" s="39"/>
      <c r="W34" s="16"/>
      <c r="Z34" s="3">
        <f>Neu!$B7</f>
        <v>0</v>
      </c>
      <c r="AA34" s="39"/>
      <c r="AB34" s="64"/>
      <c r="AC34" s="64"/>
      <c r="AD34" s="64"/>
      <c r="AE34" s="64"/>
      <c r="AF34" s="64"/>
      <c r="AG34" s="16"/>
      <c r="AH34" s="39"/>
      <c r="AI34" s="64"/>
      <c r="AJ34" s="64"/>
      <c r="AK34" s="64"/>
      <c r="AL34" s="64"/>
      <c r="AM34" s="64"/>
      <c r="AN34" s="16"/>
      <c r="AO34" s="39"/>
      <c r="AP34" s="64"/>
      <c r="AQ34" s="64"/>
      <c r="AR34" s="64"/>
      <c r="AS34" s="64"/>
      <c r="AT34" s="64"/>
      <c r="AU34" s="16"/>
      <c r="AV34" s="39"/>
      <c r="AW34" s="64"/>
      <c r="AX34" s="64"/>
      <c r="AY34" s="64"/>
      <c r="AZ34" s="64"/>
      <c r="BA34" s="64"/>
      <c r="BB34" s="16"/>
      <c r="BD34" s="3">
        <f>Neu!$B7</f>
        <v>0</v>
      </c>
      <c r="BE34" s="17"/>
    </row>
    <row r="35" spans="4:126" x14ac:dyDescent="0.35">
      <c r="D35" s="3">
        <f>Neu!$B8</f>
        <v>0</v>
      </c>
      <c r="E35" s="17"/>
      <c r="F35" s="64"/>
      <c r="G35" s="16"/>
      <c r="H35" s="39"/>
      <c r="I35" s="64"/>
      <c r="J35" s="16"/>
      <c r="K35" s="39"/>
      <c r="L35" s="64"/>
      <c r="M35" s="16"/>
      <c r="O35" s="3">
        <f>Neu!$B8</f>
        <v>0</v>
      </c>
      <c r="P35" s="39"/>
      <c r="Q35" s="16"/>
      <c r="R35" s="39"/>
      <c r="S35" s="16"/>
      <c r="T35" s="39"/>
      <c r="U35" s="16"/>
      <c r="V35" s="39"/>
      <c r="W35" s="16"/>
      <c r="Z35" s="3">
        <f>Neu!$B8</f>
        <v>0</v>
      </c>
      <c r="AA35" s="39"/>
      <c r="AB35" s="64"/>
      <c r="AC35" s="64"/>
      <c r="AD35" s="30"/>
      <c r="AE35" s="64"/>
      <c r="AF35" s="64"/>
      <c r="AG35" s="16"/>
      <c r="AH35" s="39"/>
      <c r="AI35" s="64"/>
      <c r="AJ35" s="64"/>
      <c r="AK35" s="30"/>
      <c r="AL35" s="64"/>
      <c r="AM35" s="64"/>
      <c r="AN35" s="16"/>
      <c r="AO35" s="39"/>
      <c r="AP35" s="64"/>
      <c r="AQ35" s="64"/>
      <c r="AR35" s="64"/>
      <c r="AS35" s="64"/>
      <c r="AT35" s="64"/>
      <c r="AU35" s="16"/>
      <c r="AV35" s="39"/>
      <c r="AW35" s="64"/>
      <c r="AX35" s="64"/>
      <c r="AY35" s="64"/>
      <c r="AZ35" s="64"/>
      <c r="BA35" s="64"/>
      <c r="BB35" s="16"/>
      <c r="BD35" s="3">
        <f>Neu!$B8</f>
        <v>0</v>
      </c>
      <c r="BE35" s="17"/>
    </row>
    <row r="36" spans="4:126" x14ac:dyDescent="0.35">
      <c r="D36" s="3">
        <f>Neu!$B9</f>
        <v>0</v>
      </c>
      <c r="E36" s="17"/>
      <c r="F36" s="64"/>
      <c r="G36" s="16"/>
      <c r="H36" s="39"/>
      <c r="I36" s="64"/>
      <c r="J36" s="16"/>
      <c r="K36" s="39"/>
      <c r="L36" s="64"/>
      <c r="M36" s="16"/>
      <c r="O36" s="3">
        <f>Neu!$B9</f>
        <v>0</v>
      </c>
      <c r="P36" s="39"/>
      <c r="Q36" s="16"/>
      <c r="R36" s="39"/>
      <c r="S36" s="16"/>
      <c r="T36" s="39"/>
      <c r="U36" s="16"/>
      <c r="V36" s="39"/>
      <c r="W36" s="16"/>
      <c r="Z36" s="3">
        <f>Neu!$B9</f>
        <v>0</v>
      </c>
      <c r="AA36" s="39"/>
      <c r="AB36" s="64"/>
      <c r="AC36" s="64"/>
      <c r="AD36" s="64"/>
      <c r="AE36" s="64"/>
      <c r="AF36" s="64"/>
      <c r="AG36" s="16"/>
      <c r="AH36" s="39"/>
      <c r="AI36" s="64"/>
      <c r="AJ36" s="64"/>
      <c r="AK36" s="64"/>
      <c r="AL36" s="64"/>
      <c r="AM36" s="64"/>
      <c r="AN36" s="16"/>
      <c r="AO36" s="39"/>
      <c r="AP36" s="64"/>
      <c r="AQ36" s="64"/>
      <c r="AR36" s="64"/>
      <c r="AS36" s="64"/>
      <c r="AT36" s="64"/>
      <c r="AU36" s="16"/>
      <c r="AV36" s="39"/>
      <c r="AW36" s="64"/>
      <c r="AX36" s="64"/>
      <c r="AY36" s="64"/>
      <c r="AZ36" s="64"/>
      <c r="BA36" s="64"/>
      <c r="BB36" s="16"/>
      <c r="BD36" s="3">
        <f>Neu!$B9</f>
        <v>0</v>
      </c>
      <c r="BE36" s="17"/>
    </row>
    <row r="37" spans="4:126" x14ac:dyDescent="0.35">
      <c r="D37" s="3">
        <f>Neu!$B10</f>
        <v>0</v>
      </c>
      <c r="E37" s="17"/>
      <c r="F37" s="64"/>
      <c r="G37" s="16"/>
      <c r="H37" s="39"/>
      <c r="I37" s="64"/>
      <c r="J37" s="16"/>
      <c r="K37" s="39"/>
      <c r="L37" s="64"/>
      <c r="M37" s="16"/>
      <c r="O37" s="3">
        <f>Neu!$B10</f>
        <v>0</v>
      </c>
      <c r="P37" s="39"/>
      <c r="Q37" s="16"/>
      <c r="R37" s="39"/>
      <c r="S37" s="16"/>
      <c r="T37" s="39"/>
      <c r="U37" s="16"/>
      <c r="V37" s="39"/>
      <c r="W37" s="16"/>
      <c r="Z37" s="3">
        <f>Neu!$B10</f>
        <v>0</v>
      </c>
      <c r="AA37" s="39"/>
      <c r="AB37" s="64"/>
      <c r="AC37" s="64"/>
      <c r="AD37" s="30"/>
      <c r="AE37" s="64"/>
      <c r="AF37" s="64"/>
      <c r="AG37" s="16"/>
      <c r="AH37" s="39"/>
      <c r="AI37" s="64"/>
      <c r="AJ37" s="64"/>
      <c r="AK37" s="64"/>
      <c r="AL37" s="64"/>
      <c r="AM37" s="64"/>
      <c r="AN37" s="16"/>
      <c r="AO37" s="39"/>
      <c r="AP37" s="64"/>
      <c r="AQ37" s="64"/>
      <c r="AR37" s="64"/>
      <c r="AS37" s="64"/>
      <c r="AT37" s="64"/>
      <c r="AU37" s="16"/>
      <c r="AV37" s="39"/>
      <c r="AW37" s="64"/>
      <c r="AX37" s="64"/>
      <c r="AY37" s="64"/>
      <c r="AZ37" s="64"/>
      <c r="BA37" s="64"/>
      <c r="BB37" s="16"/>
      <c r="BD37" s="3">
        <f>Neu!$B10</f>
        <v>0</v>
      </c>
      <c r="BE37" s="17"/>
    </row>
    <row r="38" spans="4:126" x14ac:dyDescent="0.35">
      <c r="D38" s="3">
        <f>Neu!$B11</f>
        <v>0</v>
      </c>
      <c r="E38" s="17"/>
      <c r="F38" s="64"/>
      <c r="G38" s="16"/>
      <c r="H38" s="39"/>
      <c r="I38" s="64"/>
      <c r="J38" s="16"/>
      <c r="K38" s="39"/>
      <c r="L38" s="64"/>
      <c r="M38" s="16"/>
      <c r="O38" s="3">
        <f>Neu!$B11</f>
        <v>0</v>
      </c>
      <c r="P38" s="39"/>
      <c r="Q38" s="16"/>
      <c r="R38" s="39"/>
      <c r="S38" s="16"/>
      <c r="T38" s="39"/>
      <c r="U38" s="16"/>
      <c r="V38" s="39"/>
      <c r="W38" s="16"/>
      <c r="Z38" s="3">
        <f>Neu!$B11</f>
        <v>0</v>
      </c>
      <c r="AA38" s="39"/>
      <c r="AB38" s="64"/>
      <c r="AC38" s="64"/>
      <c r="AD38" s="30"/>
      <c r="AE38" s="64"/>
      <c r="AF38" s="64"/>
      <c r="AG38" s="16"/>
      <c r="AH38" s="39"/>
      <c r="AI38" s="64"/>
      <c r="AJ38" s="64"/>
      <c r="AK38" s="64"/>
      <c r="AL38" s="64"/>
      <c r="AM38" s="64"/>
      <c r="AN38" s="16"/>
      <c r="AO38" s="39"/>
      <c r="AP38" s="64"/>
      <c r="AQ38" s="64"/>
      <c r="AR38" s="64"/>
      <c r="AS38" s="64"/>
      <c r="AT38" s="64"/>
      <c r="AU38" s="16"/>
      <c r="AV38" s="39"/>
      <c r="AW38" s="64"/>
      <c r="AX38" s="64"/>
      <c r="AY38" s="64"/>
      <c r="AZ38" s="64"/>
      <c r="BA38" s="64"/>
      <c r="BB38" s="16"/>
      <c r="BD38" s="3">
        <f>Neu!$B11</f>
        <v>0</v>
      </c>
      <c r="BE38" s="17"/>
    </row>
    <row r="39" spans="4:126" x14ac:dyDescent="0.35">
      <c r="D39" s="3">
        <f>Neu!$B12</f>
        <v>0</v>
      </c>
      <c r="E39" s="17"/>
      <c r="F39" s="64"/>
      <c r="G39" s="16"/>
      <c r="H39" s="39"/>
      <c r="I39" s="64"/>
      <c r="J39" s="16"/>
      <c r="K39" s="39"/>
      <c r="L39" s="64"/>
      <c r="M39" s="16"/>
      <c r="O39" s="3">
        <f>Neu!$B12</f>
        <v>0</v>
      </c>
      <c r="P39" s="39"/>
      <c r="Q39" s="16"/>
      <c r="R39" s="39"/>
      <c r="S39" s="16"/>
      <c r="T39" s="39"/>
      <c r="U39" s="16"/>
      <c r="V39" s="39"/>
      <c r="W39" s="16"/>
      <c r="Z39" s="3">
        <f>Neu!$B12</f>
        <v>0</v>
      </c>
      <c r="AA39" s="39"/>
      <c r="AB39" s="64"/>
      <c r="AC39" s="64"/>
      <c r="AD39" s="30"/>
      <c r="AE39" s="64"/>
      <c r="AF39" s="64"/>
      <c r="AG39" s="16"/>
      <c r="AH39" s="39"/>
      <c r="AI39" s="64"/>
      <c r="AJ39" s="64"/>
      <c r="AK39" s="64"/>
      <c r="AL39" s="64"/>
      <c r="AM39" s="64"/>
      <c r="AN39" s="16"/>
      <c r="AO39" s="39"/>
      <c r="AP39" s="64"/>
      <c r="AQ39" s="64"/>
      <c r="AR39" s="64"/>
      <c r="AS39" s="64"/>
      <c r="AT39" s="64"/>
      <c r="AU39" s="16"/>
      <c r="AV39" s="39"/>
      <c r="AW39" s="64"/>
      <c r="AX39" s="64"/>
      <c r="AY39" s="64"/>
      <c r="AZ39" s="64"/>
      <c r="BA39" s="64"/>
      <c r="BB39" s="16"/>
      <c r="BD39" s="3">
        <f>Neu!$B12</f>
        <v>0</v>
      </c>
      <c r="BE39" s="17"/>
    </row>
    <row r="40" spans="4:126" x14ac:dyDescent="0.35">
      <c r="D40" s="3">
        <f>Neu!$B13</f>
        <v>0</v>
      </c>
      <c r="E40" s="17"/>
      <c r="F40" s="64"/>
      <c r="G40" s="16"/>
      <c r="H40" s="39"/>
      <c r="I40" s="64"/>
      <c r="J40" s="16"/>
      <c r="K40" s="39"/>
      <c r="L40" s="64"/>
      <c r="M40" s="16"/>
      <c r="O40" s="3">
        <f>Neu!$B13</f>
        <v>0</v>
      </c>
      <c r="P40" s="39"/>
      <c r="Q40" s="16"/>
      <c r="R40" s="39"/>
      <c r="S40" s="16"/>
      <c r="T40" s="39"/>
      <c r="U40" s="16"/>
      <c r="V40" s="39"/>
      <c r="W40" s="16"/>
      <c r="Z40" s="3">
        <f>Neu!$B13</f>
        <v>0</v>
      </c>
      <c r="AA40" s="39"/>
      <c r="AB40" s="64"/>
      <c r="AC40" s="64"/>
      <c r="AD40" s="30"/>
      <c r="AE40" s="64"/>
      <c r="AF40" s="64"/>
      <c r="AG40" s="16"/>
      <c r="AH40" s="39"/>
      <c r="AI40" s="64"/>
      <c r="AJ40" s="64"/>
      <c r="AK40" s="64"/>
      <c r="AL40" s="64"/>
      <c r="AM40" s="64"/>
      <c r="AN40" s="16"/>
      <c r="AO40" s="39"/>
      <c r="AP40" s="64"/>
      <c r="AQ40" s="64"/>
      <c r="AR40" s="64"/>
      <c r="AS40" s="64"/>
      <c r="AT40" s="64"/>
      <c r="AU40" s="16"/>
      <c r="AV40" s="39"/>
      <c r="AW40" s="64"/>
      <c r="AX40" s="64"/>
      <c r="AY40" s="64"/>
      <c r="AZ40" s="64"/>
      <c r="BA40" s="64"/>
      <c r="BB40" s="16"/>
      <c r="BD40" s="3">
        <f>Neu!$B13</f>
        <v>0</v>
      </c>
      <c r="BE40" s="17"/>
    </row>
    <row r="41" spans="4:126" x14ac:dyDescent="0.35">
      <c r="D41" s="3">
        <f>Neu!$B14</f>
        <v>0</v>
      </c>
      <c r="E41" s="17"/>
      <c r="F41" s="64"/>
      <c r="G41" s="16"/>
      <c r="H41" s="39"/>
      <c r="I41" s="64"/>
      <c r="J41" s="16"/>
      <c r="K41" s="39"/>
      <c r="L41" s="64"/>
      <c r="M41" s="16"/>
      <c r="O41" s="3">
        <f>Neu!$B14</f>
        <v>0</v>
      </c>
      <c r="P41" s="39"/>
      <c r="Q41" s="16"/>
      <c r="R41" s="39"/>
      <c r="S41" s="16"/>
      <c r="T41" s="39"/>
      <c r="U41" s="16"/>
      <c r="V41" s="39"/>
      <c r="W41" s="16"/>
      <c r="Z41" s="3">
        <f>Neu!$B14</f>
        <v>0</v>
      </c>
      <c r="AA41" s="39"/>
      <c r="AB41" s="64"/>
      <c r="AC41" s="64"/>
      <c r="AD41" s="30"/>
      <c r="AE41" s="64"/>
      <c r="AF41" s="64"/>
      <c r="AG41" s="16"/>
      <c r="AH41" s="39"/>
      <c r="AI41" s="64"/>
      <c r="AJ41" s="64"/>
      <c r="AK41" s="64"/>
      <c r="AL41" s="64"/>
      <c r="AM41" s="64"/>
      <c r="AN41" s="16"/>
      <c r="AO41" s="39"/>
      <c r="AP41" s="64"/>
      <c r="AQ41" s="64"/>
      <c r="AR41" s="64"/>
      <c r="AS41" s="64"/>
      <c r="AT41" s="64"/>
      <c r="AU41" s="16"/>
      <c r="AV41" s="39"/>
      <c r="AW41" s="64"/>
      <c r="AX41" s="64"/>
      <c r="AY41" s="64"/>
      <c r="AZ41" s="64"/>
      <c r="BA41" s="64"/>
      <c r="BB41" s="16"/>
      <c r="BD41" s="3">
        <f>Neu!$B14</f>
        <v>0</v>
      </c>
      <c r="BE41" s="17"/>
    </row>
    <row r="42" spans="4:126" x14ac:dyDescent="0.35">
      <c r="D42" s="3">
        <f>Neu!$B15</f>
        <v>0</v>
      </c>
      <c r="E42" s="17"/>
      <c r="F42" s="64"/>
      <c r="G42" s="16"/>
      <c r="H42" s="39"/>
      <c r="I42" s="64"/>
      <c r="J42" s="16"/>
      <c r="K42" s="39"/>
      <c r="L42" s="64"/>
      <c r="M42" s="16"/>
      <c r="O42" s="3">
        <f>Neu!$B15</f>
        <v>0</v>
      </c>
      <c r="P42" s="39"/>
      <c r="Q42" s="16"/>
      <c r="R42" s="39"/>
      <c r="S42" s="16"/>
      <c r="T42" s="39"/>
      <c r="U42" s="16"/>
      <c r="V42" s="39"/>
      <c r="W42" s="16"/>
      <c r="Z42" s="3">
        <f>Neu!$B15</f>
        <v>0</v>
      </c>
      <c r="AA42" s="39"/>
      <c r="AB42" s="64"/>
      <c r="AC42" s="64"/>
      <c r="AD42" s="30"/>
      <c r="AE42" s="64"/>
      <c r="AF42" s="64"/>
      <c r="AG42" s="16"/>
      <c r="AH42" s="39"/>
      <c r="AI42" s="64"/>
      <c r="AJ42" s="64"/>
      <c r="AK42" s="64"/>
      <c r="AL42" s="64"/>
      <c r="AM42" s="64"/>
      <c r="AN42" s="16"/>
      <c r="AO42" s="39"/>
      <c r="AP42" s="64"/>
      <c r="AQ42" s="64"/>
      <c r="AR42" s="64"/>
      <c r="AS42" s="64"/>
      <c r="AT42" s="64"/>
      <c r="AU42" s="16"/>
      <c r="AV42" s="39"/>
      <c r="AW42" s="64"/>
      <c r="AX42" s="64"/>
      <c r="AY42" s="64"/>
      <c r="AZ42" s="64"/>
      <c r="BA42" s="64"/>
      <c r="BB42" s="16"/>
      <c r="BD42" s="3">
        <f>Neu!$B15</f>
        <v>0</v>
      </c>
      <c r="BE42" s="17"/>
    </row>
    <row r="43" spans="4:126" x14ac:dyDescent="0.35">
      <c r="D43" s="3">
        <f>Neu!$B16</f>
        <v>0</v>
      </c>
      <c r="E43" s="17"/>
      <c r="F43" s="64"/>
      <c r="G43" s="16"/>
      <c r="H43" s="39"/>
      <c r="I43" s="64"/>
      <c r="J43" s="16"/>
      <c r="K43" s="39"/>
      <c r="L43" s="64"/>
      <c r="M43" s="16"/>
      <c r="O43" s="3">
        <f>Neu!$B16</f>
        <v>0</v>
      </c>
      <c r="P43" s="39"/>
      <c r="Q43" s="16"/>
      <c r="R43" s="39"/>
      <c r="S43" s="16"/>
      <c r="T43" s="39"/>
      <c r="U43" s="16"/>
      <c r="V43" s="39"/>
      <c r="W43" s="16"/>
      <c r="Z43" s="3">
        <f>Neu!$B16</f>
        <v>0</v>
      </c>
      <c r="AA43" s="39"/>
      <c r="AB43" s="64"/>
      <c r="AC43" s="64"/>
      <c r="AD43" s="30"/>
      <c r="AE43" s="64"/>
      <c r="AF43" s="64"/>
      <c r="AG43" s="16"/>
      <c r="AH43" s="39"/>
      <c r="AI43" s="64"/>
      <c r="AJ43" s="64"/>
      <c r="AK43" s="64"/>
      <c r="AL43" s="64"/>
      <c r="AM43" s="64"/>
      <c r="AN43" s="16"/>
      <c r="AO43" s="39"/>
      <c r="AP43" s="64"/>
      <c r="AQ43" s="64"/>
      <c r="AR43" s="64"/>
      <c r="AS43" s="64"/>
      <c r="AT43" s="64"/>
      <c r="AU43" s="16"/>
      <c r="AV43" s="39"/>
      <c r="AW43" s="64"/>
      <c r="AX43" s="64"/>
      <c r="AY43" s="64"/>
      <c r="AZ43" s="64"/>
      <c r="BA43" s="64"/>
      <c r="BB43" s="16"/>
      <c r="BD43" s="3">
        <f>Neu!$B16</f>
        <v>0</v>
      </c>
      <c r="BE43" s="17"/>
    </row>
    <row r="44" spans="4:126" x14ac:dyDescent="0.35">
      <c r="D44" s="3">
        <f>Neu!$B17</f>
        <v>0</v>
      </c>
      <c r="E44" s="17"/>
      <c r="F44" s="64"/>
      <c r="G44" s="16"/>
      <c r="H44" s="39"/>
      <c r="I44" s="64"/>
      <c r="J44" s="16"/>
      <c r="K44" s="39"/>
      <c r="L44" s="64"/>
      <c r="M44" s="16"/>
      <c r="O44" s="3">
        <f>Neu!$B17</f>
        <v>0</v>
      </c>
      <c r="P44" s="39"/>
      <c r="Q44" s="16"/>
      <c r="R44" s="39"/>
      <c r="S44" s="16"/>
      <c r="T44" s="39"/>
      <c r="U44" s="16"/>
      <c r="V44" s="39"/>
      <c r="W44" s="16"/>
      <c r="Z44" s="3">
        <f>Neu!$B17</f>
        <v>0</v>
      </c>
      <c r="AA44" s="39"/>
      <c r="AB44" s="64"/>
      <c r="AC44" s="64"/>
      <c r="AD44" s="30"/>
      <c r="AE44" s="64"/>
      <c r="AF44" s="64"/>
      <c r="AG44" s="16"/>
      <c r="AH44" s="39"/>
      <c r="AI44" s="64"/>
      <c r="AJ44" s="64"/>
      <c r="AK44" s="64"/>
      <c r="AL44" s="64"/>
      <c r="AM44" s="64"/>
      <c r="AN44" s="16"/>
      <c r="AO44" s="39"/>
      <c r="AP44" s="64"/>
      <c r="AQ44" s="64"/>
      <c r="AR44" s="64"/>
      <c r="AS44" s="64"/>
      <c r="AT44" s="64"/>
      <c r="AU44" s="16"/>
      <c r="AV44" s="39"/>
      <c r="AW44" s="64"/>
      <c r="AX44" s="64"/>
      <c r="AY44" s="64"/>
      <c r="AZ44" s="64"/>
      <c r="BA44" s="64"/>
      <c r="BB44" s="16"/>
      <c r="BD44" s="3">
        <f>Neu!$B17</f>
        <v>0</v>
      </c>
      <c r="BE44" s="17"/>
    </row>
    <row r="45" spans="4:126" x14ac:dyDescent="0.35">
      <c r="D45" s="3">
        <f>Neu!$B18</f>
        <v>0</v>
      </c>
      <c r="E45" s="17"/>
      <c r="F45" s="64"/>
      <c r="G45" s="16"/>
      <c r="H45" s="39"/>
      <c r="I45" s="64"/>
      <c r="J45" s="16"/>
      <c r="K45" s="39"/>
      <c r="L45" s="64"/>
      <c r="M45" s="16"/>
      <c r="O45" s="3">
        <f>Neu!$B18</f>
        <v>0</v>
      </c>
      <c r="P45" s="39"/>
      <c r="Q45" s="16"/>
      <c r="R45" s="39"/>
      <c r="S45" s="16"/>
      <c r="T45" s="39"/>
      <c r="U45" s="16"/>
      <c r="V45" s="39"/>
      <c r="W45" s="16"/>
      <c r="Z45" s="3">
        <f>Neu!$B18</f>
        <v>0</v>
      </c>
      <c r="AA45" s="39"/>
      <c r="AB45" s="64"/>
      <c r="AC45" s="64"/>
      <c r="AD45" s="30"/>
      <c r="AE45" s="64"/>
      <c r="AF45" s="64"/>
      <c r="AG45" s="16"/>
      <c r="AH45" s="39"/>
      <c r="AI45" s="64"/>
      <c r="AJ45" s="64"/>
      <c r="AK45" s="64"/>
      <c r="AL45" s="64"/>
      <c r="AM45" s="64"/>
      <c r="AN45" s="16"/>
      <c r="AO45" s="39"/>
      <c r="AP45" s="64"/>
      <c r="AQ45" s="64"/>
      <c r="AR45" s="64"/>
      <c r="AS45" s="64"/>
      <c r="AT45" s="64"/>
      <c r="AU45" s="16"/>
      <c r="AV45" s="39"/>
      <c r="AW45" s="64"/>
      <c r="AX45" s="64"/>
      <c r="AY45" s="64"/>
      <c r="AZ45" s="64"/>
      <c r="BA45" s="64"/>
      <c r="BB45" s="16"/>
      <c r="BD45" s="3">
        <f>Neu!$B18</f>
        <v>0</v>
      </c>
      <c r="BE45" s="17"/>
    </row>
    <row r="46" spans="4:126" x14ac:dyDescent="0.35">
      <c r="D46" s="3">
        <f>Neu!$B19</f>
        <v>0</v>
      </c>
      <c r="E46" s="17"/>
      <c r="F46" s="64"/>
      <c r="G46" s="16"/>
      <c r="H46" s="39"/>
      <c r="I46" s="64"/>
      <c r="J46" s="16"/>
      <c r="K46" s="39"/>
      <c r="L46" s="64"/>
      <c r="M46" s="16"/>
      <c r="O46" s="3">
        <f>Neu!$B19</f>
        <v>0</v>
      </c>
      <c r="P46" s="39"/>
      <c r="Q46" s="16"/>
      <c r="R46" s="39"/>
      <c r="S46" s="16"/>
      <c r="T46" s="39"/>
      <c r="U46" s="16"/>
      <c r="V46" s="39"/>
      <c r="W46" s="16"/>
      <c r="Z46" s="3">
        <f>Neu!$B19</f>
        <v>0</v>
      </c>
      <c r="AA46" s="39"/>
      <c r="AB46" s="64"/>
      <c r="AC46" s="64"/>
      <c r="AD46" s="30"/>
      <c r="AE46" s="64"/>
      <c r="AF46" s="64"/>
      <c r="AG46" s="16"/>
      <c r="AH46" s="39"/>
      <c r="AI46" s="64"/>
      <c r="AJ46" s="64"/>
      <c r="AK46" s="64"/>
      <c r="AL46" s="64"/>
      <c r="AM46" s="64"/>
      <c r="AN46" s="16"/>
      <c r="AO46" s="39"/>
      <c r="AP46" s="64"/>
      <c r="AQ46" s="64"/>
      <c r="AR46" s="64"/>
      <c r="AS46" s="64"/>
      <c r="AT46" s="64"/>
      <c r="AU46" s="16"/>
      <c r="AV46" s="39"/>
      <c r="AW46" s="64"/>
      <c r="AX46" s="64"/>
      <c r="AY46" s="64"/>
      <c r="AZ46" s="64"/>
      <c r="BA46" s="64"/>
      <c r="BB46" s="16"/>
      <c r="BD46" s="3">
        <f>Neu!$B19</f>
        <v>0</v>
      </c>
      <c r="BE46" s="17"/>
    </row>
    <row r="47" spans="4:126" x14ac:dyDescent="0.35">
      <c r="D47" s="3">
        <f>Neu!$B20</f>
        <v>0</v>
      </c>
      <c r="E47" s="17"/>
      <c r="F47" s="64"/>
      <c r="G47" s="16"/>
      <c r="H47" s="39"/>
      <c r="I47" s="64"/>
      <c r="J47" s="16"/>
      <c r="K47" s="39"/>
      <c r="L47" s="64"/>
      <c r="M47" s="16"/>
      <c r="O47" s="3">
        <f>Neu!$B20</f>
        <v>0</v>
      </c>
      <c r="P47" s="39"/>
      <c r="Q47" s="16"/>
      <c r="R47" s="39"/>
      <c r="S47" s="16"/>
      <c r="T47" s="39"/>
      <c r="U47" s="16"/>
      <c r="V47" s="39"/>
      <c r="W47" s="16"/>
      <c r="Z47" s="3">
        <f>Neu!$B20</f>
        <v>0</v>
      </c>
      <c r="AA47" s="39"/>
      <c r="AB47" s="64"/>
      <c r="AC47" s="64"/>
      <c r="AD47" s="30"/>
      <c r="AE47" s="64"/>
      <c r="AF47" s="64"/>
      <c r="AG47" s="16"/>
      <c r="AH47" s="39"/>
      <c r="AI47" s="64"/>
      <c r="AJ47" s="64"/>
      <c r="AK47" s="64"/>
      <c r="AL47" s="64"/>
      <c r="AM47" s="64"/>
      <c r="AN47" s="16"/>
      <c r="AO47" s="39"/>
      <c r="AP47" s="64"/>
      <c r="AQ47" s="64"/>
      <c r="AR47" s="64"/>
      <c r="AS47" s="64"/>
      <c r="AT47" s="64"/>
      <c r="AU47" s="16"/>
      <c r="AV47" s="39"/>
      <c r="AW47" s="64"/>
      <c r="AX47" s="64"/>
      <c r="AY47" s="64"/>
      <c r="AZ47" s="64"/>
      <c r="BA47" s="64"/>
      <c r="BB47" s="16"/>
      <c r="BD47" s="3">
        <f>Neu!$B20</f>
        <v>0</v>
      </c>
      <c r="BE47" s="17"/>
    </row>
    <row r="48" spans="4:126" x14ac:dyDescent="0.35">
      <c r="D48" s="3">
        <f>Neu!$B21</f>
        <v>0</v>
      </c>
      <c r="E48" s="17"/>
      <c r="F48" s="64"/>
      <c r="G48" s="16"/>
      <c r="H48" s="39"/>
      <c r="I48" s="64"/>
      <c r="J48" s="16"/>
      <c r="K48" s="39"/>
      <c r="L48" s="64"/>
      <c r="M48" s="16"/>
      <c r="O48" s="3">
        <f>Neu!$B21</f>
        <v>0</v>
      </c>
      <c r="P48" s="39"/>
      <c r="Q48" s="16"/>
      <c r="R48" s="39"/>
      <c r="S48" s="16"/>
      <c r="T48" s="39"/>
      <c r="U48" s="16"/>
      <c r="V48" s="39"/>
      <c r="W48" s="16"/>
      <c r="Z48" s="3">
        <f>Neu!$B21</f>
        <v>0</v>
      </c>
      <c r="AA48" s="39"/>
      <c r="AB48" s="64"/>
      <c r="AC48" s="64"/>
      <c r="AD48" s="30"/>
      <c r="AE48" s="64"/>
      <c r="AF48" s="64"/>
      <c r="AG48" s="16"/>
      <c r="AH48" s="39"/>
      <c r="AI48" s="64"/>
      <c r="AJ48" s="64"/>
      <c r="AK48" s="64"/>
      <c r="AL48" s="64"/>
      <c r="AM48" s="64"/>
      <c r="AN48" s="16"/>
      <c r="AO48" s="39"/>
      <c r="AP48" s="64"/>
      <c r="AQ48" s="64"/>
      <c r="AR48" s="64"/>
      <c r="AS48" s="64"/>
      <c r="AT48" s="64"/>
      <c r="AU48" s="16"/>
      <c r="AV48" s="39"/>
      <c r="AW48" s="64"/>
      <c r="AX48" s="64"/>
      <c r="AY48" s="64"/>
      <c r="AZ48" s="64"/>
      <c r="BA48" s="64"/>
      <c r="BB48" s="16"/>
      <c r="BD48" s="3">
        <f>Neu!$B21</f>
        <v>0</v>
      </c>
      <c r="BE48" s="17"/>
    </row>
    <row r="49" spans="3:57" x14ac:dyDescent="0.35">
      <c r="D49" s="3">
        <f>Neu!$B22</f>
        <v>0</v>
      </c>
      <c r="E49" s="17"/>
      <c r="F49" s="64"/>
      <c r="G49" s="16"/>
      <c r="H49" s="39"/>
      <c r="I49" s="64"/>
      <c r="J49" s="16"/>
      <c r="K49" s="39"/>
      <c r="L49" s="64"/>
      <c r="M49" s="16"/>
      <c r="O49" s="3">
        <f>Neu!$B22</f>
        <v>0</v>
      </c>
      <c r="P49" s="39"/>
      <c r="Q49" s="16"/>
      <c r="R49" s="39"/>
      <c r="S49" s="16"/>
      <c r="T49" s="39"/>
      <c r="U49" s="16"/>
      <c r="V49" s="39"/>
      <c r="W49" s="16"/>
      <c r="Z49" s="3">
        <f>Neu!$B22</f>
        <v>0</v>
      </c>
      <c r="AA49" s="39"/>
      <c r="AB49" s="64"/>
      <c r="AC49" s="64"/>
      <c r="AD49" s="30"/>
      <c r="AE49" s="64"/>
      <c r="AF49" s="64"/>
      <c r="AG49" s="16"/>
      <c r="AH49" s="39"/>
      <c r="AI49" s="64"/>
      <c r="AJ49" s="64"/>
      <c r="AK49" s="64"/>
      <c r="AL49" s="64"/>
      <c r="AM49" s="64"/>
      <c r="AN49" s="16"/>
      <c r="AO49" s="39"/>
      <c r="AP49" s="64"/>
      <c r="AQ49" s="64"/>
      <c r="AR49" s="64"/>
      <c r="AS49" s="64"/>
      <c r="AT49" s="64"/>
      <c r="AU49" s="16"/>
      <c r="AV49" s="39"/>
      <c r="AW49" s="64"/>
      <c r="AX49" s="64"/>
      <c r="AY49" s="64"/>
      <c r="AZ49" s="64"/>
      <c r="BA49" s="64"/>
      <c r="BB49" s="16"/>
      <c r="BD49" s="3">
        <f>Neu!$B22</f>
        <v>0</v>
      </c>
      <c r="BE49" s="17"/>
    </row>
    <row r="50" spans="3:57" x14ac:dyDescent="0.35">
      <c r="D50" s="3">
        <f>Neu!$B23</f>
        <v>0</v>
      </c>
      <c r="E50" s="17"/>
      <c r="F50" s="64"/>
      <c r="G50" s="16"/>
      <c r="H50" s="39"/>
      <c r="I50" s="64"/>
      <c r="J50" s="16"/>
      <c r="K50" s="39"/>
      <c r="L50" s="64"/>
      <c r="M50" s="16"/>
      <c r="O50" s="3">
        <f>Neu!$B23</f>
        <v>0</v>
      </c>
      <c r="P50" s="39"/>
      <c r="Q50" s="16"/>
      <c r="R50" s="39"/>
      <c r="S50" s="16"/>
      <c r="T50" s="39"/>
      <c r="U50" s="16"/>
      <c r="V50" s="39"/>
      <c r="W50" s="16"/>
      <c r="Z50" s="3">
        <f>Neu!$B23</f>
        <v>0</v>
      </c>
      <c r="AA50" s="39"/>
      <c r="AB50" s="64"/>
      <c r="AC50" s="64"/>
      <c r="AD50" s="30"/>
      <c r="AE50" s="64"/>
      <c r="AF50" s="64"/>
      <c r="AG50" s="16"/>
      <c r="AH50" s="39"/>
      <c r="AI50" s="64"/>
      <c r="AJ50" s="64"/>
      <c r="AK50" s="64"/>
      <c r="AL50" s="64"/>
      <c r="AM50" s="64"/>
      <c r="AN50" s="16"/>
      <c r="AO50" s="39"/>
      <c r="AP50" s="64"/>
      <c r="AQ50" s="64"/>
      <c r="AR50" s="64"/>
      <c r="AS50" s="64"/>
      <c r="AT50" s="64"/>
      <c r="AU50" s="16"/>
      <c r="AV50" s="39"/>
      <c r="AW50" s="64"/>
      <c r="AX50" s="64"/>
      <c r="AY50" s="64"/>
      <c r="AZ50" s="64"/>
      <c r="BA50" s="64"/>
      <c r="BB50" s="16"/>
      <c r="BD50" s="3">
        <f>Neu!$B23</f>
        <v>0</v>
      </c>
      <c r="BE50" s="17"/>
    </row>
    <row r="51" spans="3:57" ht="15" thickBot="1" x14ac:dyDescent="0.4">
      <c r="D51" s="5">
        <f>Neu!$B24</f>
        <v>0</v>
      </c>
      <c r="E51" s="18"/>
      <c r="F51" s="19"/>
      <c r="G51" s="41"/>
      <c r="H51" s="40"/>
      <c r="I51" s="19"/>
      <c r="J51" s="41"/>
      <c r="K51" s="40"/>
      <c r="L51" s="19"/>
      <c r="M51" s="41"/>
      <c r="O51" s="5">
        <f>Neu!$B24</f>
        <v>0</v>
      </c>
      <c r="P51" s="40"/>
      <c r="Q51" s="41"/>
      <c r="R51" s="40"/>
      <c r="S51" s="41"/>
      <c r="T51" s="40"/>
      <c r="U51" s="41"/>
      <c r="V51" s="40"/>
      <c r="W51" s="41"/>
      <c r="Z51" s="5">
        <f>Neu!$B24</f>
        <v>0</v>
      </c>
      <c r="AA51" s="40"/>
      <c r="AB51" s="19"/>
      <c r="AC51" s="19"/>
      <c r="AD51" s="59"/>
      <c r="AE51" s="19"/>
      <c r="AF51" s="19"/>
      <c r="AG51" s="41"/>
      <c r="AH51" s="40"/>
      <c r="AI51" s="19"/>
      <c r="AJ51" s="19"/>
      <c r="AK51" s="19"/>
      <c r="AL51" s="19"/>
      <c r="AM51" s="19"/>
      <c r="AN51" s="41"/>
      <c r="AO51" s="40"/>
      <c r="AP51" s="19"/>
      <c r="AQ51" s="19"/>
      <c r="AR51" s="19"/>
      <c r="AS51" s="19"/>
      <c r="AT51" s="19"/>
      <c r="AU51" s="41"/>
      <c r="AV51" s="40"/>
      <c r="AW51" s="19"/>
      <c r="AX51" s="19"/>
      <c r="AY51" s="19"/>
      <c r="AZ51" s="19"/>
      <c r="BA51" s="19"/>
      <c r="BB51" s="41"/>
      <c r="BD51" s="5">
        <f>Neu!$B24</f>
        <v>0</v>
      </c>
      <c r="BE51" s="18"/>
    </row>
    <row r="52" spans="3:57" x14ac:dyDescent="0.35">
      <c r="F52" s="14">
        <v>40</v>
      </c>
      <c r="I52" s="14">
        <v>0.3</v>
      </c>
      <c r="J52" s="14">
        <v>9</v>
      </c>
      <c r="AC52" s="34"/>
      <c r="AD52" s="70"/>
      <c r="AE52" s="34">
        <v>0.7</v>
      </c>
      <c r="AF52" s="34"/>
      <c r="AG52" s="34"/>
      <c r="AL52" s="14">
        <v>1.5</v>
      </c>
    </row>
    <row r="53" spans="3:57" x14ac:dyDescent="0.35">
      <c r="AE53" s="14">
        <v>0.1</v>
      </c>
      <c r="AL53" s="14">
        <v>0.5</v>
      </c>
    </row>
    <row r="54" spans="3:57" x14ac:dyDescent="0.35">
      <c r="F54" s="14" t="s">
        <v>145</v>
      </c>
      <c r="AC54" s="51" t="s">
        <v>123</v>
      </c>
      <c r="AD54" s="14" t="s">
        <v>111</v>
      </c>
      <c r="AG54" s="14" t="s">
        <v>113</v>
      </c>
      <c r="AM54" s="57" t="s">
        <v>126</v>
      </c>
      <c r="AN54" s="14" t="s">
        <v>216</v>
      </c>
    </row>
    <row r="55" spans="3:57" x14ac:dyDescent="0.35">
      <c r="AC55" s="51" t="s">
        <v>124</v>
      </c>
      <c r="AD55" s="14" t="s">
        <v>112</v>
      </c>
      <c r="AG55" s="14" t="s">
        <v>114</v>
      </c>
      <c r="AM55" s="57" t="s">
        <v>127</v>
      </c>
      <c r="AN55" s="14" t="s">
        <v>130</v>
      </c>
    </row>
    <row r="56" spans="3:57" x14ac:dyDescent="0.35">
      <c r="AC56" s="57" t="s">
        <v>125</v>
      </c>
      <c r="AD56" s="14" t="s">
        <v>117</v>
      </c>
      <c r="AG56" s="14" t="s">
        <v>115</v>
      </c>
      <c r="AM56" s="57" t="s">
        <v>125</v>
      </c>
      <c r="AN56" s="14" t="s">
        <v>131</v>
      </c>
    </row>
    <row r="57" spans="3:57" x14ac:dyDescent="0.35">
      <c r="C57" s="14" t="s">
        <v>95</v>
      </c>
      <c r="D57" s="14" t="s">
        <v>153</v>
      </c>
      <c r="AM57" s="57" t="s">
        <v>128</v>
      </c>
      <c r="AN57" s="14" t="s">
        <v>132</v>
      </c>
    </row>
    <row r="58" spans="3:57" x14ac:dyDescent="0.35">
      <c r="C58" s="14" t="s">
        <v>8</v>
      </c>
      <c r="D58" s="14" t="s">
        <v>154</v>
      </c>
      <c r="J58" s="34"/>
      <c r="K58" s="34"/>
      <c r="L58" s="34"/>
      <c r="M58" s="34"/>
      <c r="N58" s="34"/>
      <c r="O58" s="34"/>
      <c r="AM58" s="57" t="s">
        <v>129</v>
      </c>
      <c r="AN58" s="14" t="s">
        <v>133</v>
      </c>
    </row>
    <row r="59" spans="3:57" x14ac:dyDescent="0.35">
      <c r="C59" s="14" t="s">
        <v>9</v>
      </c>
      <c r="D59" s="14" t="s">
        <v>155</v>
      </c>
      <c r="J59" s="34"/>
      <c r="K59" s="34"/>
      <c r="L59" s="34"/>
      <c r="M59" s="34"/>
      <c r="N59" s="34"/>
      <c r="O59" s="34"/>
      <c r="AM59" s="58"/>
    </row>
    <row r="60" spans="3:57" x14ac:dyDescent="0.35">
      <c r="C60" s="14" t="s">
        <v>10</v>
      </c>
      <c r="D60" s="14" t="s">
        <v>156</v>
      </c>
      <c r="J60" s="34"/>
      <c r="K60" s="34"/>
      <c r="L60" s="34"/>
      <c r="M60" s="34"/>
      <c r="N60" s="34"/>
      <c r="O60" s="34"/>
    </row>
    <row r="61" spans="3:57" x14ac:dyDescent="0.35">
      <c r="C61" s="14" t="s">
        <v>91</v>
      </c>
      <c r="D61" s="14" t="s">
        <v>157</v>
      </c>
    </row>
    <row r="62" spans="3:57" x14ac:dyDescent="0.35">
      <c r="C62" s="14" t="s">
        <v>92</v>
      </c>
      <c r="D62" s="14" t="s">
        <v>158</v>
      </c>
    </row>
  </sheetData>
  <mergeCells count="46"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BI1:CI1"/>
    <mergeCell ref="FA2:FL2"/>
    <mergeCell ref="J2:U2"/>
    <mergeCell ref="V2:AG2"/>
    <mergeCell ref="G1:AG1"/>
    <mergeCell ref="BI2:BK2"/>
    <mergeCell ref="BL2:BW2"/>
    <mergeCell ref="GN1:HN1"/>
    <mergeCell ref="GN2:GP2"/>
    <mergeCell ref="GQ2:HB2"/>
    <mergeCell ref="HC2:HN2"/>
    <mergeCell ref="CJ2:CL2"/>
    <mergeCell ref="CM2:CX2"/>
    <mergeCell ref="CY2:DJ2"/>
  </mergeCells>
  <conditionalFormatting sqref="A4:A24">
    <cfRule type="cellIs" dxfId="506" priority="579" operator="equal">
      <formula>0</formula>
    </cfRule>
  </conditionalFormatting>
  <conditionalFormatting sqref="D31:D51">
    <cfRule type="cellIs" dxfId="505" priority="629" operator="equal">
      <formula>0</formula>
    </cfRule>
  </conditionalFormatting>
  <conditionalFormatting sqref="E25:E27">
    <cfRule type="notContainsBlanks" dxfId="504" priority="102">
      <formula>LEN(TRIM(E25))&gt;0</formula>
    </cfRule>
  </conditionalFormatting>
  <conditionalFormatting sqref="E7:CI24">
    <cfRule type="notContainsBlanks" dxfId="503" priority="623">
      <formula>LEN(TRIM(E7))&gt;0</formula>
    </cfRule>
  </conditionalFormatting>
  <conditionalFormatting sqref="E4:DJ6">
    <cfRule type="notContainsBlanks" dxfId="502" priority="1">
      <formula>LEN(TRIM(E4))&gt;0</formula>
    </cfRule>
  </conditionalFormatting>
  <conditionalFormatting sqref="G25:AD28">
    <cfRule type="notContainsBlanks" dxfId="501" priority="24">
      <formula>LEN(TRIM(G25))&gt;0</formula>
    </cfRule>
  </conditionalFormatting>
  <conditionalFormatting sqref="O31:O51">
    <cfRule type="cellIs" dxfId="500" priority="499" operator="equal">
      <formula>0</formula>
    </cfRule>
  </conditionalFormatting>
  <conditionalFormatting sqref="Z31:Z51">
    <cfRule type="cellIs" dxfId="499" priority="498" operator="equal">
      <formula>0</formula>
    </cfRule>
  </conditionalFormatting>
  <conditionalFormatting sqref="AG25:CB27">
    <cfRule type="notContainsBlanks" dxfId="498" priority="7">
      <formula>LEN(TRIM(AG25))&gt;0</formula>
    </cfRule>
  </conditionalFormatting>
  <conditionalFormatting sqref="BD31:BD51">
    <cfRule type="cellIs" dxfId="497" priority="333" operator="equal">
      <formula>0</formula>
    </cfRule>
  </conditionalFormatting>
  <conditionalFormatting sqref="CJ25:CJ27">
    <cfRule type="notContainsBlanks" dxfId="496" priority="29">
      <formula>LEN(TRIM(CJ25))&gt;0</formula>
    </cfRule>
  </conditionalFormatting>
  <conditionalFormatting sqref="CJ7:DJ8">
    <cfRule type="notContainsBlanks" dxfId="495" priority="618">
      <formula>LEN(TRIM(CJ7))&gt;0</formula>
    </cfRule>
  </conditionalFormatting>
  <conditionalFormatting sqref="CJ9:FL24">
    <cfRule type="notContainsBlanks" dxfId="494" priority="518">
      <formula>LEN(TRIM(CJ9))&gt;0</formula>
    </cfRule>
  </conditionalFormatting>
  <conditionalFormatting sqref="CK25:DC26">
    <cfRule type="notContainsBlanks" dxfId="493" priority="28">
      <formula>LEN(TRIM(CK25))&gt;0</formula>
    </cfRule>
  </conditionalFormatting>
  <conditionalFormatting sqref="CK27:DG27">
    <cfRule type="notContainsBlanks" dxfId="492" priority="32">
      <formula>LEN(TRIM(CK27))&gt;0</formula>
    </cfRule>
  </conditionalFormatting>
  <conditionalFormatting sqref="DD25:DG25">
    <cfRule type="notContainsBlanks" dxfId="491" priority="621">
      <formula>LEN(TRIM(DD25))&gt;0</formula>
    </cfRule>
  </conditionalFormatting>
  <conditionalFormatting sqref="DJ25:EH27">
    <cfRule type="notContainsBlanks" dxfId="490" priority="105">
      <formula>LEN(TRIM(DJ25))&gt;0</formula>
    </cfRule>
  </conditionalFormatting>
  <conditionalFormatting sqref="DK28:EH29">
    <cfRule type="notContainsBlanks" dxfId="489" priority="615">
      <formula>LEN(TRIM(DK28))&gt;0</formula>
    </cfRule>
  </conditionalFormatting>
  <conditionalFormatting sqref="DK4:EK8">
    <cfRule type="notContainsBlanks" dxfId="488" priority="4">
      <formula>LEN(TRIM(DK4))&gt;0</formula>
    </cfRule>
  </conditionalFormatting>
  <conditionalFormatting sqref="EL6:FL8">
    <cfRule type="notContainsBlanks" dxfId="487" priority="468">
      <formula>LEN(TRIM(EL6))&gt;0</formula>
    </cfRule>
  </conditionalFormatting>
  <conditionalFormatting sqref="EL4:GM5">
    <cfRule type="notContainsBlanks" dxfId="486" priority="129">
      <formula>LEN(TRIM(EL4))&gt;0</formula>
    </cfRule>
  </conditionalFormatting>
  <conditionalFormatting sqref="FE26">
    <cfRule type="notContainsBlanks" dxfId="485" priority="516">
      <formula>LEN(TRIM(FE26))&gt;0</formula>
    </cfRule>
  </conditionalFormatting>
  <conditionalFormatting sqref="FE25:FI25">
    <cfRule type="notContainsBlanks" dxfId="484" priority="517">
      <formula>LEN(TRIM(FE25))&gt;0</formula>
    </cfRule>
  </conditionalFormatting>
  <conditionalFormatting sqref="FE27:FI27">
    <cfRule type="notContainsBlanks" dxfId="483" priority="515">
      <formula>LEN(TRIM(FE27))&gt;0</formula>
    </cfRule>
  </conditionalFormatting>
  <conditionalFormatting sqref="FL25:GF27">
    <cfRule type="notContainsBlanks" dxfId="482" priority="13">
      <formula>LEN(TRIM(FL25))&gt;0</formula>
    </cfRule>
  </conditionalFormatting>
  <conditionalFormatting sqref="FM4:FM6">
    <cfRule type="notContainsBlanks" dxfId="481" priority="130">
      <formula>LEN(TRIM(FM4))&gt;0</formula>
    </cfRule>
  </conditionalFormatting>
  <conditionalFormatting sqref="FM6:GM24">
    <cfRule type="notContainsBlanks" dxfId="480" priority="440">
      <formula>LEN(TRIM(FM6))&gt;0</formula>
    </cfRule>
  </conditionalFormatting>
  <conditionalFormatting sqref="FN25:FS26">
    <cfRule type="notContainsBlanks" dxfId="479" priority="16">
      <formula>LEN(TRIM(FN25))&gt;0</formula>
    </cfRule>
  </conditionalFormatting>
  <conditionalFormatting sqref="FN27:GA27">
    <cfRule type="notContainsBlanks" dxfId="478" priority="22">
      <formula>LEN(TRIM(FN27))&gt;0</formula>
    </cfRule>
  </conditionalFormatting>
  <conditionalFormatting sqref="FN6:GM6">
    <cfRule type="notContainsBlanks" dxfId="477" priority="462">
      <formula>LEN(TRIM(FN6))&gt;0</formula>
    </cfRule>
  </conditionalFormatting>
  <conditionalFormatting sqref="FU25:GF26">
    <cfRule type="notContainsBlanks" dxfId="476" priority="146">
      <formula>LEN(TRIM(FU25))&gt;0</formula>
    </cfRule>
  </conditionalFormatting>
  <conditionalFormatting sqref="GL25:GL27">
    <cfRule type="notContainsBlanks" dxfId="475" priority="539">
      <formula>LEN(TRIM(GL25))&gt;0</formula>
    </cfRule>
  </conditionalFormatting>
  <conditionalFormatting sqref="GN25:GN27">
    <cfRule type="notContainsBlanks" dxfId="474" priority="108">
      <formula>LEN(TRIM(GN25))&gt;0</formula>
    </cfRule>
  </conditionalFormatting>
  <conditionalFormatting sqref="GN4:HN24">
    <cfRule type="notContainsBlanks" dxfId="473" priority="431">
      <formula>LEN(TRIM(GN4))&gt;0</formula>
    </cfRule>
  </conditionalFormatting>
  <conditionalFormatting sqref="GU4:HB5">
    <cfRule type="notContainsBlanks" dxfId="472" priority="438">
      <formula>LEN(TRIM(GU4))&gt;0</formula>
    </cfRule>
  </conditionalFormatting>
  <conditionalFormatting sqref="HJ25:HJ27">
    <cfRule type="notContainsBlanks" dxfId="471" priority="212">
      <formula>LEN(TRIM(HJ25))&gt;0</formula>
    </cfRule>
  </conditionalFormatting>
  <conditionalFormatting sqref="HL25:HM27">
    <cfRule type="notContainsBlanks" dxfId="470" priority="274">
      <formula>LEN(TRIM(HL25))&gt;0</formula>
    </cfRule>
  </conditionalFormatting>
  <conditionalFormatting sqref="HO4">
    <cfRule type="notContainsBlanks" dxfId="469" priority="270">
      <formula>LEN(TRIM(HO4))&gt;0</formula>
    </cfRule>
  </conditionalFormatting>
  <conditionalFormatting sqref="HO25">
    <cfRule type="notContainsBlanks" dxfId="468" priority="40">
      <formula>LEN(TRIM(HO25))&gt;0</formula>
    </cfRule>
  </conditionalFormatting>
  <conditionalFormatting sqref="HO29:HO31">
    <cfRule type="notContainsBlanks" dxfId="467" priority="593">
      <formula>LEN(TRIM(HO29))&gt;0</formula>
    </cfRule>
  </conditionalFormatting>
  <conditionalFormatting sqref="HO9:IO27">
    <cfRule type="notContainsBlanks" dxfId="466" priority="35">
      <formula>LEN(TRIM(HO9))&gt;0</formula>
    </cfRule>
  </conditionalFormatting>
  <conditionalFormatting sqref="HO4:KQ8">
    <cfRule type="notContainsBlanks" dxfId="465" priority="265">
      <formula>LEN(TRIM(HO4))&gt;0</formula>
    </cfRule>
  </conditionalFormatting>
  <conditionalFormatting sqref="HP4:IO6">
    <cfRule type="notContainsBlanks" dxfId="464" priority="346">
      <formula>LEN(TRIM(HP4))&gt;0</formula>
    </cfRule>
  </conditionalFormatting>
  <conditionalFormatting sqref="HP25:JD27">
    <cfRule type="notContainsBlanks" dxfId="463" priority="44">
      <formula>LEN(TRIM(HP25))&gt;0</formula>
    </cfRule>
  </conditionalFormatting>
  <conditionalFormatting sqref="HV4:IC5">
    <cfRule type="notContainsBlanks" dxfId="462" priority="414">
      <formula>LEN(TRIM(HV4))&gt;0</formula>
    </cfRule>
  </conditionalFormatting>
  <conditionalFormatting sqref="HV25:IC26">
    <cfRule type="notContainsBlanks" dxfId="461" priority="53">
      <formula>LEN(TRIM(HV25))&gt;0</formula>
    </cfRule>
  </conditionalFormatting>
  <conditionalFormatting sqref="IP9:KQ24">
    <cfRule type="notContainsBlanks" dxfId="460" priority="497">
      <formula>LEN(TRIM(IP9))&gt;0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"/>
  <sheetViews>
    <sheetView tabSelected="1" topLeftCell="A22" zoomScale="90" zoomScaleNormal="90" workbookViewId="0">
      <selection activeCell="D33" sqref="D33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190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20</v>
      </c>
      <c r="D3" s="31" t="s">
        <v>25</v>
      </c>
      <c r="E3" s="64">
        <v>1</v>
      </c>
      <c r="F3" s="51" t="s">
        <v>45</v>
      </c>
      <c r="G3" s="32" t="s">
        <v>58</v>
      </c>
      <c r="I3" s="141" t="s">
        <v>151</v>
      </c>
      <c r="J3" s="32" t="s">
        <v>152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1.0000000000000001E-5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 t="s">
        <v>143</v>
      </c>
      <c r="R5" s="32" t="s">
        <v>144</v>
      </c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20</v>
      </c>
      <c r="D9" s="64">
        <v>0</v>
      </c>
      <c r="E9" s="64">
        <v>20</v>
      </c>
      <c r="F9" s="45" t="s">
        <v>69</v>
      </c>
      <c r="G9" s="39" t="s">
        <v>169</v>
      </c>
      <c r="H9" s="64">
        <v>8</v>
      </c>
      <c r="I9" s="64">
        <v>-90</v>
      </c>
      <c r="J9" s="64">
        <v>70</v>
      </c>
      <c r="K9" s="45" t="s">
        <v>69</v>
      </c>
      <c r="L9" s="39"/>
      <c r="M9" s="64"/>
      <c r="N9" s="64"/>
      <c r="O9" s="64"/>
      <c r="P9" s="45"/>
      <c r="Q9" s="39"/>
      <c r="R9" s="64"/>
      <c r="S9" s="64"/>
      <c r="T9" s="64"/>
      <c r="U9" s="16"/>
      <c r="V9" s="39"/>
      <c r="W9" s="64"/>
      <c r="X9" s="64"/>
      <c r="Y9" s="64"/>
      <c r="Z9" s="16"/>
    </row>
    <row r="10" spans="1:26" x14ac:dyDescent="0.35">
      <c r="A10" s="43"/>
      <c r="B10" s="62"/>
      <c r="C10" s="64"/>
      <c r="D10" s="64"/>
      <c r="E10" s="64"/>
      <c r="F10" s="45"/>
      <c r="G10" s="39"/>
      <c r="H10" s="64"/>
      <c r="I10" s="64"/>
      <c r="J10" s="64"/>
      <c r="K10" s="45"/>
      <c r="L10" s="39"/>
      <c r="M10" s="64"/>
      <c r="N10" s="64"/>
      <c r="O10" s="64"/>
      <c r="P10" s="45"/>
      <c r="Q10" s="39"/>
      <c r="R10" s="64"/>
      <c r="S10" s="64"/>
      <c r="T10" s="64"/>
      <c r="U10" s="45"/>
      <c r="V10" s="39"/>
      <c r="W10" s="64"/>
      <c r="X10" s="64"/>
      <c r="Y10" s="64"/>
      <c r="Z10" s="45"/>
    </row>
    <row r="11" spans="1:26" x14ac:dyDescent="0.35">
      <c r="A11" s="43"/>
      <c r="B11" s="62"/>
      <c r="C11" s="64"/>
      <c r="D11" s="64"/>
      <c r="E11" s="64"/>
      <c r="F11" s="45"/>
      <c r="G11" s="39"/>
      <c r="H11" s="64"/>
      <c r="I11" s="64"/>
      <c r="J11" s="64"/>
      <c r="K11" s="45"/>
      <c r="L11" s="39"/>
      <c r="M11" s="64"/>
      <c r="N11" s="64"/>
      <c r="O11" s="64"/>
      <c r="P11" s="45"/>
      <c r="Q11" s="39"/>
      <c r="R11" s="64"/>
      <c r="S11" s="64"/>
      <c r="T11" s="64"/>
      <c r="U11" s="45"/>
      <c r="V11" s="39"/>
      <c r="W11" s="64"/>
      <c r="X11" s="64"/>
      <c r="Y11" s="64"/>
      <c r="Z11" s="16"/>
    </row>
    <row r="12" spans="1:26" x14ac:dyDescent="0.35">
      <c r="A12" s="43">
        <v>3</v>
      </c>
      <c r="B12" s="62" t="s">
        <v>31</v>
      </c>
      <c r="C12" s="64">
        <v>20</v>
      </c>
      <c r="D12" s="64">
        <v>0</v>
      </c>
      <c r="E12" s="64">
        <v>20</v>
      </c>
      <c r="F12" s="45" t="s">
        <v>162</v>
      </c>
      <c r="G12" s="39" t="s">
        <v>194</v>
      </c>
      <c r="H12" s="64">
        <v>10</v>
      </c>
      <c r="I12" s="64">
        <v>-30</v>
      </c>
      <c r="J12" s="64">
        <v>0</v>
      </c>
      <c r="K12" s="45" t="s">
        <v>69</v>
      </c>
      <c r="L12" s="39" t="s">
        <v>198</v>
      </c>
      <c r="M12" s="64">
        <v>10</v>
      </c>
      <c r="N12" s="64">
        <v>-30</v>
      </c>
      <c r="O12" s="64">
        <v>0</v>
      </c>
      <c r="P12" s="45" t="s">
        <v>162</v>
      </c>
      <c r="Q12" s="39"/>
      <c r="R12" s="64"/>
      <c r="S12" s="64"/>
      <c r="T12" s="64"/>
      <c r="U12" s="45"/>
      <c r="V12" s="39"/>
      <c r="W12" s="64"/>
      <c r="X12" s="64"/>
      <c r="Y12" s="64"/>
      <c r="Z12" s="45"/>
    </row>
    <row r="13" spans="1:26" x14ac:dyDescent="0.35">
      <c r="A13" s="43"/>
      <c r="B13" s="62"/>
      <c r="C13" s="64"/>
      <c r="D13" s="64"/>
      <c r="E13" s="64"/>
      <c r="F13" s="45"/>
      <c r="G13" s="39"/>
      <c r="H13" s="64"/>
      <c r="I13" s="64"/>
      <c r="J13" s="64"/>
      <c r="K13" s="45"/>
      <c r="L13" s="39"/>
      <c r="M13" s="64"/>
      <c r="N13" s="64"/>
      <c r="O13" s="64"/>
      <c r="P13" s="45"/>
      <c r="Q13" s="39"/>
      <c r="R13" s="64"/>
      <c r="S13" s="64"/>
      <c r="T13" s="64"/>
      <c r="U13" s="45"/>
      <c r="V13" s="39"/>
      <c r="W13" s="64"/>
      <c r="X13" s="64"/>
      <c r="Y13" s="64"/>
      <c r="Z13" s="45"/>
    </row>
    <row r="14" spans="1:26" x14ac:dyDescent="0.35">
      <c r="A14" s="43"/>
      <c r="B14" s="62"/>
      <c r="C14" s="64"/>
      <c r="D14" s="64"/>
      <c r="E14" s="64"/>
      <c r="F14" s="45"/>
      <c r="G14" s="39"/>
      <c r="H14" s="64"/>
      <c r="I14" s="64"/>
      <c r="J14" s="64"/>
      <c r="K14" s="45"/>
      <c r="L14" s="39"/>
      <c r="M14" s="64"/>
      <c r="N14" s="64"/>
      <c r="O14" s="64"/>
      <c r="P14" s="45"/>
      <c r="Q14" s="39"/>
      <c r="R14" s="64"/>
      <c r="S14" s="64"/>
      <c r="T14" s="64"/>
      <c r="U14" s="45"/>
      <c r="V14" s="39"/>
      <c r="W14" s="64"/>
      <c r="X14" s="64"/>
      <c r="Y14" s="64"/>
      <c r="Z14" s="45"/>
    </row>
    <row r="15" spans="1:26" x14ac:dyDescent="0.35">
      <c r="A15" s="43"/>
      <c r="B15" s="62"/>
      <c r="C15" s="64"/>
      <c r="D15" s="64"/>
      <c r="E15" s="64"/>
      <c r="F15" s="45"/>
      <c r="G15" s="39"/>
      <c r="H15" s="64"/>
      <c r="I15" s="64"/>
      <c r="J15" s="64"/>
      <c r="K15" s="45"/>
      <c r="L15" s="39"/>
      <c r="M15" s="64"/>
      <c r="N15" s="64"/>
      <c r="O15" s="64"/>
      <c r="P15" s="45"/>
      <c r="Q15" s="39"/>
      <c r="R15" s="64"/>
      <c r="S15" s="64"/>
      <c r="T15" s="64"/>
      <c r="U15" s="16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39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39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39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16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94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/>
      <c r="M27" s="199"/>
      <c r="N27" s="200"/>
      <c r="O27" s="200"/>
      <c r="P27" s="200"/>
      <c r="Q27" s="200"/>
    </row>
    <row r="28" spans="1:26" x14ac:dyDescent="0.35">
      <c r="B28" s="64" t="s">
        <v>164</v>
      </c>
      <c r="C28" s="64">
        <v>0</v>
      </c>
      <c r="D28" s="64">
        <v>90</v>
      </c>
      <c r="E28" s="64">
        <v>-0.79</v>
      </c>
      <c r="G28" s="64"/>
      <c r="H28" s="64"/>
      <c r="I28" s="64"/>
      <c r="J28" s="64"/>
      <c r="L28" s="39"/>
      <c r="M28" s="14"/>
    </row>
    <row r="29" spans="1:26" x14ac:dyDescent="0.35">
      <c r="B29" s="64" t="s">
        <v>166</v>
      </c>
      <c r="C29" s="64">
        <v>0</v>
      </c>
      <c r="D29" s="64">
        <v>90</v>
      </c>
      <c r="E29" s="64">
        <v>-1.1859999999999999</v>
      </c>
      <c r="G29" s="64"/>
      <c r="H29" s="64"/>
      <c r="I29" s="64"/>
      <c r="J29" s="64"/>
      <c r="L29" s="39"/>
      <c r="M29" s="14"/>
    </row>
    <row r="30" spans="1:26" x14ac:dyDescent="0.35">
      <c r="B30" s="64" t="s">
        <v>160</v>
      </c>
      <c r="C30" s="64">
        <v>0</v>
      </c>
      <c r="D30" s="64">
        <v>90</v>
      </c>
      <c r="E30" s="64">
        <v>-3.1652</v>
      </c>
      <c r="G30" s="64"/>
      <c r="H30" s="64"/>
      <c r="I30" s="64"/>
      <c r="J30" s="64"/>
      <c r="L30" s="39"/>
      <c r="M30" s="14"/>
    </row>
    <row r="31" spans="1:26" x14ac:dyDescent="0.35">
      <c r="B31" s="64" t="s">
        <v>164</v>
      </c>
      <c r="C31" s="64">
        <v>3</v>
      </c>
      <c r="D31" s="64">
        <v>4</v>
      </c>
      <c r="E31" s="64">
        <v>3</v>
      </c>
      <c r="G31" s="64"/>
      <c r="H31" s="64"/>
      <c r="I31" s="64"/>
      <c r="J31" s="64"/>
      <c r="L31" s="39"/>
      <c r="M31" s="14"/>
    </row>
    <row r="32" spans="1:26" x14ac:dyDescent="0.35">
      <c r="B32" s="64" t="s">
        <v>166</v>
      </c>
      <c r="C32" s="64">
        <v>3</v>
      </c>
      <c r="D32" s="64">
        <v>4</v>
      </c>
      <c r="E32" s="64">
        <f>E31</f>
        <v>3</v>
      </c>
      <c r="G32" s="64"/>
      <c r="H32" s="64"/>
      <c r="I32" s="64"/>
      <c r="J32" s="64"/>
      <c r="L32" s="39"/>
      <c r="M32" s="14"/>
    </row>
    <row r="33" spans="2:13" x14ac:dyDescent="0.35">
      <c r="B33" s="64" t="s">
        <v>160</v>
      </c>
      <c r="C33" s="64">
        <v>3</v>
      </c>
      <c r="D33" s="64">
        <v>4</v>
      </c>
      <c r="E33" s="64">
        <f>E31</f>
        <v>3</v>
      </c>
      <c r="G33" s="64"/>
      <c r="H33" s="64"/>
      <c r="I33" s="64"/>
      <c r="J33" s="64"/>
      <c r="L33" s="39"/>
      <c r="M33" s="14"/>
    </row>
    <row r="34" spans="2:13" x14ac:dyDescent="0.35">
      <c r="B34" s="64"/>
      <c r="C34" s="64"/>
      <c r="D34" s="64"/>
      <c r="E34" s="64"/>
      <c r="G34" s="64"/>
      <c r="H34" s="64"/>
      <c r="I34" s="64"/>
      <c r="J34" s="64"/>
      <c r="L34" s="39"/>
      <c r="M34" s="14"/>
    </row>
    <row r="35" spans="2:13" x14ac:dyDescent="0.35">
      <c r="B35" s="64"/>
      <c r="C35" s="64"/>
      <c r="D35" s="64"/>
      <c r="E35" s="64"/>
      <c r="G35" s="64"/>
      <c r="H35" s="64"/>
      <c r="I35" s="64"/>
      <c r="J35" s="64"/>
      <c r="L35" s="39"/>
      <c r="M35" s="14"/>
    </row>
    <row r="36" spans="2:13" x14ac:dyDescent="0.35">
      <c r="B36" s="64"/>
      <c r="C36" s="64"/>
      <c r="D36" s="64"/>
      <c r="E36" s="64"/>
      <c r="G36" s="64"/>
      <c r="H36" s="64"/>
      <c r="I36" s="64"/>
      <c r="J36" s="64"/>
      <c r="L36" s="39"/>
      <c r="M36" s="14"/>
    </row>
    <row r="37" spans="2:13" x14ac:dyDescent="0.35">
      <c r="B37" s="64"/>
      <c r="C37" s="64"/>
      <c r="D37" s="64"/>
      <c r="E37" s="64"/>
      <c r="G37" s="64"/>
      <c r="H37" s="64"/>
      <c r="I37" s="64"/>
      <c r="J37" s="64"/>
      <c r="L37" s="20"/>
      <c r="M37" s="14"/>
    </row>
    <row r="38" spans="2:13" x14ac:dyDescent="0.35">
      <c r="B38" s="64"/>
      <c r="C38" s="64"/>
      <c r="D38" s="64"/>
      <c r="E38" s="64"/>
      <c r="G38" s="64"/>
      <c r="H38" s="64"/>
      <c r="I38" s="64"/>
      <c r="J38" s="64"/>
      <c r="L38" s="20"/>
      <c r="M38" s="14"/>
    </row>
    <row r="39" spans="2:13" x14ac:dyDescent="0.35">
      <c r="B39" s="64"/>
      <c r="C39" s="64"/>
      <c r="D39" s="64"/>
      <c r="E39" s="64"/>
      <c r="G39" s="64"/>
      <c r="H39" s="64"/>
      <c r="I39" s="64"/>
      <c r="J39" s="64"/>
      <c r="L39" s="20"/>
      <c r="M39" s="14"/>
    </row>
    <row r="40" spans="2:13" x14ac:dyDescent="0.35">
      <c r="B40" s="64"/>
      <c r="C40" s="64"/>
      <c r="D40" s="64"/>
      <c r="E40" s="64"/>
      <c r="G40" s="64"/>
      <c r="H40" s="64"/>
      <c r="I40" s="64"/>
      <c r="J40" s="64"/>
      <c r="L40" s="20"/>
      <c r="M40" s="14"/>
    </row>
    <row r="41" spans="2:13" x14ac:dyDescent="0.35">
      <c r="B41" s="64"/>
      <c r="C41" s="64"/>
      <c r="D41" s="64"/>
      <c r="E41" s="64"/>
      <c r="G41" s="64"/>
      <c r="H41" s="64"/>
      <c r="I41" s="64"/>
      <c r="J41" s="64"/>
      <c r="L41" s="20"/>
      <c r="M41" s="14"/>
    </row>
    <row r="42" spans="2:13" x14ac:dyDescent="0.35">
      <c r="B42" s="64"/>
      <c r="C42" s="64"/>
      <c r="D42" s="64"/>
      <c r="E42" s="64"/>
      <c r="G42" s="64"/>
      <c r="H42" s="64"/>
      <c r="I42" s="64"/>
      <c r="J42" s="64"/>
      <c r="L42" s="20"/>
      <c r="M42" s="14"/>
    </row>
    <row r="43" spans="2:13" x14ac:dyDescent="0.35">
      <c r="B43" s="64"/>
      <c r="C43" s="64"/>
      <c r="D43" s="64"/>
      <c r="E43" s="64"/>
      <c r="G43" s="64"/>
      <c r="H43" s="64"/>
      <c r="I43" s="64"/>
      <c r="J43" s="64"/>
      <c r="L43" s="20"/>
      <c r="M43" s="14"/>
    </row>
    <row r="44" spans="2:13" x14ac:dyDescent="0.35">
      <c r="B44" s="64"/>
      <c r="C44" s="64"/>
      <c r="D44" s="64"/>
      <c r="E44" s="64"/>
      <c r="G44" s="64"/>
      <c r="H44" s="64"/>
      <c r="I44" s="64"/>
      <c r="J44" s="64"/>
      <c r="L44" s="20"/>
      <c r="M44" s="14"/>
    </row>
    <row r="45" spans="2:13" x14ac:dyDescent="0.35">
      <c r="B45" s="64"/>
      <c r="C45" s="64"/>
      <c r="D45" s="64"/>
      <c r="E45" s="64"/>
      <c r="G45" s="64"/>
      <c r="H45" s="64"/>
      <c r="I45" s="64"/>
      <c r="J45" s="64"/>
    </row>
    <row r="46" spans="2:13" x14ac:dyDescent="0.35">
      <c r="B46" s="64"/>
      <c r="C46" s="64"/>
      <c r="D46" s="64"/>
      <c r="E46" s="64"/>
      <c r="G46" s="64"/>
      <c r="H46" s="64"/>
      <c r="I46" s="64"/>
      <c r="J46" s="64"/>
    </row>
    <row r="47" spans="2:13" x14ac:dyDescent="0.35">
      <c r="B47" s="64"/>
      <c r="C47" s="64"/>
      <c r="D47" s="64"/>
      <c r="E47" s="64"/>
      <c r="G47" s="64"/>
      <c r="H47" s="64"/>
      <c r="I47" s="64"/>
      <c r="J47" s="64"/>
    </row>
    <row r="48" spans="2:13" x14ac:dyDescent="0.35">
      <c r="B48" s="64"/>
      <c r="C48" s="64"/>
      <c r="D48" s="64"/>
      <c r="E48" s="64"/>
      <c r="G48" s="64"/>
      <c r="H48" s="64"/>
      <c r="I48" s="64"/>
      <c r="J48" s="64"/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Q7:U7"/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</mergeCells>
  <conditionalFormatting sqref="C3">
    <cfRule type="cellIs" dxfId="459" priority="169" operator="notEqual">
      <formula>MAX($E$9:$E$23)</formula>
    </cfRule>
  </conditionalFormatting>
  <conditionalFormatting sqref="H14">
    <cfRule type="cellIs" dxfId="458" priority="56" operator="equal">
      <formula>0</formula>
    </cfRule>
    <cfRule type="containsBlanks" dxfId="457" priority="55">
      <formula>LEN(TRIM(H14))=0</formula>
    </cfRule>
  </conditionalFormatting>
  <conditionalFormatting sqref="H14:H15">
    <cfRule type="cellIs" dxfId="456" priority="48" operator="equal">
      <formula>0</formula>
    </cfRule>
    <cfRule type="containsBlanks" dxfId="455" priority="47">
      <formula>LEN(TRIM(H14))=0</formula>
    </cfRule>
  </conditionalFormatting>
  <conditionalFormatting sqref="H15:H16">
    <cfRule type="cellIs" dxfId="454" priority="40" operator="equal">
      <formula>0</formula>
    </cfRule>
    <cfRule type="containsBlanks" dxfId="453" priority="39">
      <formula>LEN(TRIM(H15))=0</formula>
    </cfRule>
  </conditionalFormatting>
  <conditionalFormatting sqref="H16:H17">
    <cfRule type="cellIs" dxfId="452" priority="32" operator="equal">
      <formula>0</formula>
    </cfRule>
    <cfRule type="containsBlanks" dxfId="451" priority="31">
      <formula>LEN(TRIM(H16))=0</formula>
    </cfRule>
  </conditionalFormatting>
  <conditionalFormatting sqref="H17:H18">
    <cfRule type="cellIs" dxfId="450" priority="24" operator="equal">
      <formula>0</formula>
    </cfRule>
    <cfRule type="containsBlanks" dxfId="449" priority="23">
      <formula>LEN(TRIM(H17))=0</formula>
    </cfRule>
  </conditionalFormatting>
  <conditionalFormatting sqref="H18">
    <cfRule type="containsBlanks" dxfId="448" priority="21">
      <formula>LEN(TRIM(H18))=0</formula>
    </cfRule>
    <cfRule type="cellIs" dxfId="447" priority="22" operator="equal">
      <formula>0</formula>
    </cfRule>
  </conditionalFormatting>
  <conditionalFormatting sqref="M9">
    <cfRule type="cellIs" dxfId="446" priority="158" operator="equal">
      <formula>0</formula>
    </cfRule>
    <cfRule type="containsBlanks" dxfId="445" priority="159">
      <formula>LEN(TRIM(M9))=0</formula>
    </cfRule>
    <cfRule type="cellIs" dxfId="444" priority="160" operator="equal">
      <formula>0</formula>
    </cfRule>
    <cfRule type="containsBlanks" dxfId="443" priority="157">
      <formula>LEN(TRIM(M9))=0</formula>
    </cfRule>
  </conditionalFormatting>
  <conditionalFormatting sqref="M11">
    <cfRule type="containsBlanks" dxfId="442" priority="135">
      <formula>LEN(TRIM(M11))=0</formula>
    </cfRule>
    <cfRule type="cellIs" dxfId="441" priority="136" operator="equal">
      <formula>0</formula>
    </cfRule>
  </conditionalFormatting>
  <conditionalFormatting sqref="M11:M12 H12">
    <cfRule type="cellIs" dxfId="440" priority="16" operator="equal">
      <formula>0</formula>
    </cfRule>
    <cfRule type="containsBlanks" dxfId="439" priority="15">
      <formula>LEN(TRIM(H11))=0</formula>
    </cfRule>
  </conditionalFormatting>
  <conditionalFormatting sqref="M12">
    <cfRule type="cellIs" dxfId="438" priority="6" operator="equal">
      <formula>0</formula>
    </cfRule>
    <cfRule type="containsBlanks" dxfId="437" priority="5">
      <formula>LEN(TRIM(M12))=0</formula>
    </cfRule>
    <cfRule type="containsBlanks" dxfId="436" priority="7">
      <formula>LEN(TRIM(M12))=0</formula>
    </cfRule>
    <cfRule type="cellIs" dxfId="435" priority="8" operator="equal">
      <formula>0</formula>
    </cfRule>
    <cfRule type="cellIs" dxfId="434" priority="12" operator="equal">
      <formula>0</formula>
    </cfRule>
    <cfRule type="containsBlanks" dxfId="433" priority="11">
      <formula>LEN(TRIM(M12))=0</formula>
    </cfRule>
  </conditionalFormatting>
  <conditionalFormatting sqref="M13">
    <cfRule type="cellIs" dxfId="432" priority="60" operator="equal">
      <formula>0</formula>
    </cfRule>
    <cfRule type="containsBlanks" dxfId="431" priority="59">
      <formula>LEN(TRIM(M13))=0</formula>
    </cfRule>
  </conditionalFormatting>
  <conditionalFormatting sqref="M13:M14">
    <cfRule type="containsBlanks" dxfId="430" priority="51">
      <formula>LEN(TRIM(M13))=0</formula>
    </cfRule>
    <cfRule type="cellIs" dxfId="429" priority="52" operator="equal">
      <formula>0</formula>
    </cfRule>
  </conditionalFormatting>
  <conditionalFormatting sqref="M14:M15">
    <cfRule type="containsBlanks" dxfId="428" priority="43">
      <formula>LEN(TRIM(M14))=0</formula>
    </cfRule>
    <cfRule type="cellIs" dxfId="427" priority="44" operator="equal">
      <formula>0</formula>
    </cfRule>
  </conditionalFormatting>
  <conditionalFormatting sqref="M15:M16">
    <cfRule type="containsBlanks" dxfId="426" priority="35">
      <formula>LEN(TRIM(M15))=0</formula>
    </cfRule>
    <cfRule type="cellIs" dxfId="425" priority="36" operator="equal">
      <formula>0</formula>
    </cfRule>
  </conditionalFormatting>
  <conditionalFormatting sqref="M16:M17">
    <cfRule type="containsBlanks" dxfId="424" priority="27">
      <formula>LEN(TRIM(M16))=0</formula>
    </cfRule>
    <cfRule type="cellIs" dxfId="423" priority="28" operator="equal">
      <formula>0</formula>
    </cfRule>
  </conditionalFormatting>
  <conditionalFormatting sqref="M17:M18">
    <cfRule type="containsBlanks" dxfId="422" priority="19">
      <formula>LEN(TRIM(M17))=0</formula>
    </cfRule>
    <cfRule type="cellIs" dxfId="421" priority="20" operator="equal">
      <formula>0</formula>
    </cfRule>
  </conditionalFormatting>
  <conditionalFormatting sqref="M18">
    <cfRule type="containsBlanks" dxfId="420" priority="17">
      <formula>LEN(TRIM(M18))=0</formula>
    </cfRule>
    <cfRule type="cellIs" dxfId="419" priority="18" operator="equal">
      <formula>0</formula>
    </cfRule>
  </conditionalFormatting>
  <conditionalFormatting sqref="R10">
    <cfRule type="cellIs" dxfId="418" priority="156" operator="equal">
      <formula>0</formula>
    </cfRule>
    <cfRule type="containsBlanks" dxfId="417" priority="155">
      <formula>LEN(TRIM(R10))=0</formula>
    </cfRule>
  </conditionalFormatting>
  <conditionalFormatting sqref="R10:R11">
    <cfRule type="containsBlanks" dxfId="416" priority="131">
      <formula>LEN(TRIM(R10))=0</formula>
    </cfRule>
    <cfRule type="cellIs" dxfId="415" priority="132" operator="equal">
      <formula>0</formula>
    </cfRule>
  </conditionalFormatting>
  <conditionalFormatting sqref="R11:R12">
    <cfRule type="containsBlanks" dxfId="414" priority="13">
      <formula>LEN(TRIM(R11))=0</formula>
    </cfRule>
    <cfRule type="cellIs" dxfId="413" priority="14" operator="equal">
      <formula>0</formula>
    </cfRule>
  </conditionalFormatting>
  <conditionalFormatting sqref="R12">
    <cfRule type="cellIs" dxfId="412" priority="4" operator="equal">
      <formula>0</formula>
    </cfRule>
    <cfRule type="cellIs" dxfId="411" priority="10" operator="equal">
      <formula>0</formula>
    </cfRule>
    <cfRule type="containsBlanks" dxfId="410" priority="9">
      <formula>LEN(TRIM(R12))=0</formula>
    </cfRule>
    <cfRule type="containsBlanks" dxfId="409" priority="1">
      <formula>LEN(TRIM(R12))=0</formula>
    </cfRule>
    <cfRule type="cellIs" dxfId="408" priority="2" operator="equal">
      <formula>0</formula>
    </cfRule>
    <cfRule type="containsBlanks" dxfId="407" priority="3">
      <formula>LEN(TRIM(R12))=0</formula>
    </cfRule>
  </conditionalFormatting>
  <conditionalFormatting sqref="R13">
    <cfRule type="containsBlanks" dxfId="406" priority="111">
      <formula>LEN(TRIM(R13))=0</formula>
    </cfRule>
    <cfRule type="cellIs" dxfId="405" priority="112" operator="equal">
      <formula>0</formula>
    </cfRule>
  </conditionalFormatting>
  <conditionalFormatting sqref="R13:R14">
    <cfRule type="containsBlanks" dxfId="404" priority="63">
      <formula>LEN(TRIM(R13))=0</formula>
    </cfRule>
    <cfRule type="cellIs" dxfId="403" priority="64" operator="equal">
      <formula>0</formula>
    </cfRule>
  </conditionalFormatting>
  <conditionalFormatting sqref="R14">
    <cfRule type="containsBlanks" dxfId="402" priority="61">
      <formula>LEN(TRIM(R14))=0</formula>
    </cfRule>
    <cfRule type="cellIs" dxfId="401" priority="62" operator="equal">
      <formula>0</formula>
    </cfRule>
  </conditionalFormatting>
  <conditionalFormatting sqref="W10">
    <cfRule type="containsBlanks" dxfId="400" priority="141">
      <formula>LEN(TRIM(W10))=0</formula>
    </cfRule>
    <cfRule type="cellIs" dxfId="399" priority="142" operator="equal">
      <formula>0</formula>
    </cfRule>
    <cfRule type="cellIs" dxfId="398" priority="144" operator="equal">
      <formula>0</formula>
    </cfRule>
    <cfRule type="containsBlanks" dxfId="397" priority="143">
      <formula>LEN(TRIM(W10))=0</formula>
    </cfRule>
  </conditionalFormatting>
  <conditionalFormatting sqref="W13:W14">
    <cfRule type="containsBlanks" dxfId="396" priority="101">
      <formula>LEN(TRIM(W13))=0</formula>
    </cfRule>
    <cfRule type="cellIs" dxfId="395" priority="102" operator="equal">
      <formula>0</formula>
    </cfRule>
  </conditionalFormatting>
  <dataValidations count="1">
    <dataValidation type="list" allowBlank="1" showInputMessage="1" showErrorMessage="1" sqref="Z9:Z23 U9:U23 P9:P23 F9:F23 K9:K23" xr:uid="{00000000-0002-0000-0200-000000000000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251D-8718-4371-B458-AAF2C587778C}">
  <dimension ref="A1:Z87"/>
  <sheetViews>
    <sheetView workbookViewId="0">
      <selection activeCell="G8" sqref="G8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225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4</v>
      </c>
      <c r="D3" s="31" t="s">
        <v>25</v>
      </c>
      <c r="E3" s="64">
        <v>1</v>
      </c>
      <c r="F3" s="51" t="s">
        <v>45</v>
      </c>
      <c r="G3" s="32" t="s">
        <v>58</v>
      </c>
      <c r="I3" s="141" t="s">
        <v>151</v>
      </c>
      <c r="J3" s="32" t="s">
        <v>152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1.0000000000000001E-5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 t="s">
        <v>143</v>
      </c>
      <c r="R5" s="32" t="s">
        <v>144</v>
      </c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3</v>
      </c>
      <c r="B9" s="39" t="s">
        <v>169</v>
      </c>
      <c r="C9" s="64">
        <v>15</v>
      </c>
      <c r="D9" s="64">
        <v>-90</v>
      </c>
      <c r="E9" s="64">
        <v>60</v>
      </c>
      <c r="F9" s="45" t="s">
        <v>69</v>
      </c>
      <c r="G9" s="39" t="s">
        <v>185</v>
      </c>
      <c r="H9" s="64">
        <v>10</v>
      </c>
      <c r="I9" s="64">
        <v>-10</v>
      </c>
      <c r="J9" s="64">
        <v>0</v>
      </c>
      <c r="K9" s="45" t="s">
        <v>69</v>
      </c>
      <c r="L9" s="39"/>
      <c r="M9" s="64"/>
      <c r="N9" s="64"/>
      <c r="O9" s="64"/>
      <c r="P9" s="45"/>
      <c r="Q9" s="39"/>
      <c r="R9" s="64"/>
      <c r="S9" s="64"/>
      <c r="T9" s="64"/>
      <c r="U9" s="45"/>
      <c r="V9" s="39"/>
      <c r="W9" s="64"/>
      <c r="X9" s="64"/>
      <c r="Y9" s="64"/>
      <c r="Z9" s="16"/>
    </row>
    <row r="10" spans="1:26" x14ac:dyDescent="0.35">
      <c r="A10" s="43">
        <v>3</v>
      </c>
      <c r="B10" s="39" t="s">
        <v>171</v>
      </c>
      <c r="C10" s="64">
        <v>15</v>
      </c>
      <c r="D10" s="64">
        <v>-90</v>
      </c>
      <c r="E10" s="64">
        <v>60</v>
      </c>
      <c r="F10" s="45" t="s">
        <v>162</v>
      </c>
      <c r="G10" s="39" t="s">
        <v>186</v>
      </c>
      <c r="H10" s="64">
        <v>10</v>
      </c>
      <c r="I10" s="64">
        <v>-10</v>
      </c>
      <c r="J10" s="64">
        <v>0</v>
      </c>
      <c r="K10" s="45" t="s">
        <v>162</v>
      </c>
      <c r="L10" s="39"/>
      <c r="M10" s="64"/>
      <c r="N10" s="64"/>
      <c r="O10" s="64"/>
      <c r="P10" s="45"/>
      <c r="Q10" s="39"/>
      <c r="R10" s="64"/>
      <c r="S10" s="64"/>
      <c r="T10" s="64"/>
      <c r="U10" s="45"/>
      <c r="V10" s="39"/>
      <c r="W10" s="64"/>
      <c r="X10" s="64"/>
      <c r="Y10" s="64"/>
      <c r="Z10" s="45"/>
    </row>
    <row r="11" spans="1:26" x14ac:dyDescent="0.35">
      <c r="A11" s="43"/>
      <c r="B11" s="62"/>
      <c r="C11" s="64"/>
      <c r="D11" s="64"/>
      <c r="E11" s="64"/>
      <c r="F11" s="45"/>
      <c r="G11" s="39"/>
      <c r="H11" s="64"/>
      <c r="I11" s="64"/>
      <c r="J11" s="64"/>
      <c r="K11" s="45"/>
      <c r="L11" s="39"/>
      <c r="M11" s="64"/>
      <c r="N11" s="64"/>
      <c r="O11" s="64"/>
      <c r="P11" s="45"/>
      <c r="Q11" s="39"/>
      <c r="R11" s="64"/>
      <c r="S11" s="64"/>
      <c r="T11" s="64"/>
      <c r="U11" s="45"/>
      <c r="V11" s="39"/>
      <c r="W11" s="64"/>
      <c r="X11" s="64"/>
      <c r="Y11" s="64"/>
      <c r="Z11" s="16"/>
    </row>
    <row r="12" spans="1:26" x14ac:dyDescent="0.35">
      <c r="A12" s="43"/>
      <c r="B12" s="62"/>
      <c r="C12" s="64"/>
      <c r="D12" s="64"/>
      <c r="E12" s="64"/>
      <c r="F12" s="45"/>
      <c r="G12" s="39"/>
      <c r="H12" s="64"/>
      <c r="I12" s="64"/>
      <c r="J12" s="64"/>
      <c r="K12" s="45"/>
      <c r="L12" s="39"/>
      <c r="M12" s="64"/>
      <c r="N12" s="64"/>
      <c r="O12" s="64"/>
      <c r="P12" s="45"/>
      <c r="Q12" s="39"/>
      <c r="R12" s="64"/>
      <c r="S12" s="64"/>
      <c r="T12" s="64"/>
      <c r="U12" s="45"/>
      <c r="V12" s="39"/>
      <c r="W12" s="64"/>
      <c r="X12" s="64"/>
      <c r="Y12" s="64"/>
      <c r="Z12" s="45"/>
    </row>
    <row r="13" spans="1:26" x14ac:dyDescent="0.35">
      <c r="A13" s="43"/>
      <c r="B13" s="62"/>
      <c r="C13" s="64"/>
      <c r="D13" s="64"/>
      <c r="E13" s="64"/>
      <c r="F13" s="45"/>
      <c r="G13" s="39"/>
      <c r="H13" s="64"/>
      <c r="I13" s="64"/>
      <c r="J13" s="64"/>
      <c r="K13" s="45"/>
      <c r="L13" s="39"/>
      <c r="M13" s="64"/>
      <c r="N13" s="64"/>
      <c r="O13" s="64"/>
      <c r="P13" s="45"/>
      <c r="Q13" s="39"/>
      <c r="R13" s="64"/>
      <c r="S13" s="64"/>
      <c r="T13" s="64"/>
      <c r="U13" s="45"/>
      <c r="V13" s="39"/>
      <c r="W13" s="64"/>
      <c r="X13" s="64"/>
      <c r="Y13" s="64"/>
      <c r="Z13" s="45"/>
    </row>
    <row r="14" spans="1:26" x14ac:dyDescent="0.35">
      <c r="A14" s="43"/>
      <c r="B14" s="62"/>
      <c r="C14" s="64"/>
      <c r="D14" s="64"/>
      <c r="E14" s="64"/>
      <c r="F14" s="45"/>
      <c r="G14" s="39"/>
      <c r="H14" s="64"/>
      <c r="I14" s="64"/>
      <c r="J14" s="64"/>
      <c r="K14" s="45"/>
      <c r="L14" s="39"/>
      <c r="M14" s="64"/>
      <c r="N14" s="64"/>
      <c r="O14" s="64"/>
      <c r="P14" s="45"/>
      <c r="Q14" s="39"/>
      <c r="R14" s="64"/>
      <c r="S14" s="64"/>
      <c r="T14" s="64"/>
      <c r="U14" s="45"/>
      <c r="V14" s="39"/>
      <c r="W14" s="64"/>
      <c r="X14" s="64"/>
      <c r="Y14" s="64"/>
      <c r="Z14" s="45"/>
    </row>
    <row r="15" spans="1:26" x14ac:dyDescent="0.35">
      <c r="A15" s="43"/>
      <c r="B15" s="62"/>
      <c r="C15" s="64"/>
      <c r="D15" s="64"/>
      <c r="E15" s="64"/>
      <c r="F15" s="45"/>
      <c r="G15" s="39"/>
      <c r="H15" s="64"/>
      <c r="I15" s="64"/>
      <c r="J15" s="64"/>
      <c r="K15" s="45"/>
      <c r="L15" s="39"/>
      <c r="M15" s="64"/>
      <c r="N15" s="64"/>
      <c r="O15" s="64"/>
      <c r="P15" s="45"/>
      <c r="Q15" s="39"/>
      <c r="R15" s="64"/>
      <c r="S15" s="64"/>
      <c r="T15" s="64"/>
      <c r="U15" s="16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16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16"/>
      <c r="L17" s="39"/>
      <c r="M17" s="64"/>
      <c r="N17" s="64"/>
      <c r="O17" s="64"/>
      <c r="P17" s="16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16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16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94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/>
      <c r="M27" s="199"/>
      <c r="N27" s="200"/>
      <c r="O27" s="200"/>
      <c r="P27" s="200"/>
      <c r="Q27" s="200"/>
    </row>
    <row r="28" spans="1:26" x14ac:dyDescent="0.35">
      <c r="B28" s="64" t="s">
        <v>164</v>
      </c>
      <c r="C28" s="64">
        <v>0</v>
      </c>
      <c r="D28" s="64">
        <v>90</v>
      </c>
      <c r="E28" s="64">
        <v>-0.52300000000000002</v>
      </c>
      <c r="G28" s="64"/>
      <c r="H28" s="64"/>
      <c r="I28" s="64"/>
      <c r="J28" s="64"/>
      <c r="L28" s="39"/>
      <c r="M28" s="14"/>
    </row>
    <row r="29" spans="1:26" x14ac:dyDescent="0.35">
      <c r="B29" s="64" t="s">
        <v>166</v>
      </c>
      <c r="C29" s="64">
        <v>0</v>
      </c>
      <c r="D29" s="64">
        <v>90</v>
      </c>
      <c r="E29" s="64">
        <v>-2.16</v>
      </c>
      <c r="G29" s="64"/>
      <c r="H29" s="64"/>
      <c r="I29" s="64"/>
      <c r="J29" s="64"/>
      <c r="L29" s="39"/>
      <c r="M29" s="14"/>
    </row>
    <row r="30" spans="1:26" x14ac:dyDescent="0.35">
      <c r="B30" s="64" t="s">
        <v>160</v>
      </c>
      <c r="C30" s="64">
        <v>0</v>
      </c>
      <c r="D30" s="64">
        <v>90</v>
      </c>
      <c r="E30" s="64">
        <v>-2.09</v>
      </c>
      <c r="G30" s="64"/>
      <c r="H30" s="64"/>
      <c r="I30" s="64"/>
      <c r="J30" s="64"/>
      <c r="L30" s="39"/>
      <c r="M30" s="14"/>
    </row>
    <row r="31" spans="1:26" x14ac:dyDescent="0.35">
      <c r="B31" s="64" t="s">
        <v>164</v>
      </c>
      <c r="C31" s="64">
        <v>3</v>
      </c>
      <c r="D31" s="64">
        <v>4</v>
      </c>
      <c r="E31" s="64">
        <v>3</v>
      </c>
      <c r="G31" s="64"/>
      <c r="H31" s="64"/>
      <c r="I31" s="64"/>
      <c r="J31" s="64"/>
      <c r="L31" s="39"/>
      <c r="M31" s="14"/>
    </row>
    <row r="32" spans="1:26" x14ac:dyDescent="0.35">
      <c r="B32" s="64" t="s">
        <v>166</v>
      </c>
      <c r="C32" s="64">
        <v>3</v>
      </c>
      <c r="D32" s="64">
        <v>4</v>
      </c>
      <c r="E32" s="64">
        <f>E31</f>
        <v>3</v>
      </c>
      <c r="G32" s="64"/>
      <c r="H32" s="64"/>
      <c r="I32" s="64"/>
      <c r="J32" s="64"/>
      <c r="L32" s="39"/>
      <c r="M32" s="14"/>
    </row>
    <row r="33" spans="2:13" x14ac:dyDescent="0.35">
      <c r="B33" s="64" t="s">
        <v>160</v>
      </c>
      <c r="C33" s="64">
        <v>3</v>
      </c>
      <c r="D33" s="64">
        <v>4</v>
      </c>
      <c r="E33" s="64">
        <f>E31</f>
        <v>3</v>
      </c>
      <c r="G33" s="64"/>
      <c r="H33" s="64"/>
      <c r="I33" s="64"/>
      <c r="J33" s="64"/>
      <c r="L33" s="39"/>
      <c r="M33" s="14"/>
    </row>
    <row r="34" spans="2:13" x14ac:dyDescent="0.35">
      <c r="B34" s="64"/>
      <c r="C34" s="64"/>
      <c r="D34" s="64"/>
      <c r="E34" s="64"/>
      <c r="G34" s="64"/>
      <c r="H34" s="64"/>
      <c r="I34" s="64"/>
      <c r="J34" s="64"/>
      <c r="L34" s="39"/>
      <c r="M34" s="14"/>
    </row>
    <row r="35" spans="2:13" x14ac:dyDescent="0.35">
      <c r="B35" s="64"/>
      <c r="C35" s="64"/>
      <c r="D35" s="64"/>
      <c r="E35" s="64"/>
      <c r="G35" s="64"/>
      <c r="H35" s="64"/>
      <c r="I35" s="64"/>
      <c r="J35" s="64"/>
      <c r="L35" s="39"/>
      <c r="M35" s="14"/>
    </row>
    <row r="36" spans="2:13" x14ac:dyDescent="0.35">
      <c r="B36" s="64"/>
      <c r="C36" s="64"/>
      <c r="D36" s="64"/>
      <c r="E36" s="64"/>
      <c r="G36" s="64"/>
      <c r="H36" s="64"/>
      <c r="I36" s="64"/>
      <c r="J36" s="64"/>
      <c r="L36" s="39"/>
      <c r="M36" s="14"/>
    </row>
    <row r="37" spans="2:13" x14ac:dyDescent="0.35">
      <c r="B37" s="64"/>
      <c r="C37" s="64"/>
      <c r="D37" s="64"/>
      <c r="E37" s="64"/>
      <c r="G37" s="64"/>
      <c r="H37" s="64"/>
      <c r="I37" s="64"/>
      <c r="J37" s="64"/>
      <c r="L37" s="20"/>
      <c r="M37" s="14"/>
    </row>
    <row r="38" spans="2:13" x14ac:dyDescent="0.35">
      <c r="B38" s="64"/>
      <c r="C38" s="64"/>
      <c r="D38" s="64"/>
      <c r="E38" s="64"/>
      <c r="G38" s="64"/>
      <c r="H38" s="64"/>
      <c r="I38" s="64"/>
      <c r="J38" s="64"/>
      <c r="L38" s="20"/>
      <c r="M38" s="14"/>
    </row>
    <row r="39" spans="2:13" x14ac:dyDescent="0.35">
      <c r="B39" s="64"/>
      <c r="C39" s="64"/>
      <c r="D39" s="64"/>
      <c r="E39" s="64"/>
      <c r="G39" s="64"/>
      <c r="H39" s="64"/>
      <c r="I39" s="64"/>
      <c r="J39" s="64"/>
      <c r="L39" s="20"/>
      <c r="M39" s="14"/>
    </row>
    <row r="40" spans="2:13" x14ac:dyDescent="0.35">
      <c r="B40" s="64"/>
      <c r="C40" s="64"/>
      <c r="D40" s="64"/>
      <c r="E40" s="64"/>
      <c r="G40" s="64"/>
      <c r="H40" s="64"/>
      <c r="I40" s="64"/>
      <c r="J40" s="64"/>
      <c r="L40" s="20"/>
      <c r="M40" s="14"/>
    </row>
    <row r="41" spans="2:13" x14ac:dyDescent="0.35">
      <c r="B41" s="64"/>
      <c r="C41" s="64"/>
      <c r="D41" s="64"/>
      <c r="E41" s="64"/>
      <c r="G41" s="64"/>
      <c r="H41" s="64"/>
      <c r="I41" s="64"/>
      <c r="J41" s="64"/>
      <c r="L41" s="20"/>
      <c r="M41" s="14"/>
    </row>
    <row r="42" spans="2:13" x14ac:dyDescent="0.35">
      <c r="B42" s="64"/>
      <c r="C42" s="64"/>
      <c r="D42" s="64"/>
      <c r="E42" s="64"/>
      <c r="G42" s="64"/>
      <c r="H42" s="64"/>
      <c r="I42" s="64"/>
      <c r="J42" s="64"/>
      <c r="L42" s="20"/>
      <c r="M42" s="14"/>
    </row>
    <row r="43" spans="2:13" x14ac:dyDescent="0.35">
      <c r="B43" s="64"/>
      <c r="C43" s="64"/>
      <c r="D43" s="64"/>
      <c r="E43" s="64"/>
      <c r="G43" s="64"/>
      <c r="H43" s="64"/>
      <c r="I43" s="64"/>
      <c r="J43" s="64"/>
      <c r="L43" s="20"/>
      <c r="M43" s="14"/>
    </row>
    <row r="44" spans="2:13" x14ac:dyDescent="0.35">
      <c r="B44" s="64"/>
      <c r="C44" s="64"/>
      <c r="D44" s="64"/>
      <c r="E44" s="64"/>
      <c r="G44" s="64"/>
      <c r="H44" s="64"/>
      <c r="I44" s="64"/>
      <c r="J44" s="64"/>
      <c r="L44" s="20"/>
      <c r="M44" s="14"/>
    </row>
    <row r="45" spans="2:13" x14ac:dyDescent="0.35">
      <c r="B45" s="64"/>
      <c r="C45" s="64"/>
      <c r="D45" s="64"/>
      <c r="E45" s="64"/>
      <c r="G45" s="64"/>
      <c r="H45" s="64"/>
      <c r="I45" s="64"/>
      <c r="J45" s="64"/>
    </row>
    <row r="46" spans="2:13" x14ac:dyDescent="0.35">
      <c r="B46" s="64"/>
      <c r="C46" s="64"/>
      <c r="D46" s="64"/>
      <c r="E46" s="64"/>
      <c r="G46" s="64"/>
      <c r="H46" s="64"/>
      <c r="I46" s="64"/>
      <c r="J46" s="64"/>
    </row>
    <row r="47" spans="2:13" x14ac:dyDescent="0.35">
      <c r="B47" s="64"/>
      <c r="C47" s="64"/>
      <c r="D47" s="64"/>
      <c r="E47" s="64"/>
      <c r="G47" s="64"/>
      <c r="H47" s="64"/>
      <c r="I47" s="64"/>
      <c r="J47" s="64"/>
    </row>
    <row r="48" spans="2:13" x14ac:dyDescent="0.35">
      <c r="B48" s="64"/>
      <c r="C48" s="64"/>
      <c r="D48" s="64"/>
      <c r="E48" s="64"/>
      <c r="G48" s="64"/>
      <c r="H48" s="64"/>
      <c r="I48" s="64"/>
      <c r="J48" s="64"/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V7:Z7"/>
    <mergeCell ref="F1:K1"/>
    <mergeCell ref="B7:F7"/>
    <mergeCell ref="G7:K7"/>
    <mergeCell ref="L7:P7"/>
    <mergeCell ref="Q7:U7"/>
    <mergeCell ref="A25:J25"/>
    <mergeCell ref="L25:M25"/>
    <mergeCell ref="B26:E26"/>
    <mergeCell ref="G26:J26"/>
    <mergeCell ref="M26:Q27"/>
  </mergeCells>
  <conditionalFormatting sqref="C3">
    <cfRule type="cellIs" dxfId="394" priority="85" operator="notEqual">
      <formula>MAX($E$9:$E$23)</formula>
    </cfRule>
  </conditionalFormatting>
  <conditionalFormatting sqref="H9">
    <cfRule type="containsBlanks" dxfId="393" priority="11">
      <formula>LEN(TRIM(H9))=0</formula>
    </cfRule>
    <cfRule type="cellIs" dxfId="392" priority="12" operator="equal">
      <formula>0</formula>
    </cfRule>
  </conditionalFormatting>
  <conditionalFormatting sqref="H9:H10">
    <cfRule type="containsBlanks" dxfId="391" priority="3">
      <formula>LEN(TRIM(H9))=0</formula>
    </cfRule>
    <cfRule type="cellIs" dxfId="390" priority="4" operator="equal">
      <formula>0</formula>
    </cfRule>
  </conditionalFormatting>
  <conditionalFormatting sqref="H10">
    <cfRule type="containsBlanks" dxfId="389" priority="1">
      <formula>LEN(TRIM(H10))=0</formula>
    </cfRule>
    <cfRule type="cellIs" dxfId="388" priority="2" operator="equal">
      <formula>0</formula>
    </cfRule>
  </conditionalFormatting>
  <conditionalFormatting sqref="H12">
    <cfRule type="cellIs" dxfId="387" priority="48" operator="equal">
      <formula>0</formula>
    </cfRule>
    <cfRule type="containsBlanks" dxfId="386" priority="47">
      <formula>LEN(TRIM(H12))=0</formula>
    </cfRule>
  </conditionalFormatting>
  <conditionalFormatting sqref="H12:H13">
    <cfRule type="cellIs" dxfId="385" priority="44" operator="equal">
      <formula>0</formula>
    </cfRule>
    <cfRule type="containsBlanks" dxfId="384" priority="43">
      <formula>LEN(TRIM(H12))=0</formula>
    </cfRule>
  </conditionalFormatting>
  <conditionalFormatting sqref="H13:H14">
    <cfRule type="containsBlanks" dxfId="383" priority="27">
      <formula>LEN(TRIM(H13))=0</formula>
    </cfRule>
    <cfRule type="cellIs" dxfId="382" priority="28" operator="equal">
      <formula>0</formula>
    </cfRule>
  </conditionalFormatting>
  <conditionalFormatting sqref="H14:H15">
    <cfRule type="containsBlanks" dxfId="381" priority="19">
      <formula>LEN(TRIM(H14))=0</formula>
    </cfRule>
    <cfRule type="cellIs" dxfId="380" priority="20" operator="equal">
      <formula>0</formula>
    </cfRule>
  </conditionalFormatting>
  <conditionalFormatting sqref="H15">
    <cfRule type="containsBlanks" dxfId="379" priority="17">
      <formula>LEN(TRIM(H15))=0</formula>
    </cfRule>
    <cfRule type="cellIs" dxfId="378" priority="18" operator="equal">
      <formula>0</formula>
    </cfRule>
  </conditionalFormatting>
  <conditionalFormatting sqref="M11">
    <cfRule type="cellIs" dxfId="377" priority="68" operator="equal">
      <formula>0</formula>
    </cfRule>
    <cfRule type="containsBlanks" dxfId="376" priority="67">
      <formula>LEN(TRIM(M11))=0</formula>
    </cfRule>
  </conditionalFormatting>
  <conditionalFormatting sqref="M11:M12">
    <cfRule type="containsBlanks" dxfId="375" priority="39">
      <formula>LEN(TRIM(M11))=0</formula>
    </cfRule>
    <cfRule type="cellIs" dxfId="374" priority="40" operator="equal">
      <formula>0</formula>
    </cfRule>
  </conditionalFormatting>
  <conditionalFormatting sqref="M12:M13">
    <cfRule type="containsBlanks" dxfId="373" priority="31">
      <formula>LEN(TRIM(M12))=0</formula>
    </cfRule>
    <cfRule type="cellIs" dxfId="372" priority="32" operator="equal">
      <formula>0</formula>
    </cfRule>
  </conditionalFormatting>
  <conditionalFormatting sqref="M13:M14">
    <cfRule type="containsBlanks" dxfId="371" priority="23">
      <formula>LEN(TRIM(M13))=0</formula>
    </cfRule>
    <cfRule type="cellIs" dxfId="370" priority="24" operator="equal">
      <formula>0</formula>
    </cfRule>
  </conditionalFormatting>
  <conditionalFormatting sqref="M14:M16">
    <cfRule type="cellIs" dxfId="369" priority="16" operator="equal">
      <formula>0</formula>
    </cfRule>
    <cfRule type="containsBlanks" dxfId="368" priority="15">
      <formula>LEN(TRIM(M14))=0</formula>
    </cfRule>
  </conditionalFormatting>
  <conditionalFormatting sqref="M15">
    <cfRule type="cellIs" dxfId="367" priority="14" operator="equal">
      <formula>0</formula>
    </cfRule>
    <cfRule type="containsBlanks" dxfId="366" priority="13">
      <formula>LEN(TRIM(M15))=0</formula>
    </cfRule>
  </conditionalFormatting>
  <conditionalFormatting sqref="M16">
    <cfRule type="containsBlanks" dxfId="365" priority="83">
      <formula>LEN(TRIM(M16))=0</formula>
    </cfRule>
    <cfRule type="cellIs" dxfId="364" priority="84" operator="equal">
      <formula>0</formula>
    </cfRule>
  </conditionalFormatting>
  <conditionalFormatting sqref="R9">
    <cfRule type="containsBlanks" dxfId="363" priority="7">
      <formula>LEN(TRIM(R9))=0</formula>
    </cfRule>
    <cfRule type="cellIs" dxfId="362" priority="8" operator="equal">
      <formula>0</formula>
    </cfRule>
    <cfRule type="cellIs" dxfId="361" priority="6" operator="equal">
      <formula>0</formula>
    </cfRule>
    <cfRule type="containsBlanks" dxfId="360" priority="5">
      <formula>LEN(TRIM(R9))=0</formula>
    </cfRule>
  </conditionalFormatting>
  <conditionalFormatting sqref="R10">
    <cfRule type="containsBlanks" dxfId="359" priority="75">
      <formula>LEN(TRIM(R10))=0</formula>
    </cfRule>
    <cfRule type="cellIs" dxfId="358" priority="76" operator="equal">
      <formula>0</formula>
    </cfRule>
  </conditionalFormatting>
  <conditionalFormatting sqref="R10:R11">
    <cfRule type="cellIs" dxfId="357" priority="64" operator="equal">
      <formula>0</formula>
    </cfRule>
    <cfRule type="containsBlanks" dxfId="356" priority="63">
      <formula>LEN(TRIM(R10))=0</formula>
    </cfRule>
  </conditionalFormatting>
  <conditionalFormatting sqref="R11:R12">
    <cfRule type="containsBlanks" dxfId="355" priority="59">
      <formula>LEN(TRIM(R11))=0</formula>
    </cfRule>
    <cfRule type="cellIs" dxfId="354" priority="60" operator="equal">
      <formula>0</formula>
    </cfRule>
  </conditionalFormatting>
  <conditionalFormatting sqref="R12:R13">
    <cfRule type="containsBlanks" dxfId="353" priority="55">
      <formula>LEN(TRIM(R12))=0</formula>
    </cfRule>
    <cfRule type="cellIs" dxfId="352" priority="56" operator="equal">
      <formula>0</formula>
    </cfRule>
  </conditionalFormatting>
  <conditionalFormatting sqref="R13:R14">
    <cfRule type="cellIs" dxfId="351" priority="36" operator="equal">
      <formula>0</formula>
    </cfRule>
    <cfRule type="containsBlanks" dxfId="350" priority="35">
      <formula>LEN(TRIM(R13))=0</formula>
    </cfRule>
  </conditionalFormatting>
  <conditionalFormatting sqref="R14">
    <cfRule type="cellIs" dxfId="349" priority="34" operator="equal">
      <formula>0</formula>
    </cfRule>
    <cfRule type="containsBlanks" dxfId="348" priority="33">
      <formula>LEN(TRIM(R14))=0</formula>
    </cfRule>
  </conditionalFormatting>
  <conditionalFormatting sqref="W10">
    <cfRule type="containsBlanks" dxfId="347" priority="69">
      <formula>LEN(TRIM(W10))=0</formula>
    </cfRule>
    <cfRule type="cellIs" dxfId="346" priority="70" operator="equal">
      <formula>0</formula>
    </cfRule>
    <cfRule type="cellIs" dxfId="345" priority="72" operator="equal">
      <formula>0</formula>
    </cfRule>
    <cfRule type="containsBlanks" dxfId="344" priority="71">
      <formula>LEN(TRIM(W10))=0</formula>
    </cfRule>
  </conditionalFormatting>
  <conditionalFormatting sqref="W13:W14">
    <cfRule type="containsBlanks" dxfId="343" priority="51">
      <formula>LEN(TRIM(W13))=0</formula>
    </cfRule>
    <cfRule type="cellIs" dxfId="342" priority="52" operator="equal">
      <formula>0</formula>
    </cfRule>
  </conditionalFormatting>
  <dataValidations count="1">
    <dataValidation type="list" allowBlank="1" showInputMessage="1" showErrorMessage="1" sqref="Z9:Z23 P9:P23 U9:U23 F9:F23 K9:K23" xr:uid="{88086519-6A5F-4ECD-954B-F83EDDB2E518}">
      <formula1>"green,red,yellow,blue,orange,cyan,black,white,magenta"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5F39-3EFF-456C-B3CA-8B64A75BCFD1}">
  <dimension ref="A1:Z87"/>
  <sheetViews>
    <sheetView workbookViewId="0">
      <selection activeCell="G15" sqref="G15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213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30</v>
      </c>
      <c r="D3" s="31" t="s">
        <v>25</v>
      </c>
      <c r="E3" s="64">
        <v>1</v>
      </c>
      <c r="F3" s="51" t="s">
        <v>45</v>
      </c>
      <c r="G3" s="32" t="s">
        <v>58</v>
      </c>
      <c r="I3" s="141" t="s">
        <v>151</v>
      </c>
      <c r="J3" s="32" t="s">
        <v>152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1.0000000000000001E-5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 t="s">
        <v>143</v>
      </c>
      <c r="R5" s="32" t="s">
        <v>144</v>
      </c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2</v>
      </c>
      <c r="B9" s="62" t="s">
        <v>31</v>
      </c>
      <c r="C9" s="64">
        <v>15</v>
      </c>
      <c r="D9" s="64">
        <v>0</v>
      </c>
      <c r="E9" s="64">
        <v>30</v>
      </c>
      <c r="F9" s="45" t="s">
        <v>69</v>
      </c>
      <c r="G9" s="39" t="s">
        <v>169</v>
      </c>
      <c r="H9" s="64">
        <v>14</v>
      </c>
      <c r="I9" s="64">
        <v>-90</v>
      </c>
      <c r="J9" s="64">
        <v>50</v>
      </c>
      <c r="K9" s="45" t="s">
        <v>69</v>
      </c>
      <c r="L9" s="39"/>
      <c r="M9" s="64"/>
      <c r="N9" s="64"/>
      <c r="O9" s="64"/>
      <c r="P9" s="45"/>
      <c r="Q9" s="39"/>
      <c r="R9" s="64"/>
      <c r="S9" s="64"/>
      <c r="T9" s="64"/>
      <c r="U9" s="16"/>
      <c r="V9" s="39"/>
      <c r="W9" s="64"/>
      <c r="X9" s="64"/>
      <c r="Y9" s="64"/>
      <c r="Z9" s="16"/>
    </row>
    <row r="10" spans="1:26" x14ac:dyDescent="0.35">
      <c r="A10" s="43">
        <v>3</v>
      </c>
      <c r="B10" s="62" t="s">
        <v>31</v>
      </c>
      <c r="C10" s="64">
        <v>15</v>
      </c>
      <c r="D10" s="64">
        <v>0</v>
      </c>
      <c r="E10" s="64">
        <v>30</v>
      </c>
      <c r="F10" s="45" t="s">
        <v>178</v>
      </c>
      <c r="G10" s="39" t="s">
        <v>189</v>
      </c>
      <c r="H10" s="64">
        <v>10</v>
      </c>
      <c r="I10" s="64">
        <v>0</v>
      </c>
      <c r="J10" s="64">
        <v>100</v>
      </c>
      <c r="K10" s="45" t="s">
        <v>69</v>
      </c>
      <c r="L10" s="39" t="s">
        <v>212</v>
      </c>
      <c r="M10" s="64">
        <v>10</v>
      </c>
      <c r="N10" s="64">
        <v>0</v>
      </c>
      <c r="O10" s="64">
        <v>100</v>
      </c>
      <c r="P10" s="45" t="s">
        <v>168</v>
      </c>
      <c r="Q10" s="39"/>
      <c r="R10" s="64"/>
      <c r="S10" s="64"/>
      <c r="T10" s="64"/>
      <c r="U10" s="45"/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15</v>
      </c>
      <c r="D11" s="64">
        <v>0</v>
      </c>
      <c r="E11" s="64">
        <v>30</v>
      </c>
      <c r="F11" s="45" t="s">
        <v>69</v>
      </c>
      <c r="G11" s="39" t="s">
        <v>188</v>
      </c>
      <c r="H11" s="64">
        <v>7</v>
      </c>
      <c r="I11" s="64">
        <v>-3</v>
      </c>
      <c r="J11" s="64">
        <v>4</v>
      </c>
      <c r="K11" s="45" t="s">
        <v>69</v>
      </c>
      <c r="L11" s="39"/>
      <c r="M11" s="64"/>
      <c r="N11" s="64"/>
      <c r="O11" s="64"/>
      <c r="P11" s="45"/>
      <c r="Q11" s="39"/>
      <c r="R11" s="64"/>
      <c r="S11" s="64"/>
      <c r="T11" s="64"/>
      <c r="U11" s="16"/>
      <c r="V11" s="39"/>
      <c r="W11" s="64"/>
      <c r="X11" s="64"/>
      <c r="Y11" s="64"/>
      <c r="Z11" s="16"/>
    </row>
    <row r="12" spans="1:26" x14ac:dyDescent="0.35">
      <c r="A12" s="43"/>
      <c r="B12" s="62"/>
      <c r="C12" s="64"/>
      <c r="D12" s="64"/>
      <c r="E12" s="64"/>
      <c r="F12" s="45"/>
      <c r="G12" s="39"/>
      <c r="H12" s="64"/>
      <c r="I12" s="64"/>
      <c r="J12" s="64"/>
      <c r="K12" s="45"/>
      <c r="L12" s="39"/>
      <c r="M12" s="64"/>
      <c r="N12" s="64"/>
      <c r="O12" s="64"/>
      <c r="P12" s="45"/>
      <c r="Q12" s="39"/>
      <c r="R12" s="64"/>
      <c r="S12" s="64"/>
      <c r="T12" s="64"/>
      <c r="U12" s="45"/>
      <c r="V12" s="39"/>
      <c r="W12" s="64"/>
      <c r="X12" s="64"/>
      <c r="Y12" s="64"/>
      <c r="Z12" s="16"/>
    </row>
    <row r="13" spans="1:26" x14ac:dyDescent="0.35">
      <c r="A13" s="43"/>
      <c r="B13" s="62"/>
      <c r="C13" s="64"/>
      <c r="D13" s="64"/>
      <c r="E13" s="64"/>
      <c r="F13" s="45"/>
      <c r="G13" s="39"/>
      <c r="H13" s="64"/>
      <c r="I13" s="64"/>
      <c r="J13" s="64"/>
      <c r="K13" s="45"/>
      <c r="L13" s="39"/>
      <c r="M13" s="64"/>
      <c r="N13" s="64"/>
      <c r="O13" s="64"/>
      <c r="P13" s="45"/>
      <c r="Q13" s="39"/>
      <c r="R13" s="64"/>
      <c r="S13" s="64"/>
      <c r="T13" s="64"/>
      <c r="U13" s="45"/>
      <c r="V13" s="39"/>
      <c r="W13" s="64"/>
      <c r="X13" s="64"/>
      <c r="Y13" s="64"/>
      <c r="Z13" s="16"/>
    </row>
    <row r="14" spans="1:26" x14ac:dyDescent="0.35">
      <c r="A14" s="43"/>
      <c r="B14" s="62"/>
      <c r="C14" s="64"/>
      <c r="D14" s="64"/>
      <c r="E14" s="64"/>
      <c r="F14" s="45"/>
      <c r="G14" s="48"/>
      <c r="H14" s="64"/>
      <c r="I14" s="64"/>
      <c r="J14" s="64"/>
      <c r="K14" s="45"/>
      <c r="L14" s="39"/>
      <c r="M14" s="64"/>
      <c r="N14" s="64"/>
      <c r="O14" s="64"/>
      <c r="P14" s="16"/>
      <c r="Q14" s="39"/>
      <c r="R14" s="64"/>
      <c r="S14" s="64"/>
      <c r="T14" s="64"/>
      <c r="U14" s="16"/>
      <c r="V14" s="39"/>
      <c r="W14" s="64"/>
      <c r="X14" s="64"/>
      <c r="Y14" s="64"/>
      <c r="Z14" s="16"/>
    </row>
    <row r="15" spans="1:26" x14ac:dyDescent="0.35">
      <c r="A15" s="43"/>
      <c r="B15" s="62"/>
      <c r="C15" s="64"/>
      <c r="D15" s="64"/>
      <c r="E15" s="64"/>
      <c r="F15" s="45"/>
      <c r="G15" s="48"/>
      <c r="H15" s="64"/>
      <c r="I15" s="64"/>
      <c r="J15" s="64"/>
      <c r="K15" s="45"/>
      <c r="L15" s="39"/>
      <c r="M15" s="64"/>
      <c r="N15" s="64"/>
      <c r="O15" s="64"/>
      <c r="P15" s="16"/>
      <c r="Q15" s="39"/>
      <c r="R15" s="64"/>
      <c r="S15" s="64"/>
      <c r="T15" s="64"/>
      <c r="U15" s="16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39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16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16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16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94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/>
      <c r="M27" s="199"/>
      <c r="N27" s="200"/>
      <c r="O27" s="200"/>
      <c r="P27" s="200"/>
      <c r="Q27" s="200"/>
    </row>
    <row r="28" spans="1:26" x14ac:dyDescent="0.35">
      <c r="B28" s="64" t="s">
        <v>164</v>
      </c>
      <c r="C28" s="64">
        <v>0</v>
      </c>
      <c r="D28" s="64">
        <v>90</v>
      </c>
      <c r="E28" s="64">
        <v>-0.63493999999999995</v>
      </c>
      <c r="G28" s="64"/>
      <c r="H28" s="64"/>
      <c r="I28" s="64"/>
      <c r="J28" s="64"/>
      <c r="L28" s="39"/>
      <c r="M28" s="14"/>
    </row>
    <row r="29" spans="1:26" x14ac:dyDescent="0.35">
      <c r="B29" s="64" t="s">
        <v>164</v>
      </c>
      <c r="C29" s="64">
        <v>3</v>
      </c>
      <c r="D29" s="64">
        <v>4</v>
      </c>
      <c r="E29" s="64">
        <v>0.8</v>
      </c>
      <c r="G29" s="64"/>
      <c r="H29" s="64"/>
      <c r="I29" s="64"/>
      <c r="J29" s="64"/>
      <c r="L29" s="39"/>
      <c r="M29" s="14"/>
    </row>
    <row r="30" spans="1:26" x14ac:dyDescent="0.35">
      <c r="B30" s="64" t="s">
        <v>164</v>
      </c>
      <c r="C30" s="64">
        <v>5</v>
      </c>
      <c r="D30" s="64">
        <v>6</v>
      </c>
      <c r="E30" s="64">
        <v>0</v>
      </c>
      <c r="G30" s="64"/>
      <c r="H30" s="64"/>
      <c r="I30" s="64"/>
      <c r="J30" s="64"/>
      <c r="L30" s="39"/>
      <c r="M30" s="14"/>
    </row>
    <row r="31" spans="1:26" x14ac:dyDescent="0.35">
      <c r="B31" s="64" t="s">
        <v>164</v>
      </c>
      <c r="C31" s="64">
        <v>7</v>
      </c>
      <c r="D31" s="64">
        <v>8</v>
      </c>
      <c r="E31" s="64">
        <v>0</v>
      </c>
      <c r="G31" s="64"/>
      <c r="H31" s="64"/>
      <c r="I31" s="64"/>
      <c r="J31" s="64"/>
      <c r="L31" s="39"/>
      <c r="M31" s="14"/>
    </row>
    <row r="32" spans="1:26" x14ac:dyDescent="0.35">
      <c r="B32" s="64" t="s">
        <v>164</v>
      </c>
      <c r="C32" s="64">
        <v>9</v>
      </c>
      <c r="D32" s="64">
        <v>10</v>
      </c>
      <c r="E32" s="64">
        <v>0</v>
      </c>
      <c r="G32" s="64"/>
      <c r="H32" s="64"/>
      <c r="I32" s="64"/>
      <c r="J32" s="64"/>
      <c r="L32" s="39"/>
      <c r="M32" s="14"/>
    </row>
    <row r="33" spans="2:13" x14ac:dyDescent="0.35">
      <c r="B33" s="64" t="s">
        <v>164</v>
      </c>
      <c r="C33" s="64">
        <v>11</v>
      </c>
      <c r="D33" s="64">
        <v>12</v>
      </c>
      <c r="E33" s="64">
        <v>0</v>
      </c>
      <c r="G33" s="64"/>
      <c r="H33" s="64"/>
      <c r="I33" s="64"/>
      <c r="J33" s="64"/>
      <c r="L33" s="39"/>
      <c r="M33" s="14"/>
    </row>
    <row r="34" spans="2:13" x14ac:dyDescent="0.35">
      <c r="B34" s="64" t="s">
        <v>164</v>
      </c>
      <c r="C34" s="64">
        <v>13</v>
      </c>
      <c r="D34" s="64">
        <v>14</v>
      </c>
      <c r="E34" s="64">
        <v>0</v>
      </c>
      <c r="G34" s="64"/>
      <c r="H34" s="64"/>
      <c r="I34" s="64"/>
      <c r="J34" s="64"/>
      <c r="L34" s="39"/>
      <c r="M34" s="14"/>
    </row>
    <row r="35" spans="2:13" x14ac:dyDescent="0.35">
      <c r="B35" s="64" t="s">
        <v>164</v>
      </c>
      <c r="C35" s="64">
        <v>15</v>
      </c>
      <c r="D35" s="64">
        <v>16</v>
      </c>
      <c r="E35" s="64">
        <v>0</v>
      </c>
      <c r="G35" s="64"/>
      <c r="H35" s="64"/>
      <c r="I35" s="64"/>
      <c r="J35" s="64"/>
      <c r="L35" s="39"/>
      <c r="M35" s="14"/>
    </row>
    <row r="36" spans="2:13" x14ac:dyDescent="0.35">
      <c r="B36" s="64" t="s">
        <v>164</v>
      </c>
      <c r="C36" s="64">
        <v>17</v>
      </c>
      <c r="D36" s="64">
        <v>18</v>
      </c>
      <c r="E36" s="64">
        <v>0</v>
      </c>
      <c r="G36" s="64"/>
      <c r="H36" s="64"/>
      <c r="I36" s="64"/>
      <c r="J36" s="64"/>
      <c r="L36" s="39"/>
      <c r="M36" s="14"/>
    </row>
    <row r="37" spans="2:13" x14ac:dyDescent="0.35">
      <c r="B37" s="64" t="s">
        <v>164</v>
      </c>
      <c r="C37" s="64">
        <v>26</v>
      </c>
      <c r="D37" s="64">
        <v>27</v>
      </c>
      <c r="E37" s="64">
        <v>4.5</v>
      </c>
      <c r="G37" s="64"/>
      <c r="H37" s="64"/>
      <c r="I37" s="64"/>
      <c r="J37" s="64"/>
      <c r="L37" s="20"/>
      <c r="M37" s="14"/>
    </row>
    <row r="38" spans="2:13" x14ac:dyDescent="0.35">
      <c r="B38" s="64"/>
      <c r="C38" s="64"/>
      <c r="D38" s="64"/>
      <c r="E38" s="64"/>
      <c r="G38" s="64"/>
      <c r="H38" s="64"/>
      <c r="I38" s="64"/>
      <c r="J38" s="64"/>
      <c r="L38" s="20"/>
      <c r="M38" s="14"/>
    </row>
    <row r="39" spans="2:13" x14ac:dyDescent="0.35">
      <c r="B39" s="64"/>
      <c r="C39" s="64"/>
      <c r="D39" s="64"/>
      <c r="E39" s="64"/>
      <c r="G39" s="64"/>
      <c r="H39" s="64"/>
      <c r="I39" s="64"/>
      <c r="J39" s="64"/>
      <c r="L39" s="20"/>
      <c r="M39" s="14"/>
    </row>
    <row r="40" spans="2:13" x14ac:dyDescent="0.35">
      <c r="B40" s="64"/>
      <c r="C40" s="64"/>
      <c r="D40" s="64"/>
      <c r="E40" s="64"/>
      <c r="G40" s="64"/>
      <c r="H40" s="64"/>
      <c r="I40" s="64"/>
      <c r="J40" s="64"/>
      <c r="L40" s="20"/>
      <c r="M40" s="14"/>
    </row>
    <row r="41" spans="2:13" x14ac:dyDescent="0.35">
      <c r="B41" s="64"/>
      <c r="C41" s="64"/>
      <c r="D41" s="64"/>
      <c r="E41" s="64"/>
      <c r="G41" s="64"/>
      <c r="H41" s="64"/>
      <c r="I41" s="64"/>
      <c r="J41" s="64"/>
      <c r="L41" s="20"/>
      <c r="M41" s="14"/>
    </row>
    <row r="42" spans="2:13" x14ac:dyDescent="0.35">
      <c r="B42" s="64"/>
      <c r="C42" s="64"/>
      <c r="D42" s="64"/>
      <c r="E42" s="64"/>
      <c r="G42" s="64"/>
      <c r="H42" s="64"/>
      <c r="I42" s="64"/>
      <c r="J42" s="64"/>
      <c r="L42" s="20"/>
      <c r="M42" s="14"/>
    </row>
    <row r="43" spans="2:13" x14ac:dyDescent="0.35">
      <c r="B43" s="64"/>
      <c r="C43" s="64"/>
      <c r="D43" s="64"/>
      <c r="E43" s="64"/>
      <c r="G43" s="64"/>
      <c r="H43" s="64"/>
      <c r="I43" s="64"/>
      <c r="J43" s="64"/>
      <c r="L43" s="20"/>
      <c r="M43" s="14"/>
    </row>
    <row r="44" spans="2:13" x14ac:dyDescent="0.35">
      <c r="B44" s="64"/>
      <c r="C44" s="64"/>
      <c r="D44" s="64"/>
      <c r="E44" s="64"/>
      <c r="G44" s="64"/>
      <c r="H44" s="64"/>
      <c r="I44" s="64"/>
      <c r="J44" s="64"/>
      <c r="L44" s="20"/>
      <c r="M44" s="14"/>
    </row>
    <row r="45" spans="2:13" x14ac:dyDescent="0.35">
      <c r="B45" s="64"/>
      <c r="C45" s="64"/>
      <c r="D45" s="64"/>
      <c r="E45" s="64"/>
      <c r="G45" s="64"/>
      <c r="H45" s="64"/>
      <c r="I45" s="64"/>
      <c r="J45" s="64"/>
    </row>
    <row r="46" spans="2:13" x14ac:dyDescent="0.35">
      <c r="B46" s="64"/>
      <c r="C46" s="64"/>
      <c r="D46" s="64"/>
      <c r="E46" s="64"/>
      <c r="G46" s="64"/>
      <c r="H46" s="64"/>
      <c r="I46" s="64"/>
      <c r="J46" s="64"/>
    </row>
    <row r="47" spans="2:13" x14ac:dyDescent="0.35">
      <c r="B47" s="64"/>
      <c r="C47" s="64"/>
      <c r="D47" s="64"/>
      <c r="E47" s="64"/>
      <c r="G47" s="64"/>
      <c r="H47" s="64"/>
      <c r="I47" s="64"/>
      <c r="J47" s="64"/>
    </row>
    <row r="48" spans="2:13" x14ac:dyDescent="0.35">
      <c r="B48" s="64"/>
      <c r="C48" s="64"/>
      <c r="D48" s="64"/>
      <c r="E48" s="64"/>
      <c r="G48" s="64"/>
      <c r="H48" s="64"/>
      <c r="I48" s="64"/>
      <c r="J48" s="64"/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V7:Z7"/>
    <mergeCell ref="F1:K1"/>
    <mergeCell ref="B7:F7"/>
    <mergeCell ref="G7:K7"/>
    <mergeCell ref="L7:P7"/>
    <mergeCell ref="Q7:U7"/>
    <mergeCell ref="A25:J25"/>
    <mergeCell ref="L25:M25"/>
    <mergeCell ref="B26:E26"/>
    <mergeCell ref="G26:J26"/>
    <mergeCell ref="M26:Q27"/>
  </mergeCells>
  <conditionalFormatting sqref="C3">
    <cfRule type="cellIs" dxfId="341" priority="17" operator="notEqual">
      <formula>MAX($E$9:$E$23)</formula>
    </cfRule>
  </conditionalFormatting>
  <conditionalFormatting sqref="M9">
    <cfRule type="containsBlanks" dxfId="340" priority="5">
      <formula>LEN(TRIM(M9))=0</formula>
    </cfRule>
    <cfRule type="cellIs" dxfId="339" priority="6" operator="equal">
      <formula>0</formula>
    </cfRule>
    <cfRule type="containsBlanks" dxfId="338" priority="7">
      <formula>LEN(TRIM(M9))=0</formula>
    </cfRule>
    <cfRule type="cellIs" dxfId="337" priority="8" operator="equal">
      <formula>0</formula>
    </cfRule>
  </conditionalFormatting>
  <conditionalFormatting sqref="M16">
    <cfRule type="containsBlanks" dxfId="336" priority="9">
      <formula>LEN(TRIM(M16))=0</formula>
    </cfRule>
    <cfRule type="cellIs" dxfId="335" priority="10" operator="equal">
      <formula>0</formula>
    </cfRule>
    <cfRule type="containsBlanks" dxfId="334" priority="11">
      <formula>LEN(TRIM(M16))=0</formula>
    </cfRule>
    <cfRule type="cellIs" dxfId="333" priority="12" operator="equal">
      <formula>0</formula>
    </cfRule>
  </conditionalFormatting>
  <conditionalFormatting sqref="R10">
    <cfRule type="containsBlanks" dxfId="332" priority="1">
      <formula>LEN(TRIM(R10))=0</formula>
    </cfRule>
    <cfRule type="cellIs" dxfId="331" priority="2" operator="equal">
      <formula>0</formula>
    </cfRule>
    <cfRule type="containsBlanks" dxfId="330" priority="3">
      <formula>LEN(TRIM(R10))=0</formula>
    </cfRule>
    <cfRule type="cellIs" dxfId="329" priority="4" operator="equal">
      <formula>0</formula>
    </cfRule>
  </conditionalFormatting>
  <dataValidations count="1">
    <dataValidation type="list" allowBlank="1" showInputMessage="1" showErrorMessage="1" sqref="Z9:Z23 U9:U23 P9:P23 F9:F23 K9:K23" xr:uid="{E8966977-A7B1-42CB-B643-571AAC8CE164}">
      <formula1>"green,red,yellow,blue,orange,cyan,black,white,magenta"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7"/>
  <sheetViews>
    <sheetView zoomScale="80" zoomScaleNormal="80" workbookViewId="0">
      <selection activeCell="R13" sqref="R13:T13"/>
    </sheetView>
  </sheetViews>
  <sheetFormatPr defaultColWidth="9.1796875" defaultRowHeight="14.5" x14ac:dyDescent="0.35"/>
  <cols>
    <col min="1" max="2" width="8.453125" style="34" customWidth="1"/>
    <col min="3" max="3" width="13.453125" style="34" customWidth="1"/>
    <col min="4" max="4" width="8.453125" style="34" customWidth="1"/>
    <col min="5" max="5" width="10.7265625" style="34" customWidth="1"/>
    <col min="6" max="6" width="9.81640625" style="34" customWidth="1"/>
    <col min="7" max="7" width="18.7265625" style="34" customWidth="1"/>
    <col min="8" max="8" width="9" style="34" customWidth="1"/>
    <col min="9" max="9" width="8.453125" style="34" customWidth="1"/>
    <col min="10" max="10" width="10.1796875" style="34" customWidth="1"/>
    <col min="11" max="11" width="9.1796875" style="34" customWidth="1"/>
    <col min="12" max="12" width="17.2695312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7.7265625" style="34" customWidth="1"/>
    <col min="17" max="17" width="21.453125" style="34" customWidth="1"/>
    <col min="18" max="19" width="8.453125" style="34" customWidth="1"/>
    <col min="20" max="20" width="10.26953125" style="34" customWidth="1"/>
    <col min="21" max="21" width="9.453125" style="34" customWidth="1"/>
    <col min="22" max="22" width="16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118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f>MAX(E9:E23)</f>
        <v>251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1E-3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/>
      <c r="B9" s="62"/>
      <c r="C9" s="64"/>
      <c r="D9" s="64"/>
      <c r="E9" s="64"/>
      <c r="F9" s="45"/>
      <c r="G9" s="39"/>
      <c r="H9" s="64"/>
      <c r="I9" s="64"/>
      <c r="J9" s="64"/>
      <c r="K9" s="45"/>
      <c r="L9" s="39"/>
      <c r="M9" s="64"/>
      <c r="N9" s="64"/>
      <c r="O9" s="64"/>
      <c r="P9" s="45"/>
      <c r="Q9" s="39"/>
      <c r="R9" s="64"/>
      <c r="S9" s="64"/>
      <c r="T9" s="64"/>
      <c r="U9" s="45"/>
      <c r="V9" s="39"/>
      <c r="W9" s="64"/>
      <c r="X9" s="64"/>
      <c r="Y9" s="64"/>
      <c r="Z9" s="16"/>
    </row>
    <row r="10" spans="1:26" x14ac:dyDescent="0.35">
      <c r="A10" s="43"/>
      <c r="B10" s="62"/>
      <c r="C10" s="64"/>
      <c r="D10" s="64"/>
      <c r="E10" s="64"/>
      <c r="F10" s="45"/>
      <c r="G10" s="39"/>
      <c r="H10" s="64"/>
      <c r="I10" s="64"/>
      <c r="J10" s="64"/>
      <c r="K10" s="45"/>
      <c r="L10" s="39"/>
      <c r="M10" s="64"/>
      <c r="N10" s="64"/>
      <c r="O10" s="64"/>
      <c r="P10" s="45"/>
      <c r="Q10" s="39"/>
      <c r="R10" s="64"/>
      <c r="S10" s="64"/>
      <c r="T10" s="64"/>
      <c r="U10" s="45"/>
      <c r="V10" s="39"/>
      <c r="W10" s="64"/>
      <c r="X10" s="64"/>
      <c r="Y10" s="64"/>
      <c r="Z10" s="16"/>
    </row>
    <row r="11" spans="1:26" x14ac:dyDescent="0.35">
      <c r="A11" s="43">
        <v>4</v>
      </c>
      <c r="B11" s="62" t="s">
        <v>31</v>
      </c>
      <c r="C11" s="64">
        <v>10</v>
      </c>
      <c r="D11" s="64">
        <v>0</v>
      </c>
      <c r="E11" s="64">
        <v>100</v>
      </c>
      <c r="F11" s="45" t="s">
        <v>168</v>
      </c>
      <c r="G11" s="39" t="s">
        <v>215</v>
      </c>
      <c r="H11" s="64">
        <v>10</v>
      </c>
      <c r="I11" s="64">
        <v>0.15</v>
      </c>
      <c r="J11" s="64">
        <v>0.25</v>
      </c>
      <c r="K11" s="45" t="s">
        <v>69</v>
      </c>
      <c r="L11" s="39" t="s">
        <v>217</v>
      </c>
      <c r="M11" s="64">
        <v>10</v>
      </c>
      <c r="N11" s="64">
        <v>0</v>
      </c>
      <c r="O11" s="64">
        <v>1</v>
      </c>
      <c r="P11" s="45" t="s">
        <v>162</v>
      </c>
      <c r="Q11" s="39"/>
      <c r="R11" s="64"/>
      <c r="S11" s="64"/>
      <c r="T11" s="64"/>
      <c r="U11" s="45"/>
      <c r="V11" s="39"/>
      <c r="W11" s="64"/>
      <c r="X11" s="64"/>
      <c r="Y11" s="64"/>
      <c r="Z11" s="45"/>
    </row>
    <row r="12" spans="1:26" x14ac:dyDescent="0.35">
      <c r="A12" s="43">
        <v>4</v>
      </c>
      <c r="B12" s="62" t="s">
        <v>31</v>
      </c>
      <c r="C12" s="64">
        <v>11</v>
      </c>
      <c r="D12" s="64">
        <v>150</v>
      </c>
      <c r="E12" s="64">
        <v>161</v>
      </c>
      <c r="F12" s="45" t="s">
        <v>168</v>
      </c>
      <c r="G12" s="39" t="s">
        <v>189</v>
      </c>
      <c r="H12" s="64">
        <v>11</v>
      </c>
      <c r="I12" s="64">
        <v>0</v>
      </c>
      <c r="J12" s="64">
        <v>110</v>
      </c>
      <c r="K12" s="45" t="s">
        <v>168</v>
      </c>
      <c r="L12" s="39" t="s">
        <v>214</v>
      </c>
      <c r="M12" s="64">
        <v>11</v>
      </c>
      <c r="N12" s="64">
        <v>0</v>
      </c>
      <c r="O12" s="64">
        <v>110</v>
      </c>
      <c r="P12" s="45" t="s">
        <v>178</v>
      </c>
      <c r="Q12" s="39" t="s">
        <v>215</v>
      </c>
      <c r="R12" s="64">
        <v>10</v>
      </c>
      <c r="S12" s="64">
        <v>0.15</v>
      </c>
      <c r="T12" s="64">
        <v>0.25</v>
      </c>
      <c r="U12" s="45" t="s">
        <v>162</v>
      </c>
      <c r="V12" s="39"/>
      <c r="W12" s="64"/>
      <c r="X12" s="64"/>
      <c r="Y12" s="64"/>
      <c r="Z12" s="45"/>
    </row>
    <row r="13" spans="1:26" x14ac:dyDescent="0.35">
      <c r="A13" s="43">
        <v>4</v>
      </c>
      <c r="B13" s="62" t="s">
        <v>31</v>
      </c>
      <c r="C13" s="64">
        <v>11</v>
      </c>
      <c r="D13" s="64">
        <v>180</v>
      </c>
      <c r="E13" s="64">
        <v>191</v>
      </c>
      <c r="F13" s="45" t="s">
        <v>168</v>
      </c>
      <c r="G13" s="39" t="s">
        <v>189</v>
      </c>
      <c r="H13" s="64">
        <v>11</v>
      </c>
      <c r="I13" s="64">
        <v>0</v>
      </c>
      <c r="J13" s="64">
        <v>110</v>
      </c>
      <c r="K13" s="45" t="s">
        <v>168</v>
      </c>
      <c r="L13" s="39" t="s">
        <v>214</v>
      </c>
      <c r="M13" s="64">
        <v>11</v>
      </c>
      <c r="N13" s="64">
        <v>0</v>
      </c>
      <c r="O13" s="64">
        <v>110</v>
      </c>
      <c r="P13" s="45" t="s">
        <v>178</v>
      </c>
      <c r="Q13" s="39" t="s">
        <v>215</v>
      </c>
      <c r="R13" s="64">
        <f>R12</f>
        <v>10</v>
      </c>
      <c r="S13" s="64">
        <f>S12</f>
        <v>0.15</v>
      </c>
      <c r="T13" s="64">
        <f>T12</f>
        <v>0.25</v>
      </c>
      <c r="U13" s="45" t="s">
        <v>162</v>
      </c>
      <c r="V13" s="39"/>
      <c r="W13" s="64"/>
      <c r="X13" s="64"/>
      <c r="Y13" s="64"/>
      <c r="Z13" s="45"/>
    </row>
    <row r="14" spans="1:26" x14ac:dyDescent="0.35">
      <c r="A14" s="43">
        <v>4</v>
      </c>
      <c r="B14" s="62" t="s">
        <v>31</v>
      </c>
      <c r="C14" s="64">
        <v>11</v>
      </c>
      <c r="D14" s="64">
        <v>210</v>
      </c>
      <c r="E14" s="64">
        <v>221</v>
      </c>
      <c r="F14" s="45" t="s">
        <v>168</v>
      </c>
      <c r="G14" s="39" t="s">
        <v>189</v>
      </c>
      <c r="H14" s="64">
        <v>11</v>
      </c>
      <c r="I14" s="64">
        <v>0</v>
      </c>
      <c r="J14" s="64">
        <v>110</v>
      </c>
      <c r="K14" s="45" t="s">
        <v>168</v>
      </c>
      <c r="L14" s="39" t="s">
        <v>214</v>
      </c>
      <c r="M14" s="64">
        <v>11</v>
      </c>
      <c r="N14" s="64">
        <v>0</v>
      </c>
      <c r="O14" s="64">
        <v>110</v>
      </c>
      <c r="P14" s="45" t="s">
        <v>178</v>
      </c>
      <c r="Q14" s="39" t="s">
        <v>215</v>
      </c>
      <c r="R14" s="64">
        <f t="shared" ref="R14:T15" si="0">R12</f>
        <v>10</v>
      </c>
      <c r="S14" s="64">
        <f t="shared" si="0"/>
        <v>0.15</v>
      </c>
      <c r="T14" s="64">
        <f t="shared" si="0"/>
        <v>0.25</v>
      </c>
      <c r="U14" s="45" t="s">
        <v>162</v>
      </c>
      <c r="V14" s="39"/>
      <c r="W14" s="64"/>
      <c r="X14" s="64"/>
      <c r="Y14" s="64"/>
      <c r="Z14" s="45"/>
    </row>
    <row r="15" spans="1:26" x14ac:dyDescent="0.35">
      <c r="A15" s="43">
        <v>4</v>
      </c>
      <c r="B15" s="62" t="s">
        <v>31</v>
      </c>
      <c r="C15" s="64">
        <v>11</v>
      </c>
      <c r="D15" s="64">
        <v>240</v>
      </c>
      <c r="E15" s="64">
        <v>251</v>
      </c>
      <c r="F15" s="45" t="s">
        <v>168</v>
      </c>
      <c r="G15" s="39" t="s">
        <v>189</v>
      </c>
      <c r="H15" s="64">
        <v>11</v>
      </c>
      <c r="I15" s="64">
        <v>0</v>
      </c>
      <c r="J15" s="64">
        <v>110</v>
      </c>
      <c r="K15" s="45" t="s">
        <v>168</v>
      </c>
      <c r="L15" s="39" t="s">
        <v>214</v>
      </c>
      <c r="M15" s="64">
        <v>11</v>
      </c>
      <c r="N15" s="64">
        <v>0</v>
      </c>
      <c r="O15" s="64">
        <v>110</v>
      </c>
      <c r="P15" s="45" t="s">
        <v>178</v>
      </c>
      <c r="Q15" s="39" t="s">
        <v>215</v>
      </c>
      <c r="R15" s="64">
        <f t="shared" si="0"/>
        <v>10</v>
      </c>
      <c r="S15" s="64">
        <f t="shared" si="0"/>
        <v>0.15</v>
      </c>
      <c r="T15" s="64">
        <f t="shared" si="0"/>
        <v>0.25</v>
      </c>
      <c r="U15" s="45" t="s">
        <v>162</v>
      </c>
      <c r="V15" s="39"/>
      <c r="W15" s="64"/>
      <c r="X15" s="64"/>
      <c r="Y15" s="64"/>
      <c r="Z15" s="45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45"/>
      <c r="L16" s="39"/>
      <c r="M16" s="64"/>
      <c r="N16" s="64"/>
      <c r="O16" s="64"/>
      <c r="P16" s="16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16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189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251</v>
      </c>
      <c r="J28" s="64">
        <v>-80</v>
      </c>
      <c r="L28" s="39" t="s">
        <v>222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0.43</v>
      </c>
      <c r="I29" s="64">
        <v>0.93</v>
      </c>
      <c r="J29" s="64">
        <v>-60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30.43</v>
      </c>
      <c r="I30" s="64">
        <v>30.93</v>
      </c>
      <c r="J30" s="64">
        <v>-50</v>
      </c>
      <c r="L30" s="39" t="s">
        <v>209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60.43</v>
      </c>
      <c r="I31" s="64">
        <v>60.93</v>
      </c>
      <c r="J31" s="64">
        <v>-40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90.43</v>
      </c>
      <c r="I32" s="64">
        <v>90.93</v>
      </c>
      <c r="J32" s="64">
        <v>-30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120.43</v>
      </c>
      <c r="I33" s="64">
        <v>120.93</v>
      </c>
      <c r="J33" s="64">
        <v>-20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150.43</v>
      </c>
      <c r="I34" s="64">
        <v>150.93</v>
      </c>
      <c r="J34" s="64">
        <v>-10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180.43</v>
      </c>
      <c r="I35" s="64">
        <v>180.93</v>
      </c>
      <c r="J35" s="64">
        <v>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164</v>
      </c>
      <c r="H36" s="64">
        <v>210.43</v>
      </c>
      <c r="I36" s="64">
        <v>210.93</v>
      </c>
      <c r="J36" s="64">
        <v>10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164</v>
      </c>
      <c r="H37" s="64">
        <v>240.43</v>
      </c>
      <c r="I37" s="64">
        <v>240.93</v>
      </c>
      <c r="J37" s="64">
        <v>20</v>
      </c>
      <c r="L37" s="20"/>
      <c r="M37" s="14"/>
    </row>
    <row r="38" spans="2:13" x14ac:dyDescent="0.35">
      <c r="B38" s="64"/>
      <c r="C38" s="64"/>
      <c r="D38" s="64"/>
      <c r="E38" s="64"/>
      <c r="G38" s="64" t="s">
        <v>160</v>
      </c>
      <c r="H38" s="64">
        <v>0</v>
      </c>
      <c r="I38" s="64">
        <v>251</v>
      </c>
      <c r="J38" s="64">
        <v>-80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160</v>
      </c>
      <c r="H39" s="64">
        <v>0.43</v>
      </c>
      <c r="I39" s="64">
        <v>0.93</v>
      </c>
      <c r="J39" s="64">
        <v>-60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160</v>
      </c>
      <c r="H40" s="64">
        <v>30.43</v>
      </c>
      <c r="I40" s="64">
        <v>30.93</v>
      </c>
      <c r="J40" s="64">
        <v>-50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160</v>
      </c>
      <c r="H41" s="64">
        <v>60.43</v>
      </c>
      <c r="I41" s="64">
        <v>60.93</v>
      </c>
      <c r="J41" s="64">
        <v>-40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160</v>
      </c>
      <c r="H42" s="64">
        <v>90.43</v>
      </c>
      <c r="I42" s="64">
        <v>90.93</v>
      </c>
      <c r="J42" s="64">
        <v>-30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160</v>
      </c>
      <c r="H43" s="64">
        <v>120.43</v>
      </c>
      <c r="I43" s="64">
        <v>120.93</v>
      </c>
      <c r="J43" s="64">
        <v>-20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160</v>
      </c>
      <c r="H44" s="64">
        <v>150.43</v>
      </c>
      <c r="I44" s="64">
        <v>150.93</v>
      </c>
      <c r="J44" s="64">
        <v>-10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160</v>
      </c>
      <c r="H45" s="64">
        <v>180.43</v>
      </c>
      <c r="I45" s="64">
        <v>180.93</v>
      </c>
      <c r="J45" s="64">
        <v>0</v>
      </c>
    </row>
    <row r="46" spans="2:13" x14ac:dyDescent="0.35">
      <c r="B46" s="64"/>
      <c r="C46" s="64"/>
      <c r="D46" s="64"/>
      <c r="E46" s="64"/>
      <c r="G46" s="64" t="s">
        <v>160</v>
      </c>
      <c r="H46" s="64">
        <v>210.43</v>
      </c>
      <c r="I46" s="64">
        <v>210.93</v>
      </c>
      <c r="J46" s="64">
        <v>10</v>
      </c>
    </row>
    <row r="47" spans="2:13" x14ac:dyDescent="0.35">
      <c r="B47" s="64"/>
      <c r="C47" s="64"/>
      <c r="D47" s="64"/>
      <c r="E47" s="64"/>
      <c r="G47" s="64" t="s">
        <v>160</v>
      </c>
      <c r="H47" s="64">
        <v>240.43</v>
      </c>
      <c r="I47" s="64">
        <v>240.93</v>
      </c>
      <c r="J47" s="64">
        <v>20</v>
      </c>
    </row>
    <row r="48" spans="2:13" x14ac:dyDescent="0.35">
      <c r="B48" s="64"/>
      <c r="C48" s="64"/>
      <c r="D48" s="64"/>
      <c r="E48" s="64"/>
      <c r="G48" s="64" t="s">
        <v>166</v>
      </c>
      <c r="H48" s="64">
        <v>0</v>
      </c>
      <c r="I48" s="64">
        <v>251</v>
      </c>
      <c r="J48" s="64">
        <v>-80</v>
      </c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phoneticPr fontId="5" type="noConversion"/>
  <conditionalFormatting sqref="C3">
    <cfRule type="cellIs" dxfId="328" priority="163" operator="notEqual">
      <formula>MAX($E$9:$E$23)</formula>
    </cfRule>
  </conditionalFormatting>
  <conditionalFormatting sqref="C9:C23">
    <cfRule type="cellIs" dxfId="327" priority="64" operator="equal">
      <formula>0</formula>
    </cfRule>
    <cfRule type="containsBlanks" dxfId="326" priority="63">
      <formula>LEN(TRIM(C9))=0</formula>
    </cfRule>
  </conditionalFormatting>
  <conditionalFormatting sqref="C34:C35">
    <cfRule type="uniqueValues" dxfId="325" priority="158"/>
  </conditionalFormatting>
  <conditionalFormatting sqref="C41">
    <cfRule type="uniqueValues" dxfId="324" priority="160"/>
  </conditionalFormatting>
  <conditionalFormatting sqref="C45:C46">
    <cfRule type="uniqueValues" dxfId="323" priority="159"/>
  </conditionalFormatting>
  <conditionalFormatting sqref="C28:D33 D34:D35 C36:D40 D41 C42:D44 D45:D46 C47:D87">
    <cfRule type="cellIs" dxfId="322" priority="161" operator="greaterThan">
      <formula>$C$3</formula>
    </cfRule>
  </conditionalFormatting>
  <conditionalFormatting sqref="G28:G44 G46">
    <cfRule type="uniqueValues" dxfId="321" priority="120"/>
  </conditionalFormatting>
  <conditionalFormatting sqref="G29:G37">
    <cfRule type="uniqueValues" dxfId="320" priority="79"/>
  </conditionalFormatting>
  <conditionalFormatting sqref="G36:G44 G46">
    <cfRule type="uniqueValues" dxfId="319" priority="157"/>
  </conditionalFormatting>
  <conditionalFormatting sqref="G44:G47">
    <cfRule type="uniqueValues" dxfId="318" priority="67"/>
  </conditionalFormatting>
  <conditionalFormatting sqref="G48">
    <cfRule type="uniqueValues" dxfId="317" priority="50"/>
    <cfRule type="uniqueValues" dxfId="316" priority="47"/>
    <cfRule type="uniqueValues" dxfId="315" priority="41"/>
  </conditionalFormatting>
  <conditionalFormatting sqref="G49:G57 G36:G47">
    <cfRule type="uniqueValues" dxfId="314" priority="121"/>
    <cfRule type="uniqueValues" dxfId="313" priority="152"/>
  </conditionalFormatting>
  <conditionalFormatting sqref="G51:G53">
    <cfRule type="uniqueValues" dxfId="312" priority="71"/>
  </conditionalFormatting>
  <conditionalFormatting sqref="G51:G54">
    <cfRule type="uniqueValues" dxfId="311" priority="76"/>
  </conditionalFormatting>
  <conditionalFormatting sqref="G58:G72">
    <cfRule type="uniqueValues" dxfId="310" priority="153"/>
  </conditionalFormatting>
  <conditionalFormatting sqref="G73:G87 G28:G37">
    <cfRule type="uniqueValues" dxfId="309" priority="162"/>
  </conditionalFormatting>
  <conditionalFormatting sqref="H11">
    <cfRule type="cellIs" dxfId="308" priority="89" operator="equal">
      <formula>0</formula>
    </cfRule>
    <cfRule type="containsBlanks" dxfId="307" priority="88">
      <formula>LEN(TRIM(H11))=0</formula>
    </cfRule>
  </conditionalFormatting>
  <conditionalFormatting sqref="H15:H23">
    <cfRule type="cellIs" dxfId="306" priority="62" operator="equal">
      <formula>0</formula>
    </cfRule>
    <cfRule type="containsBlanks" dxfId="305" priority="61">
      <formula>LEN(TRIM(H15))=0</formula>
    </cfRule>
  </conditionalFormatting>
  <conditionalFormatting sqref="H28:I87">
    <cfRule type="cellIs" dxfId="304" priority="37" operator="greaterThan">
      <formula>$C$3</formula>
    </cfRule>
  </conditionalFormatting>
  <conditionalFormatting sqref="M9:M13 H9:H14">
    <cfRule type="cellIs" dxfId="303" priority="105" operator="equal">
      <formula>0</formula>
    </cfRule>
    <cfRule type="containsBlanks" dxfId="302" priority="104">
      <formula>LEN(TRIM(H9))=0</formula>
    </cfRule>
  </conditionalFormatting>
  <conditionalFormatting sqref="M11">
    <cfRule type="containsBlanks" dxfId="301" priority="82">
      <formula>LEN(TRIM(M11))=0</formula>
    </cfRule>
    <cfRule type="containsBlanks" dxfId="300" priority="11">
      <formula>LEN(TRIM(M11))=0</formula>
    </cfRule>
    <cfRule type="containsBlanks" dxfId="299" priority="9">
      <formula>LEN(TRIM(M11))=0</formula>
    </cfRule>
    <cfRule type="cellIs" dxfId="298" priority="10" operator="equal">
      <formula>0</formula>
    </cfRule>
    <cfRule type="cellIs" dxfId="297" priority="12" operator="equal">
      <formula>0</formula>
    </cfRule>
    <cfRule type="containsBlanks" dxfId="296" priority="100">
      <formula>LEN(TRIM(M11))=0</formula>
    </cfRule>
    <cfRule type="cellIs" dxfId="295" priority="14" operator="equal">
      <formula>0</formula>
    </cfRule>
    <cfRule type="containsBlanks" dxfId="294" priority="15">
      <formula>LEN(TRIM(M11))=0</formula>
    </cfRule>
    <cfRule type="cellIs" dxfId="293" priority="16" operator="equal">
      <formula>0</formula>
    </cfRule>
    <cfRule type="cellIs" dxfId="292" priority="101" operator="equal">
      <formula>0</formula>
    </cfRule>
    <cfRule type="containsBlanks" dxfId="291" priority="13">
      <formula>LEN(TRIM(M11))=0</formula>
    </cfRule>
    <cfRule type="cellIs" dxfId="290" priority="83" operator="equal">
      <formula>0</formula>
    </cfRule>
  </conditionalFormatting>
  <conditionalFormatting sqref="M11:M14">
    <cfRule type="containsBlanks" dxfId="289" priority="35">
      <formula>LEN(TRIM(M11))=0</formula>
    </cfRule>
    <cfRule type="cellIs" dxfId="288" priority="36" operator="equal">
      <formula>0</formula>
    </cfRule>
  </conditionalFormatting>
  <conditionalFormatting sqref="M12">
    <cfRule type="cellIs" dxfId="287" priority="149" operator="equal">
      <formula>0</formula>
    </cfRule>
    <cfRule type="containsBlanks" dxfId="286" priority="148">
      <formula>LEN(TRIM(M12))=0</formula>
    </cfRule>
  </conditionalFormatting>
  <conditionalFormatting sqref="M12:M23">
    <cfRule type="containsBlanks" dxfId="285" priority="31">
      <formula>LEN(TRIM(M12))=0</formula>
    </cfRule>
    <cfRule type="cellIs" dxfId="284" priority="32" operator="equal">
      <formula>0</formula>
    </cfRule>
  </conditionalFormatting>
  <conditionalFormatting sqref="M13:M15">
    <cfRule type="cellIs" dxfId="283" priority="28" operator="equal">
      <formula>0</formula>
    </cfRule>
    <cfRule type="containsBlanks" dxfId="282" priority="27">
      <formula>LEN(TRIM(M13))=0</formula>
    </cfRule>
  </conditionalFormatting>
  <conditionalFormatting sqref="M14:M15">
    <cfRule type="containsBlanks" dxfId="281" priority="7">
      <formula>LEN(TRIM(M14))=0</formula>
    </cfRule>
    <cfRule type="cellIs" dxfId="280" priority="8" operator="equal">
      <formula>0</formula>
    </cfRule>
  </conditionalFormatting>
  <conditionalFormatting sqref="M15">
    <cfRule type="cellIs" dxfId="279" priority="6" operator="equal">
      <formula>0</formula>
    </cfRule>
    <cfRule type="containsBlanks" dxfId="278" priority="5">
      <formula>LEN(TRIM(M15))=0</formula>
    </cfRule>
  </conditionalFormatting>
  <conditionalFormatting sqref="R11">
    <cfRule type="containsBlanks" dxfId="277" priority="86">
      <formula>LEN(TRIM(R11))=0</formula>
    </cfRule>
    <cfRule type="cellIs" dxfId="276" priority="87" operator="equal">
      <formula>0</formula>
    </cfRule>
    <cfRule type="cellIs" dxfId="275" priority="91" operator="equal">
      <formula>0</formula>
    </cfRule>
    <cfRule type="containsBlanks" dxfId="274" priority="92">
      <formula>LEN(TRIM(R11))=0</formula>
    </cfRule>
    <cfRule type="cellIs" dxfId="273" priority="93" operator="equal">
      <formula>0</formula>
    </cfRule>
    <cfRule type="containsBlanks" dxfId="272" priority="17">
      <formula>LEN(TRIM(R11))=0</formula>
    </cfRule>
    <cfRule type="cellIs" dxfId="271" priority="18" operator="equal">
      <formula>0</formula>
    </cfRule>
    <cfRule type="containsBlanks" dxfId="270" priority="90">
      <formula>LEN(TRIM(R11))=0</formula>
    </cfRule>
  </conditionalFormatting>
  <conditionalFormatting sqref="R11:R14">
    <cfRule type="cellIs" dxfId="269" priority="20" operator="equal">
      <formula>0</formula>
    </cfRule>
    <cfRule type="containsBlanks" dxfId="268" priority="19">
      <formula>LEN(TRIM(R11))=0</formula>
    </cfRule>
  </conditionalFormatting>
  <conditionalFormatting sqref="R11:R15">
    <cfRule type="containsBlanks" dxfId="267" priority="23">
      <formula>LEN(TRIM(R11))=0</formula>
    </cfRule>
    <cfRule type="cellIs" dxfId="266" priority="24" operator="equal">
      <formula>0</formula>
    </cfRule>
  </conditionalFormatting>
  <conditionalFormatting sqref="R12">
    <cfRule type="containsBlanks" dxfId="265" priority="146">
      <formula>LEN(TRIM(R12))=0</formula>
    </cfRule>
    <cfRule type="cellIs" dxfId="264" priority="147" operator="equal">
      <formula>0</formula>
    </cfRule>
  </conditionalFormatting>
  <conditionalFormatting sqref="R12:R13">
    <cfRule type="containsBlanks" dxfId="263" priority="136">
      <formula>LEN(TRIM(R12))=0</formula>
    </cfRule>
    <cfRule type="cellIs" dxfId="262" priority="137" operator="equal">
      <formula>0</formula>
    </cfRule>
  </conditionalFormatting>
  <conditionalFormatting sqref="R13:R14">
    <cfRule type="containsBlanks" dxfId="261" priority="128">
      <formula>LEN(TRIM(R13))=0</formula>
    </cfRule>
    <cfRule type="cellIs" dxfId="260" priority="129" operator="equal">
      <formula>0</formula>
    </cfRule>
  </conditionalFormatting>
  <conditionalFormatting sqref="R14:R15">
    <cfRule type="cellIs" dxfId="259" priority="60" operator="equal">
      <formula>0</formula>
    </cfRule>
    <cfRule type="containsBlanks" dxfId="258" priority="59">
      <formula>LEN(TRIM(R14))=0</formula>
    </cfRule>
  </conditionalFormatting>
  <conditionalFormatting sqref="R15">
    <cfRule type="cellIs" dxfId="257" priority="4" operator="equal">
      <formula>0</formula>
    </cfRule>
    <cfRule type="containsBlanks" dxfId="256" priority="3">
      <formula>LEN(TRIM(R15))=0</formula>
    </cfRule>
    <cfRule type="cellIs" dxfId="255" priority="2" operator="equal">
      <formula>0</formula>
    </cfRule>
    <cfRule type="containsBlanks" dxfId="254" priority="1">
      <formula>LEN(TRIM(R15))=0</formula>
    </cfRule>
  </conditionalFormatting>
  <conditionalFormatting sqref="W11">
    <cfRule type="containsBlanks" dxfId="253" priority="94">
      <formula>LEN(TRIM(W11))=0</formula>
    </cfRule>
    <cfRule type="cellIs" dxfId="252" priority="95" operator="equal">
      <formula>0</formula>
    </cfRule>
  </conditionalFormatting>
  <conditionalFormatting sqref="W11:W14">
    <cfRule type="cellIs" dxfId="251" priority="97" operator="equal">
      <formula>0</formula>
    </cfRule>
    <cfRule type="containsBlanks" dxfId="250" priority="96">
      <formula>LEN(TRIM(W11))=0</formula>
    </cfRule>
  </conditionalFormatting>
  <conditionalFormatting sqref="W12:W14">
    <cfRule type="cellIs" dxfId="249" priority="117" operator="equal">
      <formula>0</formula>
    </cfRule>
    <cfRule type="containsBlanks" dxfId="248" priority="116">
      <formula>LEN(TRIM(W12))=0</formula>
    </cfRule>
  </conditionalFormatting>
  <conditionalFormatting sqref="W15">
    <cfRule type="containsBlanks" dxfId="247" priority="51">
      <formula>LEN(TRIM(W15))=0</formula>
    </cfRule>
    <cfRule type="cellIs" dxfId="246" priority="54" operator="equal">
      <formula>0</formula>
    </cfRule>
    <cfRule type="containsBlanks" dxfId="245" priority="53">
      <formula>LEN(TRIM(W15))=0</formula>
    </cfRule>
    <cfRule type="cellIs" dxfId="244" priority="52" operator="equal">
      <formula>0</formula>
    </cfRule>
  </conditionalFormatting>
  <dataValidations count="1">
    <dataValidation type="list" allowBlank="1" showInputMessage="1" showErrorMessage="1" sqref="K9:K23 Z9:Z23 F9:F23 U9:U23 P9:P23" xr:uid="{00000000-0002-0000-0300-000000000000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5325-B989-43F9-AE50-D41F789FDF20}">
  <dimension ref="A1:Z87"/>
  <sheetViews>
    <sheetView workbookViewId="0">
      <selection activeCell="G44" sqref="G44"/>
    </sheetView>
  </sheetViews>
  <sheetFormatPr defaultColWidth="9.1796875" defaultRowHeight="14.5" x14ac:dyDescent="0.35"/>
  <cols>
    <col min="1" max="2" width="8.453125" style="34" customWidth="1"/>
    <col min="3" max="3" width="13.453125" style="34" customWidth="1"/>
    <col min="4" max="4" width="8.453125" style="34" customWidth="1"/>
    <col min="5" max="5" width="10.7265625" style="34" customWidth="1"/>
    <col min="6" max="6" width="9.81640625" style="34" customWidth="1"/>
    <col min="7" max="7" width="18.7265625" style="34" customWidth="1"/>
    <col min="8" max="8" width="9" style="34" customWidth="1"/>
    <col min="9" max="9" width="8.453125" style="34" customWidth="1"/>
    <col min="10" max="10" width="10.1796875" style="34" customWidth="1"/>
    <col min="11" max="11" width="9.1796875" style="34"/>
    <col min="12" max="12" width="17.2695312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7.7265625" style="34" customWidth="1"/>
    <col min="17" max="17" width="21.453125" style="34" customWidth="1"/>
    <col min="18" max="19" width="8.453125" style="34" customWidth="1"/>
    <col min="20" max="20" width="10.26953125" style="34" customWidth="1"/>
    <col min="21" max="21" width="9.453125" style="34" customWidth="1"/>
    <col min="22" max="22" width="16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218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f>MAX(E9:E23)</f>
        <v>242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1E-3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4</v>
      </c>
      <c r="B9" s="62" t="s">
        <v>31</v>
      </c>
      <c r="C9" s="64">
        <v>10</v>
      </c>
      <c r="D9" s="64">
        <v>150</v>
      </c>
      <c r="E9" s="64">
        <v>152</v>
      </c>
      <c r="F9" s="45" t="s">
        <v>168</v>
      </c>
      <c r="G9" s="39" t="s">
        <v>223</v>
      </c>
      <c r="H9" s="64">
        <v>11</v>
      </c>
      <c r="I9" s="64">
        <v>0</v>
      </c>
      <c r="J9" s="64">
        <v>110</v>
      </c>
      <c r="K9" s="45" t="s">
        <v>69</v>
      </c>
      <c r="L9" s="39" t="s">
        <v>220</v>
      </c>
      <c r="M9" s="64">
        <v>11</v>
      </c>
      <c r="N9" s="64">
        <v>0</v>
      </c>
      <c r="O9" s="64">
        <v>110</v>
      </c>
      <c r="P9" s="45" t="s">
        <v>162</v>
      </c>
      <c r="Q9" s="39" t="s">
        <v>224</v>
      </c>
      <c r="R9" s="64">
        <v>11</v>
      </c>
      <c r="S9" s="64">
        <v>0</v>
      </c>
      <c r="T9" s="64">
        <v>110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4</v>
      </c>
      <c r="B10" s="62" t="s">
        <v>31</v>
      </c>
      <c r="C10" s="64">
        <v>10</v>
      </c>
      <c r="D10" s="64">
        <v>180</v>
      </c>
      <c r="E10" s="64">
        <v>182</v>
      </c>
      <c r="F10" s="45" t="s">
        <v>168</v>
      </c>
      <c r="G10" s="39" t="s">
        <v>223</v>
      </c>
      <c r="H10" s="64">
        <v>11</v>
      </c>
      <c r="I10" s="64">
        <v>0</v>
      </c>
      <c r="J10" s="64">
        <v>110</v>
      </c>
      <c r="K10" s="45" t="s">
        <v>69</v>
      </c>
      <c r="L10" s="39" t="s">
        <v>220</v>
      </c>
      <c r="M10" s="64">
        <v>11</v>
      </c>
      <c r="N10" s="64">
        <v>0</v>
      </c>
      <c r="O10" s="64">
        <v>110</v>
      </c>
      <c r="P10" s="45" t="s">
        <v>162</v>
      </c>
      <c r="Q10" s="39" t="s">
        <v>224</v>
      </c>
      <c r="R10" s="64">
        <v>11</v>
      </c>
      <c r="S10" s="64">
        <v>0</v>
      </c>
      <c r="T10" s="64">
        <v>110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4</v>
      </c>
      <c r="B11" s="62" t="s">
        <v>31</v>
      </c>
      <c r="C11" s="64">
        <v>10</v>
      </c>
      <c r="D11" s="64">
        <v>210</v>
      </c>
      <c r="E11" s="64">
        <v>212</v>
      </c>
      <c r="F11" s="45" t="s">
        <v>168</v>
      </c>
      <c r="G11" s="39" t="s">
        <v>223</v>
      </c>
      <c r="H11" s="64">
        <v>11</v>
      </c>
      <c r="I11" s="64">
        <v>0</v>
      </c>
      <c r="J11" s="64">
        <v>110</v>
      </c>
      <c r="K11" s="45" t="s">
        <v>69</v>
      </c>
      <c r="L11" s="39" t="s">
        <v>220</v>
      </c>
      <c r="M11" s="64">
        <v>11</v>
      </c>
      <c r="N11" s="64">
        <v>0</v>
      </c>
      <c r="O11" s="64">
        <v>110</v>
      </c>
      <c r="P11" s="45" t="s">
        <v>162</v>
      </c>
      <c r="Q11" s="39" t="s">
        <v>224</v>
      </c>
      <c r="R11" s="64">
        <v>11</v>
      </c>
      <c r="S11" s="64">
        <v>0</v>
      </c>
      <c r="T11" s="64">
        <v>110</v>
      </c>
      <c r="U11" s="45" t="s">
        <v>178</v>
      </c>
      <c r="V11" s="39"/>
      <c r="W11" s="64"/>
      <c r="X11" s="64"/>
      <c r="Y11" s="64"/>
      <c r="Z11" s="45"/>
    </row>
    <row r="12" spans="1:26" x14ac:dyDescent="0.35">
      <c r="A12" s="43">
        <v>4</v>
      </c>
      <c r="B12" s="62" t="s">
        <v>31</v>
      </c>
      <c r="C12" s="64">
        <v>10</v>
      </c>
      <c r="D12" s="64">
        <v>240</v>
      </c>
      <c r="E12" s="64">
        <v>242</v>
      </c>
      <c r="F12" s="45" t="s">
        <v>168</v>
      </c>
      <c r="G12" s="39" t="s">
        <v>223</v>
      </c>
      <c r="H12" s="64">
        <v>11</v>
      </c>
      <c r="I12" s="64">
        <v>0</v>
      </c>
      <c r="J12" s="64">
        <v>110</v>
      </c>
      <c r="K12" s="45" t="s">
        <v>69</v>
      </c>
      <c r="L12" s="39" t="s">
        <v>220</v>
      </c>
      <c r="M12" s="64">
        <v>11</v>
      </c>
      <c r="N12" s="64">
        <v>0</v>
      </c>
      <c r="O12" s="64">
        <v>110</v>
      </c>
      <c r="P12" s="45" t="s">
        <v>162</v>
      </c>
      <c r="Q12" s="39" t="s">
        <v>224</v>
      </c>
      <c r="R12" s="64">
        <v>11</v>
      </c>
      <c r="S12" s="64">
        <v>0</v>
      </c>
      <c r="T12" s="64">
        <v>110</v>
      </c>
      <c r="U12" s="45" t="s">
        <v>178</v>
      </c>
      <c r="V12" s="39"/>
      <c r="W12" s="64"/>
      <c r="X12" s="64"/>
      <c r="Y12" s="64"/>
      <c r="Z12" s="45"/>
    </row>
    <row r="13" spans="1:26" x14ac:dyDescent="0.35">
      <c r="A13" s="43"/>
      <c r="B13" s="62"/>
      <c r="C13" s="64"/>
      <c r="D13" s="64"/>
      <c r="E13" s="64"/>
      <c r="F13" s="45"/>
      <c r="G13" s="48"/>
      <c r="H13" s="64"/>
      <c r="I13" s="64"/>
      <c r="J13" s="64"/>
      <c r="K13" s="45"/>
      <c r="L13" s="39"/>
      <c r="M13" s="64"/>
      <c r="N13" s="64"/>
      <c r="O13" s="64"/>
      <c r="P13" s="16"/>
      <c r="Q13" s="39"/>
      <c r="R13" s="64"/>
      <c r="S13" s="64"/>
      <c r="T13" s="64"/>
      <c r="U13" s="16"/>
      <c r="V13" s="39"/>
      <c r="W13" s="64"/>
      <c r="X13" s="64"/>
      <c r="Y13" s="64"/>
      <c r="Z13" s="45"/>
    </row>
    <row r="14" spans="1:26" x14ac:dyDescent="0.35">
      <c r="A14" s="43"/>
      <c r="B14" s="62"/>
      <c r="C14" s="64"/>
      <c r="D14" s="64"/>
      <c r="E14" s="64"/>
      <c r="F14" s="45"/>
      <c r="G14" s="48"/>
      <c r="H14" s="64"/>
      <c r="I14" s="64"/>
      <c r="J14" s="64"/>
      <c r="K14" s="45"/>
      <c r="L14" s="39"/>
      <c r="M14" s="64"/>
      <c r="N14" s="64"/>
      <c r="O14" s="64"/>
      <c r="P14" s="16"/>
      <c r="Q14" s="39"/>
      <c r="R14" s="64"/>
      <c r="S14" s="64"/>
      <c r="T14" s="64"/>
      <c r="U14" s="16"/>
      <c r="V14" s="39"/>
      <c r="W14" s="64"/>
      <c r="X14" s="64"/>
      <c r="Y14" s="64"/>
      <c r="Z14" s="45"/>
    </row>
    <row r="15" spans="1:26" x14ac:dyDescent="0.35">
      <c r="A15" s="43"/>
      <c r="B15" s="62"/>
      <c r="C15" s="64"/>
      <c r="D15" s="64"/>
      <c r="E15" s="64"/>
      <c r="F15" s="45"/>
      <c r="G15" s="48"/>
      <c r="H15" s="64"/>
      <c r="I15" s="64"/>
      <c r="J15" s="64"/>
      <c r="K15" s="45"/>
      <c r="L15" s="39"/>
      <c r="M15" s="64"/>
      <c r="N15" s="64"/>
      <c r="O15" s="64"/>
      <c r="P15" s="45"/>
      <c r="Q15" s="39"/>
      <c r="R15" s="64"/>
      <c r="S15" s="64"/>
      <c r="T15" s="64"/>
      <c r="U15" s="16"/>
      <c r="V15" s="39"/>
      <c r="W15" s="64"/>
      <c r="X15" s="64"/>
      <c r="Y15" s="64"/>
      <c r="Z15" s="45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16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219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242</v>
      </c>
      <c r="J28" s="64">
        <v>-80</v>
      </c>
      <c r="L28" s="39" t="s">
        <v>220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0.43</v>
      </c>
      <c r="I29" s="64">
        <v>0.93</v>
      </c>
      <c r="J29" s="64">
        <v>-60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30.43</v>
      </c>
      <c r="I30" s="64">
        <v>30.93</v>
      </c>
      <c r="J30" s="64">
        <v>-50</v>
      </c>
      <c r="L30" s="39" t="s">
        <v>221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60.43</v>
      </c>
      <c r="I31" s="64">
        <v>60.93</v>
      </c>
      <c r="J31" s="64">
        <v>-40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90.43</v>
      </c>
      <c r="I32" s="64">
        <v>90.93</v>
      </c>
      <c r="J32" s="64">
        <v>-30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120.43</v>
      </c>
      <c r="I33" s="64">
        <v>120.93</v>
      </c>
      <c r="J33" s="64">
        <v>-20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150.43</v>
      </c>
      <c r="I34" s="64">
        <v>150.93</v>
      </c>
      <c r="J34" s="64">
        <v>-10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180.43</v>
      </c>
      <c r="I35" s="64">
        <v>180.93</v>
      </c>
      <c r="J35" s="64">
        <v>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164</v>
      </c>
      <c r="H36" s="64">
        <v>210.43</v>
      </c>
      <c r="I36" s="64">
        <v>210.93</v>
      </c>
      <c r="J36" s="64">
        <v>10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164</v>
      </c>
      <c r="H37" s="64">
        <v>240.43</v>
      </c>
      <c r="I37" s="64">
        <v>240.93</v>
      </c>
      <c r="J37" s="64">
        <v>20</v>
      </c>
      <c r="L37" s="20"/>
      <c r="M37" s="14"/>
    </row>
    <row r="38" spans="2:13" x14ac:dyDescent="0.35">
      <c r="B38" s="64"/>
      <c r="C38" s="64"/>
      <c r="D38" s="64"/>
      <c r="E38" s="64"/>
      <c r="G38" s="64" t="s">
        <v>160</v>
      </c>
      <c r="H38" s="64">
        <v>0</v>
      </c>
      <c r="I38" s="64">
        <v>242</v>
      </c>
      <c r="J38" s="64">
        <v>-80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160</v>
      </c>
      <c r="H39" s="64">
        <v>0.43</v>
      </c>
      <c r="I39" s="64">
        <v>0.93</v>
      </c>
      <c r="J39" s="64">
        <v>-60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160</v>
      </c>
      <c r="H40" s="64">
        <v>30.43</v>
      </c>
      <c r="I40" s="64">
        <v>30.93</v>
      </c>
      <c r="J40" s="64">
        <v>-50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160</v>
      </c>
      <c r="H41" s="64">
        <v>60.43</v>
      </c>
      <c r="I41" s="64">
        <v>60.93</v>
      </c>
      <c r="J41" s="64">
        <v>-40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160</v>
      </c>
      <c r="H42" s="64">
        <v>90.43</v>
      </c>
      <c r="I42" s="64">
        <v>90.93</v>
      </c>
      <c r="J42" s="64">
        <v>-30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160</v>
      </c>
      <c r="H43" s="64">
        <v>120.43</v>
      </c>
      <c r="I43" s="64">
        <v>120.93</v>
      </c>
      <c r="J43" s="64">
        <v>-20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160</v>
      </c>
      <c r="H44" s="64">
        <v>150.43</v>
      </c>
      <c r="I44" s="64">
        <v>150.93</v>
      </c>
      <c r="J44" s="64">
        <v>-10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160</v>
      </c>
      <c r="H45" s="64">
        <v>180.43</v>
      </c>
      <c r="I45" s="64">
        <v>180.93</v>
      </c>
      <c r="J45" s="64">
        <v>0</v>
      </c>
    </row>
    <row r="46" spans="2:13" x14ac:dyDescent="0.35">
      <c r="B46" s="64"/>
      <c r="C46" s="64"/>
      <c r="D46" s="64"/>
      <c r="E46" s="64"/>
      <c r="G46" s="64" t="s">
        <v>160</v>
      </c>
      <c r="H46" s="64">
        <v>210.43</v>
      </c>
      <c r="I46" s="64">
        <v>210.93</v>
      </c>
      <c r="J46" s="64">
        <v>10</v>
      </c>
    </row>
    <row r="47" spans="2:13" x14ac:dyDescent="0.35">
      <c r="B47" s="64"/>
      <c r="C47" s="64"/>
      <c r="D47" s="64"/>
      <c r="E47" s="64"/>
      <c r="G47" s="64" t="s">
        <v>160</v>
      </c>
      <c r="H47" s="64">
        <v>240.43</v>
      </c>
      <c r="I47" s="64">
        <v>240.93</v>
      </c>
      <c r="J47" s="64">
        <v>20</v>
      </c>
    </row>
    <row r="48" spans="2:13" x14ac:dyDescent="0.35">
      <c r="B48" s="64"/>
      <c r="C48" s="64"/>
      <c r="D48" s="64"/>
      <c r="E48" s="64"/>
      <c r="G48" s="64" t="s">
        <v>166</v>
      </c>
      <c r="H48" s="64">
        <v>0</v>
      </c>
      <c r="I48" s="64">
        <v>242</v>
      </c>
      <c r="J48" s="64">
        <v>-80</v>
      </c>
    </row>
    <row r="49" spans="2:10" x14ac:dyDescent="0.35">
      <c r="B49" s="64"/>
      <c r="C49" s="64"/>
      <c r="D49" s="64"/>
      <c r="E49" s="64"/>
      <c r="G49" s="64" t="s">
        <v>166</v>
      </c>
      <c r="H49" s="64">
        <v>0.43</v>
      </c>
      <c r="I49" s="64">
        <v>0.93</v>
      </c>
      <c r="J49" s="64">
        <v>-60</v>
      </c>
    </row>
    <row r="50" spans="2:10" x14ac:dyDescent="0.35">
      <c r="B50" s="64"/>
      <c r="C50" s="64"/>
      <c r="D50" s="64"/>
      <c r="E50" s="64"/>
      <c r="G50" s="64" t="s">
        <v>166</v>
      </c>
      <c r="H50" s="64">
        <v>30.43</v>
      </c>
      <c r="I50" s="64">
        <v>30.93</v>
      </c>
      <c r="J50" s="64">
        <v>-50</v>
      </c>
    </row>
    <row r="51" spans="2:10" x14ac:dyDescent="0.35">
      <c r="B51" s="64"/>
      <c r="C51" s="64"/>
      <c r="D51" s="64"/>
      <c r="E51" s="64"/>
      <c r="G51" s="64" t="s">
        <v>166</v>
      </c>
      <c r="H51" s="64">
        <v>60.43</v>
      </c>
      <c r="I51" s="64">
        <v>60.93</v>
      </c>
      <c r="J51" s="64">
        <v>-40</v>
      </c>
    </row>
    <row r="52" spans="2:10" x14ac:dyDescent="0.35">
      <c r="B52" s="64"/>
      <c r="C52" s="64"/>
      <c r="D52" s="64"/>
      <c r="E52" s="64"/>
      <c r="G52" s="64" t="s">
        <v>166</v>
      </c>
      <c r="H52" s="64">
        <v>90.43</v>
      </c>
      <c r="I52" s="64">
        <v>90.93</v>
      </c>
      <c r="J52" s="64">
        <v>-30</v>
      </c>
    </row>
    <row r="53" spans="2:10" x14ac:dyDescent="0.35">
      <c r="B53" s="64"/>
      <c r="C53" s="64"/>
      <c r="D53" s="64"/>
      <c r="E53" s="64"/>
      <c r="G53" s="64" t="s">
        <v>166</v>
      </c>
      <c r="H53" s="64">
        <v>120.43</v>
      </c>
      <c r="I53" s="64">
        <v>120.93</v>
      </c>
      <c r="J53" s="64">
        <v>-20</v>
      </c>
    </row>
    <row r="54" spans="2:10" x14ac:dyDescent="0.35">
      <c r="B54" s="64"/>
      <c r="C54" s="64"/>
      <c r="D54" s="64"/>
      <c r="E54" s="64"/>
      <c r="G54" s="64" t="s">
        <v>166</v>
      </c>
      <c r="H54" s="64">
        <v>150.43</v>
      </c>
      <c r="I54" s="64">
        <v>150.93</v>
      </c>
      <c r="J54" s="64">
        <v>-10</v>
      </c>
    </row>
    <row r="55" spans="2:10" x14ac:dyDescent="0.35">
      <c r="B55" s="64"/>
      <c r="C55" s="64"/>
      <c r="D55" s="64"/>
      <c r="E55" s="64"/>
      <c r="G55" s="64" t="s">
        <v>166</v>
      </c>
      <c r="H55" s="64">
        <v>180.43</v>
      </c>
      <c r="I55" s="64">
        <v>180.93</v>
      </c>
      <c r="J55" s="64">
        <v>0</v>
      </c>
    </row>
    <row r="56" spans="2:10" x14ac:dyDescent="0.35">
      <c r="B56" s="64"/>
      <c r="C56" s="64"/>
      <c r="D56" s="64"/>
      <c r="E56" s="64"/>
      <c r="G56" s="64" t="s">
        <v>166</v>
      </c>
      <c r="H56" s="64">
        <v>210.43</v>
      </c>
      <c r="I56" s="64">
        <v>210.93</v>
      </c>
      <c r="J56" s="64">
        <v>10</v>
      </c>
    </row>
    <row r="57" spans="2:10" x14ac:dyDescent="0.35">
      <c r="B57" s="64"/>
      <c r="C57" s="64"/>
      <c r="D57" s="64"/>
      <c r="E57" s="64"/>
      <c r="G57" s="64" t="s">
        <v>166</v>
      </c>
      <c r="H57" s="64">
        <v>240.43</v>
      </c>
      <c r="I57" s="64">
        <v>240.93</v>
      </c>
      <c r="J57" s="64">
        <v>20</v>
      </c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V7:Z7"/>
    <mergeCell ref="F1:K1"/>
    <mergeCell ref="B7:F7"/>
    <mergeCell ref="G7:K7"/>
    <mergeCell ref="L7:P7"/>
    <mergeCell ref="Q7:U7"/>
    <mergeCell ref="A25:J25"/>
    <mergeCell ref="L25:M25"/>
    <mergeCell ref="B26:E26"/>
    <mergeCell ref="G26:J26"/>
    <mergeCell ref="M26:Q27"/>
  </mergeCells>
  <phoneticPr fontId="5" type="noConversion"/>
  <conditionalFormatting sqref="C3">
    <cfRule type="cellIs" dxfId="243" priority="256" operator="notEqual">
      <formula>MAX($E$9:$E$23)</formula>
    </cfRule>
  </conditionalFormatting>
  <conditionalFormatting sqref="C9:C23 M13:M23">
    <cfRule type="cellIs" dxfId="242" priority="242" operator="equal">
      <formula>0</formula>
    </cfRule>
  </conditionalFormatting>
  <conditionalFormatting sqref="C11:C12">
    <cfRule type="containsBlanks" dxfId="241" priority="84">
      <formula>LEN(TRIM(C11))=0</formula>
    </cfRule>
    <cfRule type="cellIs" dxfId="240" priority="85" operator="equal">
      <formula>0</formula>
    </cfRule>
  </conditionalFormatting>
  <conditionalFormatting sqref="C15">
    <cfRule type="cellIs" dxfId="239" priority="171" operator="equal">
      <formula>0</formula>
    </cfRule>
    <cfRule type="containsBlanks" dxfId="238" priority="170">
      <formula>LEN(TRIM(C15))=0</formula>
    </cfRule>
  </conditionalFormatting>
  <conditionalFormatting sqref="C34:C35">
    <cfRule type="uniqueValues" dxfId="237" priority="251"/>
  </conditionalFormatting>
  <conditionalFormatting sqref="C41">
    <cfRule type="uniqueValues" dxfId="236" priority="253"/>
  </conditionalFormatting>
  <conditionalFormatting sqref="C45:C46">
    <cfRule type="uniqueValues" dxfId="235" priority="252"/>
  </conditionalFormatting>
  <conditionalFormatting sqref="C28:D33 D34:D35 C36:D40 D41 C42:D44 D45:D46 C47:D87">
    <cfRule type="cellIs" dxfId="234" priority="254" operator="greaterThan">
      <formula>$C$3</formula>
    </cfRule>
  </conditionalFormatting>
  <conditionalFormatting sqref="G28:G44 G46">
    <cfRule type="uniqueValues" dxfId="233" priority="215"/>
  </conditionalFormatting>
  <conditionalFormatting sqref="G29:G37">
    <cfRule type="uniqueValues" dxfId="232" priority="186"/>
  </conditionalFormatting>
  <conditionalFormatting sqref="G36:G44 G46">
    <cfRule type="uniqueValues" dxfId="231" priority="250"/>
  </conditionalFormatting>
  <conditionalFormatting sqref="G36:G47">
    <cfRule type="uniqueValues" dxfId="230" priority="245"/>
    <cfRule type="uniqueValues" dxfId="229" priority="216"/>
  </conditionalFormatting>
  <conditionalFormatting sqref="G44:G47">
    <cfRule type="uniqueValues" dxfId="228" priority="174"/>
  </conditionalFormatting>
  <conditionalFormatting sqref="G48 G50 G52 G54 G56 G58">
    <cfRule type="uniqueValues" dxfId="227" priority="154"/>
    <cfRule type="uniqueValues" dxfId="226" priority="157"/>
    <cfRule type="uniqueValues" dxfId="225" priority="148"/>
  </conditionalFormatting>
  <conditionalFormatting sqref="G49 G51 G53 G55 G57">
    <cfRule type="uniqueValues" dxfId="224" priority="10"/>
    <cfRule type="uniqueValues" dxfId="223" priority="6"/>
    <cfRule type="uniqueValues" dxfId="222" priority="7"/>
    <cfRule type="uniqueValues" dxfId="221" priority="8"/>
    <cfRule type="uniqueValues" dxfId="220" priority="9"/>
    <cfRule type="uniqueValues" dxfId="219" priority="11"/>
  </conditionalFormatting>
  <conditionalFormatting sqref="G50 G52 G54 G56">
    <cfRule type="uniqueValues" dxfId="218" priority="2"/>
    <cfRule type="uniqueValues" dxfId="217" priority="3"/>
    <cfRule type="uniqueValues" dxfId="216" priority="1"/>
  </conditionalFormatting>
  <conditionalFormatting sqref="G58:G72">
    <cfRule type="uniqueValues" dxfId="215" priority="246"/>
  </conditionalFormatting>
  <conditionalFormatting sqref="G73:G87 G28:G37">
    <cfRule type="uniqueValues" dxfId="214" priority="255"/>
  </conditionalFormatting>
  <conditionalFormatting sqref="H9:H23">
    <cfRule type="cellIs" dxfId="213" priority="208" operator="equal">
      <formula>0</formula>
    </cfRule>
    <cfRule type="containsBlanks" dxfId="212" priority="207">
      <formula>LEN(TRIM(H9))=0</formula>
    </cfRule>
  </conditionalFormatting>
  <conditionalFormatting sqref="H10:H11">
    <cfRule type="containsBlanks" dxfId="211" priority="100">
      <formula>LEN(TRIM(H10))=0</formula>
    </cfRule>
    <cfRule type="cellIs" dxfId="210" priority="101" operator="equal">
      <formula>0</formula>
    </cfRule>
  </conditionalFormatting>
  <conditionalFormatting sqref="H11:H15">
    <cfRule type="containsBlanks" dxfId="209" priority="82">
      <formula>LEN(TRIM(H11))=0</formula>
    </cfRule>
    <cfRule type="cellIs" dxfId="208" priority="83" operator="equal">
      <formula>0</formula>
    </cfRule>
  </conditionalFormatting>
  <conditionalFormatting sqref="H28:I87">
    <cfRule type="cellIs" dxfId="207" priority="4" operator="greaterThan">
      <formula>$C$3</formula>
    </cfRule>
  </conditionalFormatting>
  <conditionalFormatting sqref="M9:M12">
    <cfRule type="containsBlanks" dxfId="206" priority="48">
      <formula>LEN(TRIM(M9))=0</formula>
    </cfRule>
    <cfRule type="cellIs" dxfId="205" priority="49" operator="equal">
      <formula>0</formula>
    </cfRule>
  </conditionalFormatting>
  <conditionalFormatting sqref="M10:M11">
    <cfRule type="containsBlanks" dxfId="204" priority="44">
      <formula>LEN(TRIM(M10))=0</formula>
    </cfRule>
    <cfRule type="cellIs" dxfId="203" priority="45" operator="equal">
      <formula>0</formula>
    </cfRule>
  </conditionalFormatting>
  <conditionalFormatting sqref="M11:M12">
    <cfRule type="cellIs" dxfId="202" priority="41" operator="equal">
      <formula>0</formula>
    </cfRule>
    <cfRule type="containsBlanks" dxfId="201" priority="40">
      <formula>LEN(TRIM(M11))=0</formula>
    </cfRule>
  </conditionalFormatting>
  <conditionalFormatting sqref="M13">
    <cfRule type="cellIs" dxfId="200" priority="234" operator="equal">
      <formula>0</formula>
    </cfRule>
    <cfRule type="containsBlanks" dxfId="199" priority="233">
      <formula>LEN(TRIM(M13))=0</formula>
    </cfRule>
  </conditionalFormatting>
  <conditionalFormatting sqref="M13:M14">
    <cfRule type="cellIs" dxfId="198" priority="226" operator="equal">
      <formula>0</formula>
    </cfRule>
    <cfRule type="containsBlanks" dxfId="197" priority="225">
      <formula>LEN(TRIM(M13))=0</formula>
    </cfRule>
  </conditionalFormatting>
  <conditionalFormatting sqref="M13:M15">
    <cfRule type="cellIs" dxfId="196" priority="139" operator="equal">
      <formula>0</formula>
    </cfRule>
    <cfRule type="containsBlanks" dxfId="195" priority="134">
      <formula>LEN(TRIM(M13))=0</formula>
    </cfRule>
    <cfRule type="containsBlanks" dxfId="194" priority="138">
      <formula>LEN(TRIM(M13))=0</formula>
    </cfRule>
    <cfRule type="cellIs" dxfId="193" priority="135" operator="equal">
      <formula>0</formula>
    </cfRule>
  </conditionalFormatting>
  <conditionalFormatting sqref="M13:M23 C9:C23">
    <cfRule type="containsBlanks" dxfId="192" priority="241">
      <formula>LEN(TRIM(C9))=0</formula>
    </cfRule>
  </conditionalFormatting>
  <conditionalFormatting sqref="M14:M15">
    <cfRule type="cellIs" dxfId="191" priority="115" operator="equal">
      <formula>0</formula>
    </cfRule>
    <cfRule type="containsBlanks" dxfId="190" priority="114">
      <formula>LEN(TRIM(M14))=0</formula>
    </cfRule>
  </conditionalFormatting>
  <conditionalFormatting sqref="M15">
    <cfRule type="containsBlanks" dxfId="189" priority="112">
      <formula>LEN(TRIM(M15))=0</formula>
    </cfRule>
    <cfRule type="cellIs" dxfId="188" priority="113" operator="equal">
      <formula>0</formula>
    </cfRule>
  </conditionalFormatting>
  <conditionalFormatting sqref="R9:R12">
    <cfRule type="containsBlanks" dxfId="187" priority="36">
      <formula>LEN(TRIM(R9))=0</formula>
    </cfRule>
    <cfRule type="cellIs" dxfId="186" priority="37" operator="equal">
      <formula>0</formula>
    </cfRule>
  </conditionalFormatting>
  <conditionalFormatting sqref="R10:R11">
    <cfRule type="containsBlanks" dxfId="185" priority="32">
      <formula>LEN(TRIM(R10))=0</formula>
    </cfRule>
    <cfRule type="cellIs" dxfId="184" priority="33" operator="equal">
      <formula>0</formula>
    </cfRule>
  </conditionalFormatting>
  <conditionalFormatting sqref="R11:R12">
    <cfRule type="containsBlanks" dxfId="183" priority="28">
      <formula>LEN(TRIM(R11))=0</formula>
    </cfRule>
    <cfRule type="cellIs" dxfId="182" priority="29" operator="equal">
      <formula>0</formula>
    </cfRule>
  </conditionalFormatting>
  <conditionalFormatting sqref="R13">
    <cfRule type="containsBlanks" dxfId="181" priority="231">
      <formula>LEN(TRIM(R13))=0</formula>
    </cfRule>
    <cfRule type="cellIs" dxfId="180" priority="232" operator="equal">
      <formula>0</formula>
    </cfRule>
  </conditionalFormatting>
  <conditionalFormatting sqref="R13:R14">
    <cfRule type="cellIs" dxfId="179" priority="224" operator="equal">
      <formula>0</formula>
    </cfRule>
    <cfRule type="containsBlanks" dxfId="178" priority="223">
      <formula>LEN(TRIM(R13))=0</formula>
    </cfRule>
  </conditionalFormatting>
  <conditionalFormatting sqref="R13:R15">
    <cfRule type="containsBlanks" dxfId="177" priority="130">
      <formula>LEN(TRIM(R13))=0</formula>
    </cfRule>
    <cfRule type="cellIs" dxfId="176" priority="131" operator="equal">
      <formula>0</formula>
    </cfRule>
    <cfRule type="cellIs" dxfId="175" priority="111" operator="equal">
      <formula>0</formula>
    </cfRule>
    <cfRule type="containsBlanks" dxfId="174" priority="110">
      <formula>LEN(TRIM(R13))=0</formula>
    </cfRule>
  </conditionalFormatting>
  <conditionalFormatting sqref="R14:R15">
    <cfRule type="containsBlanks" dxfId="173" priority="166">
      <formula>LEN(TRIM(R14))=0</formula>
    </cfRule>
    <cfRule type="cellIs" dxfId="172" priority="167" operator="equal">
      <formula>0</formula>
    </cfRule>
  </conditionalFormatting>
  <conditionalFormatting sqref="R15">
    <cfRule type="containsBlanks" dxfId="171" priority="108">
      <formula>LEN(TRIM(R15))=0</formula>
    </cfRule>
    <cfRule type="cellIs" dxfId="170" priority="109" operator="equal">
      <formula>0</formula>
    </cfRule>
  </conditionalFormatting>
  <conditionalFormatting sqref="W11">
    <cfRule type="cellIs" dxfId="169" priority="202" operator="equal">
      <formula>0</formula>
    </cfRule>
    <cfRule type="containsBlanks" dxfId="168" priority="201">
      <formula>LEN(TRIM(W11))=0</formula>
    </cfRule>
  </conditionalFormatting>
  <conditionalFormatting sqref="W11:W14">
    <cfRule type="containsBlanks" dxfId="167" priority="203">
      <formula>LEN(TRIM(W11))=0</formula>
    </cfRule>
    <cfRule type="cellIs" dxfId="166" priority="204" operator="equal">
      <formula>0</formula>
    </cfRule>
  </conditionalFormatting>
  <conditionalFormatting sqref="W12:W14">
    <cfRule type="containsBlanks" dxfId="165" priority="211">
      <formula>LEN(TRIM(W12))=0</formula>
    </cfRule>
    <cfRule type="cellIs" dxfId="164" priority="212" operator="equal">
      <formula>0</formula>
    </cfRule>
  </conditionalFormatting>
  <conditionalFormatting sqref="W15">
    <cfRule type="containsBlanks" dxfId="163" priority="158">
      <formula>LEN(TRIM(W15))=0</formula>
    </cfRule>
    <cfRule type="cellIs" dxfId="162" priority="159" operator="equal">
      <formula>0</formula>
    </cfRule>
    <cfRule type="containsBlanks" dxfId="161" priority="160">
      <formula>LEN(TRIM(W15))=0</formula>
    </cfRule>
    <cfRule type="cellIs" dxfId="160" priority="161" operator="equal">
      <formula>0</formula>
    </cfRule>
  </conditionalFormatting>
  <dataValidations count="1">
    <dataValidation type="list" allowBlank="1" showInputMessage="1" showErrorMessage="1" sqref="F9:F23 Z9:Z23 K9:K23 P9:P23 U9:U23" xr:uid="{A443C3E2-9281-4176-AF11-E93EE2432135}">
      <formula1>"green,red,yellow,blue,orange,cyan,black,white,magenta"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2"/>
  <sheetViews>
    <sheetView workbookViewId="0">
      <selection activeCell="E4" sqref="E4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93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302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2.0000000000000001E-4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196"/>
      <c r="G7" s="186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3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2</v>
      </c>
      <c r="F9" s="45" t="s">
        <v>168</v>
      </c>
      <c r="G9" s="39" t="s">
        <v>206</v>
      </c>
      <c r="H9" s="64">
        <v>4</v>
      </c>
      <c r="I9" s="64">
        <v>0</v>
      </c>
      <c r="J9" s="64">
        <v>200</v>
      </c>
      <c r="K9" s="16" t="s">
        <v>69</v>
      </c>
      <c r="L9" s="39" t="s">
        <v>207</v>
      </c>
      <c r="M9" s="64">
        <v>4</v>
      </c>
      <c r="N9" s="64">
        <v>0</v>
      </c>
      <c r="O9" s="64">
        <v>200</v>
      </c>
      <c r="P9" s="45" t="s">
        <v>162</v>
      </c>
      <c r="Q9" s="39" t="s">
        <v>208</v>
      </c>
      <c r="R9" s="64">
        <v>4</v>
      </c>
      <c r="S9" s="64">
        <v>0</v>
      </c>
      <c r="T9" s="64">
        <v>200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60</v>
      </c>
      <c r="E10" s="64">
        <v>62</v>
      </c>
      <c r="F10" s="45" t="s">
        <v>168</v>
      </c>
      <c r="G10" s="39" t="s">
        <v>206</v>
      </c>
      <c r="H10" s="64">
        <v>4</v>
      </c>
      <c r="I10" s="64">
        <v>0</v>
      </c>
      <c r="J10" s="64">
        <v>200</v>
      </c>
      <c r="K10" s="16" t="s">
        <v>69</v>
      </c>
      <c r="L10" s="39" t="s">
        <v>207</v>
      </c>
      <c r="M10" s="64">
        <v>4</v>
      </c>
      <c r="N10" s="64">
        <v>0</v>
      </c>
      <c r="O10" s="64">
        <v>200</v>
      </c>
      <c r="P10" s="45" t="s">
        <v>162</v>
      </c>
      <c r="Q10" s="39" t="s">
        <v>208</v>
      </c>
      <c r="R10" s="64">
        <v>4</v>
      </c>
      <c r="S10" s="64">
        <v>0</v>
      </c>
      <c r="T10" s="64">
        <v>200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120</v>
      </c>
      <c r="E11" s="64">
        <v>122</v>
      </c>
      <c r="F11" s="45" t="s">
        <v>168</v>
      </c>
      <c r="G11" s="39" t="s">
        <v>206</v>
      </c>
      <c r="H11" s="64">
        <v>4</v>
      </c>
      <c r="I11" s="64">
        <v>0</v>
      </c>
      <c r="J11" s="64">
        <v>200</v>
      </c>
      <c r="K11" s="16" t="s">
        <v>69</v>
      </c>
      <c r="L11" s="39" t="s">
        <v>207</v>
      </c>
      <c r="M11" s="64">
        <v>4</v>
      </c>
      <c r="N11" s="64">
        <v>0</v>
      </c>
      <c r="O11" s="64">
        <v>200</v>
      </c>
      <c r="P11" s="45" t="s">
        <v>162</v>
      </c>
      <c r="Q11" s="39" t="s">
        <v>208</v>
      </c>
      <c r="R11" s="64">
        <v>4</v>
      </c>
      <c r="S11" s="64">
        <v>0</v>
      </c>
      <c r="T11" s="64">
        <v>200</v>
      </c>
      <c r="U11" s="45" t="s">
        <v>178</v>
      </c>
      <c r="V11" s="39"/>
      <c r="W11" s="64"/>
      <c r="X11" s="64"/>
      <c r="Y11" s="64"/>
      <c r="Z11" s="16"/>
    </row>
    <row r="12" spans="1:26" x14ac:dyDescent="0.35">
      <c r="A12" s="43">
        <v>4</v>
      </c>
      <c r="B12" s="62" t="s">
        <v>31</v>
      </c>
      <c r="C12" s="64">
        <v>10</v>
      </c>
      <c r="D12" s="64">
        <v>180</v>
      </c>
      <c r="E12" s="64">
        <v>182</v>
      </c>
      <c r="F12" s="45" t="s">
        <v>205</v>
      </c>
      <c r="G12" s="39" t="s">
        <v>206</v>
      </c>
      <c r="H12" s="64">
        <v>4</v>
      </c>
      <c r="I12" s="64">
        <v>0</v>
      </c>
      <c r="J12" s="64">
        <v>200</v>
      </c>
      <c r="K12" s="16" t="s">
        <v>69</v>
      </c>
      <c r="L12" s="39" t="s">
        <v>207</v>
      </c>
      <c r="M12" s="64">
        <v>4</v>
      </c>
      <c r="N12" s="64">
        <v>0</v>
      </c>
      <c r="O12" s="64">
        <v>200</v>
      </c>
      <c r="P12" s="45" t="s">
        <v>162</v>
      </c>
      <c r="Q12" s="39" t="s">
        <v>208</v>
      </c>
      <c r="R12" s="64">
        <v>4</v>
      </c>
      <c r="S12" s="64">
        <v>0</v>
      </c>
      <c r="T12" s="64">
        <v>200</v>
      </c>
      <c r="U12" s="45" t="s">
        <v>178</v>
      </c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240</v>
      </c>
      <c r="E13" s="64">
        <v>242</v>
      </c>
      <c r="F13" s="45" t="s">
        <v>168</v>
      </c>
      <c r="G13" s="39" t="s">
        <v>206</v>
      </c>
      <c r="H13" s="64">
        <v>4</v>
      </c>
      <c r="I13" s="64">
        <v>0</v>
      </c>
      <c r="J13" s="64">
        <v>200</v>
      </c>
      <c r="K13" s="16" t="s">
        <v>69</v>
      </c>
      <c r="L13" s="39" t="s">
        <v>207</v>
      </c>
      <c r="M13" s="64">
        <v>4</v>
      </c>
      <c r="N13" s="64">
        <v>0</v>
      </c>
      <c r="O13" s="64">
        <v>200</v>
      </c>
      <c r="P13" s="45" t="s">
        <v>162</v>
      </c>
      <c r="Q13" s="39" t="s">
        <v>208</v>
      </c>
      <c r="R13" s="64">
        <v>4</v>
      </c>
      <c r="S13" s="64">
        <v>0</v>
      </c>
      <c r="T13" s="64">
        <v>200</v>
      </c>
      <c r="U13" s="45" t="s">
        <v>178</v>
      </c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300</v>
      </c>
      <c r="E14" s="64">
        <v>302</v>
      </c>
      <c r="F14" s="45" t="s">
        <v>168</v>
      </c>
      <c r="G14" s="39" t="s">
        <v>206</v>
      </c>
      <c r="H14" s="64">
        <v>4</v>
      </c>
      <c r="I14" s="64">
        <v>0</v>
      </c>
      <c r="J14" s="64">
        <v>200</v>
      </c>
      <c r="K14" s="16" t="s">
        <v>69</v>
      </c>
      <c r="L14" s="39" t="s">
        <v>207</v>
      </c>
      <c r="M14" s="64">
        <v>4</v>
      </c>
      <c r="N14" s="64">
        <v>0</v>
      </c>
      <c r="O14" s="64">
        <v>200</v>
      </c>
      <c r="P14" s="45" t="s">
        <v>162</v>
      </c>
      <c r="Q14" s="39" t="s">
        <v>208</v>
      </c>
      <c r="R14" s="64">
        <v>4</v>
      </c>
      <c r="S14" s="64">
        <v>0</v>
      </c>
      <c r="T14" s="64">
        <v>200</v>
      </c>
      <c r="U14" s="45" t="s">
        <v>178</v>
      </c>
      <c r="V14" s="39"/>
      <c r="W14" s="64"/>
      <c r="X14" s="64"/>
      <c r="Y14" s="64"/>
      <c r="Z14" s="16"/>
    </row>
    <row r="15" spans="1:26" x14ac:dyDescent="0.35">
      <c r="A15" s="43"/>
      <c r="B15" s="62"/>
      <c r="C15" s="64"/>
      <c r="D15" s="64"/>
      <c r="E15" s="64"/>
      <c r="F15" s="45"/>
      <c r="G15" s="39"/>
      <c r="H15" s="64"/>
      <c r="I15" s="64"/>
      <c r="J15" s="64"/>
      <c r="K15" s="16"/>
      <c r="L15" s="39"/>
      <c r="M15" s="64"/>
      <c r="N15" s="64"/>
      <c r="O15" s="64"/>
      <c r="P15" s="45"/>
      <c r="Q15" s="39"/>
      <c r="R15" s="64"/>
      <c r="S15" s="64"/>
      <c r="T15" s="64"/>
      <c r="U15" s="45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39"/>
      <c r="H16" s="64"/>
      <c r="I16" s="64"/>
      <c r="J16" s="64"/>
      <c r="K16" s="16"/>
      <c r="L16" s="39"/>
      <c r="M16" s="64"/>
      <c r="N16" s="64"/>
      <c r="O16" s="64"/>
      <c r="P16" s="45"/>
      <c r="Q16" s="39"/>
      <c r="R16" s="64"/>
      <c r="S16" s="64"/>
      <c r="T16" s="64"/>
      <c r="U16" s="45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39"/>
      <c r="H17" s="64"/>
      <c r="I17" s="64"/>
      <c r="J17" s="64"/>
      <c r="K17" s="16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39"/>
      <c r="H18" s="64"/>
      <c r="I18" s="64"/>
      <c r="J18" s="64"/>
      <c r="K18" s="16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39"/>
      <c r="H19" s="64"/>
      <c r="I19" s="64"/>
      <c r="J19" s="64"/>
      <c r="K19" s="16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39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39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39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0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4" spans="1:26" ht="15" thickBot="1" x14ac:dyDescent="0.4">
      <c r="V24" s="147"/>
      <c r="W24" s="148"/>
      <c r="X24" s="148"/>
      <c r="Y24" s="148"/>
      <c r="Z24" s="149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206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302</v>
      </c>
      <c r="J28" s="64">
        <v>-80</v>
      </c>
      <c r="L28" s="39" t="s">
        <v>207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0.13</v>
      </c>
      <c r="I29" s="64">
        <v>0.43</v>
      </c>
      <c r="J29" s="64">
        <v>-40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60.13</v>
      </c>
      <c r="I30" s="64">
        <v>60.43</v>
      </c>
      <c r="J30" s="64">
        <v>-40</v>
      </c>
      <c r="L30" s="39" t="s">
        <v>208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120.13</v>
      </c>
      <c r="I31" s="64">
        <v>120.43</v>
      </c>
      <c r="J31" s="64">
        <v>-40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180.13</v>
      </c>
      <c r="I32" s="64">
        <v>180.43</v>
      </c>
      <c r="J32" s="64">
        <v>-40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240.13</v>
      </c>
      <c r="I33" s="64">
        <v>240.43</v>
      </c>
      <c r="J33" s="64">
        <v>-40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300.13</v>
      </c>
      <c r="I34" s="64">
        <v>300.43</v>
      </c>
      <c r="J34" s="64">
        <v>-40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0.43</v>
      </c>
      <c r="I35" s="64">
        <v>1.43</v>
      </c>
      <c r="J35" s="64">
        <v>-30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164</v>
      </c>
      <c r="H36" s="64">
        <v>60.43</v>
      </c>
      <c r="I36" s="64">
        <v>61.43</v>
      </c>
      <c r="J36" s="64">
        <v>-20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164</v>
      </c>
      <c r="H37" s="64">
        <v>120.43</v>
      </c>
      <c r="I37" s="64">
        <v>121.43</v>
      </c>
      <c r="J37" s="64">
        <v>-10</v>
      </c>
      <c r="L37" s="39"/>
      <c r="M37" s="14"/>
    </row>
    <row r="38" spans="2:13" x14ac:dyDescent="0.35">
      <c r="B38" s="64"/>
      <c r="C38" s="64"/>
      <c r="D38" s="64"/>
      <c r="E38" s="64"/>
      <c r="G38" s="64" t="s">
        <v>164</v>
      </c>
      <c r="H38" s="64">
        <v>180.43</v>
      </c>
      <c r="I38" s="64">
        <v>181.43</v>
      </c>
      <c r="J38" s="64">
        <v>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164</v>
      </c>
      <c r="H39" s="64">
        <v>240.43</v>
      </c>
      <c r="I39" s="64">
        <v>241.43</v>
      </c>
      <c r="J39" s="64">
        <v>10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164</v>
      </c>
      <c r="H40" s="64">
        <v>300.43</v>
      </c>
      <c r="I40" s="64">
        <v>301.43</v>
      </c>
      <c r="J40" s="64">
        <v>20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164</v>
      </c>
      <c r="H41" s="64">
        <v>1.43</v>
      </c>
      <c r="I41" s="64">
        <v>1.53</v>
      </c>
      <c r="J41" s="64">
        <v>30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164</v>
      </c>
      <c r="H42" s="64">
        <v>61.43</v>
      </c>
      <c r="I42" s="64">
        <v>61.53</v>
      </c>
      <c r="J42" s="64">
        <v>30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164</v>
      </c>
      <c r="H43" s="64">
        <v>121.43</v>
      </c>
      <c r="I43" s="64">
        <v>121.53</v>
      </c>
      <c r="J43" s="64">
        <v>30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164</v>
      </c>
      <c r="H44" s="64">
        <v>181.43</v>
      </c>
      <c r="I44" s="64">
        <v>181.53</v>
      </c>
      <c r="J44" s="64">
        <v>30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164</v>
      </c>
      <c r="H45" s="64">
        <v>241.43</v>
      </c>
      <c r="I45" s="64">
        <v>241.53</v>
      </c>
      <c r="J45" s="64">
        <v>30</v>
      </c>
    </row>
    <row r="46" spans="2:13" x14ac:dyDescent="0.35">
      <c r="B46" s="64"/>
      <c r="C46" s="64"/>
      <c r="D46" s="64"/>
      <c r="E46" s="64"/>
      <c r="G46" s="64" t="s">
        <v>164</v>
      </c>
      <c r="H46" s="64">
        <v>301.43</v>
      </c>
      <c r="I46" s="64">
        <v>301.52999999999997</v>
      </c>
      <c r="J46" s="64">
        <v>30</v>
      </c>
    </row>
    <row r="47" spans="2:13" x14ac:dyDescent="0.35">
      <c r="B47" s="64"/>
      <c r="C47" s="64"/>
      <c r="D47" s="64"/>
      <c r="E47" s="64"/>
      <c r="G47" s="64" t="s">
        <v>166</v>
      </c>
      <c r="H47" s="64">
        <v>0</v>
      </c>
      <c r="I47" s="64">
        <v>302</v>
      </c>
      <c r="J47" s="64">
        <v>-80</v>
      </c>
    </row>
    <row r="48" spans="2:13" x14ac:dyDescent="0.35">
      <c r="B48" s="64"/>
      <c r="C48" s="64"/>
      <c r="D48" s="64"/>
      <c r="E48" s="64"/>
      <c r="G48" s="64" t="s">
        <v>166</v>
      </c>
      <c r="H48" s="64">
        <v>0.13</v>
      </c>
      <c r="I48" s="64">
        <v>0.43</v>
      </c>
      <c r="J48" s="64">
        <v>-40</v>
      </c>
    </row>
    <row r="49" spans="2:10" x14ac:dyDescent="0.35">
      <c r="B49" s="64"/>
      <c r="C49" s="64"/>
      <c r="D49" s="64"/>
      <c r="E49" s="64"/>
      <c r="G49" s="64" t="s">
        <v>166</v>
      </c>
      <c r="H49" s="64">
        <v>60.13</v>
      </c>
      <c r="I49" s="64">
        <v>60.43</v>
      </c>
      <c r="J49" s="64">
        <v>-40</v>
      </c>
    </row>
    <row r="50" spans="2:10" x14ac:dyDescent="0.35">
      <c r="B50" s="64"/>
      <c r="C50" s="64"/>
      <c r="D50" s="64"/>
      <c r="E50" s="64"/>
      <c r="G50" s="64" t="s">
        <v>166</v>
      </c>
      <c r="H50" s="64">
        <v>120.13</v>
      </c>
      <c r="I50" s="64">
        <v>120.43</v>
      </c>
      <c r="J50" s="64">
        <v>-40</v>
      </c>
    </row>
    <row r="51" spans="2:10" x14ac:dyDescent="0.35">
      <c r="B51" s="64"/>
      <c r="C51" s="64"/>
      <c r="D51" s="64"/>
      <c r="E51" s="64"/>
      <c r="G51" s="64" t="s">
        <v>166</v>
      </c>
      <c r="H51" s="64">
        <v>180.13</v>
      </c>
      <c r="I51" s="64">
        <v>180.43</v>
      </c>
      <c r="J51" s="64">
        <v>-40</v>
      </c>
    </row>
    <row r="52" spans="2:10" x14ac:dyDescent="0.35">
      <c r="B52" s="64"/>
      <c r="C52" s="64"/>
      <c r="D52" s="64"/>
      <c r="E52" s="64"/>
      <c r="G52" s="64" t="s">
        <v>166</v>
      </c>
      <c r="H52" s="64">
        <v>240.13</v>
      </c>
      <c r="I52" s="64">
        <v>240.43</v>
      </c>
      <c r="J52" s="64">
        <v>-40</v>
      </c>
    </row>
    <row r="53" spans="2:10" x14ac:dyDescent="0.35">
      <c r="B53" s="64"/>
      <c r="C53" s="64"/>
      <c r="D53" s="64"/>
      <c r="E53" s="64"/>
      <c r="G53" s="64" t="s">
        <v>166</v>
      </c>
      <c r="H53" s="64">
        <v>300.13</v>
      </c>
      <c r="I53" s="64">
        <v>300.43</v>
      </c>
      <c r="J53" s="64">
        <v>-40</v>
      </c>
    </row>
    <row r="54" spans="2:10" x14ac:dyDescent="0.35">
      <c r="B54" s="64"/>
      <c r="C54" s="64"/>
      <c r="D54" s="64"/>
      <c r="E54" s="64"/>
      <c r="G54" s="64" t="s">
        <v>166</v>
      </c>
      <c r="H54" s="64">
        <v>0.43</v>
      </c>
      <c r="I54" s="64">
        <v>1.43</v>
      </c>
      <c r="J54" s="64">
        <v>-30</v>
      </c>
    </row>
    <row r="55" spans="2:10" x14ac:dyDescent="0.35">
      <c r="B55" s="64"/>
      <c r="C55" s="64"/>
      <c r="D55" s="64"/>
      <c r="E55" s="64"/>
      <c r="G55" s="64" t="s">
        <v>166</v>
      </c>
      <c r="H55" s="64">
        <v>60.43</v>
      </c>
      <c r="I55" s="64">
        <v>61.43</v>
      </c>
      <c r="J55" s="64">
        <v>-20</v>
      </c>
    </row>
    <row r="56" spans="2:10" x14ac:dyDescent="0.35">
      <c r="B56" s="64"/>
      <c r="C56" s="64"/>
      <c r="D56" s="64"/>
      <c r="E56" s="64"/>
      <c r="G56" s="64" t="s">
        <v>166</v>
      </c>
      <c r="H56" s="64">
        <v>120.43</v>
      </c>
      <c r="I56" s="64">
        <v>121.43</v>
      </c>
      <c r="J56" s="64">
        <v>-10</v>
      </c>
    </row>
    <row r="57" spans="2:10" x14ac:dyDescent="0.35">
      <c r="B57" s="64"/>
      <c r="C57" s="64"/>
      <c r="D57" s="64"/>
      <c r="E57" s="64"/>
      <c r="G57" s="64" t="s">
        <v>166</v>
      </c>
      <c r="H57" s="64">
        <v>180.43</v>
      </c>
      <c r="I57" s="64">
        <v>181.43</v>
      </c>
      <c r="J57" s="64">
        <v>0</v>
      </c>
    </row>
    <row r="58" spans="2:10" x14ac:dyDescent="0.35">
      <c r="B58" s="64"/>
      <c r="C58" s="64"/>
      <c r="D58" s="64"/>
      <c r="E58" s="64"/>
      <c r="G58" s="64" t="s">
        <v>166</v>
      </c>
      <c r="H58" s="64">
        <v>240.43</v>
      </c>
      <c r="I58" s="64">
        <v>241.43</v>
      </c>
      <c r="J58" s="64">
        <v>10</v>
      </c>
    </row>
    <row r="59" spans="2:10" x14ac:dyDescent="0.35">
      <c r="B59" s="64"/>
      <c r="C59" s="64"/>
      <c r="D59" s="64"/>
      <c r="E59" s="64"/>
      <c r="G59" s="64" t="s">
        <v>166</v>
      </c>
      <c r="H59" s="64">
        <v>300.43</v>
      </c>
      <c r="I59" s="64">
        <v>301.43</v>
      </c>
      <c r="J59" s="64">
        <v>20</v>
      </c>
    </row>
    <row r="60" spans="2:10" x14ac:dyDescent="0.35">
      <c r="B60" s="64"/>
      <c r="C60" s="64"/>
      <c r="D60" s="64"/>
      <c r="E60" s="64"/>
      <c r="G60" s="64" t="s">
        <v>166</v>
      </c>
      <c r="H60" s="64">
        <v>1.43</v>
      </c>
      <c r="I60" s="64">
        <v>1.53</v>
      </c>
      <c r="J60" s="64">
        <v>30</v>
      </c>
    </row>
    <row r="61" spans="2:10" x14ac:dyDescent="0.35">
      <c r="B61" s="64"/>
      <c r="C61" s="64"/>
      <c r="D61" s="64"/>
      <c r="E61" s="64"/>
      <c r="G61" s="64" t="s">
        <v>166</v>
      </c>
      <c r="H61" s="64">
        <v>61.43</v>
      </c>
      <c r="I61" s="64">
        <v>61.53</v>
      </c>
      <c r="J61" s="64">
        <v>30</v>
      </c>
    </row>
    <row r="62" spans="2:10" x14ac:dyDescent="0.35">
      <c r="B62" s="64"/>
      <c r="C62" s="64"/>
      <c r="D62" s="64"/>
      <c r="E62" s="64"/>
      <c r="G62" s="64" t="s">
        <v>166</v>
      </c>
      <c r="H62" s="64">
        <v>121.43</v>
      </c>
      <c r="I62" s="64">
        <v>121.53</v>
      </c>
      <c r="J62" s="64">
        <v>30</v>
      </c>
    </row>
    <row r="63" spans="2:10" x14ac:dyDescent="0.35">
      <c r="B63" s="64"/>
      <c r="C63" s="64"/>
      <c r="D63" s="64"/>
      <c r="E63" s="64"/>
      <c r="G63" s="64" t="s">
        <v>166</v>
      </c>
      <c r="H63" s="64">
        <v>181.43</v>
      </c>
      <c r="I63" s="64">
        <v>181.53</v>
      </c>
      <c r="J63" s="64">
        <v>30</v>
      </c>
    </row>
    <row r="64" spans="2:10" x14ac:dyDescent="0.35">
      <c r="B64" s="64"/>
      <c r="C64" s="64"/>
      <c r="D64" s="64"/>
      <c r="E64" s="64"/>
      <c r="G64" s="64" t="s">
        <v>166</v>
      </c>
      <c r="H64" s="64">
        <v>241.43</v>
      </c>
      <c r="I64" s="64">
        <v>241.53</v>
      </c>
      <c r="J64" s="64">
        <v>30</v>
      </c>
    </row>
    <row r="65" spans="2:10" x14ac:dyDescent="0.35">
      <c r="B65" s="64"/>
      <c r="C65" s="64"/>
      <c r="D65" s="64"/>
      <c r="E65" s="64"/>
      <c r="G65" s="64" t="s">
        <v>166</v>
      </c>
      <c r="H65" s="64">
        <v>301.43</v>
      </c>
      <c r="I65" s="64">
        <v>301.52999999999997</v>
      </c>
      <c r="J65" s="64">
        <v>30</v>
      </c>
    </row>
    <row r="66" spans="2:10" x14ac:dyDescent="0.35">
      <c r="B66" s="64"/>
      <c r="C66" s="64"/>
      <c r="D66" s="64"/>
      <c r="E66" s="64"/>
      <c r="G66" s="64" t="s">
        <v>160</v>
      </c>
      <c r="H66" s="64">
        <v>0</v>
      </c>
      <c r="I66" s="64">
        <v>302</v>
      </c>
      <c r="J66" s="64">
        <v>-80</v>
      </c>
    </row>
    <row r="67" spans="2:10" x14ac:dyDescent="0.35">
      <c r="B67" s="64"/>
      <c r="C67" s="64"/>
      <c r="D67" s="64"/>
      <c r="E67" s="64"/>
      <c r="G67" s="64" t="s">
        <v>160</v>
      </c>
      <c r="H67" s="64">
        <v>0.13</v>
      </c>
      <c r="I67" s="64">
        <v>0.43</v>
      </c>
      <c r="J67" s="64">
        <v>-40</v>
      </c>
    </row>
    <row r="68" spans="2:10" x14ac:dyDescent="0.35">
      <c r="B68" s="64"/>
      <c r="C68" s="64"/>
      <c r="D68" s="64"/>
      <c r="E68" s="64"/>
      <c r="G68" s="64" t="s">
        <v>160</v>
      </c>
      <c r="H68" s="64">
        <v>60.13</v>
      </c>
      <c r="I68" s="64">
        <v>60.43</v>
      </c>
      <c r="J68" s="64">
        <v>-40</v>
      </c>
    </row>
    <row r="69" spans="2:10" x14ac:dyDescent="0.35">
      <c r="B69" s="64"/>
      <c r="C69" s="64"/>
      <c r="D69" s="64"/>
      <c r="E69" s="64"/>
      <c r="G69" s="64" t="s">
        <v>160</v>
      </c>
      <c r="H69" s="64">
        <v>120.13</v>
      </c>
      <c r="I69" s="64">
        <v>120.43</v>
      </c>
      <c r="J69" s="64">
        <v>-40</v>
      </c>
    </row>
    <row r="70" spans="2:10" x14ac:dyDescent="0.35">
      <c r="B70" s="64"/>
      <c r="C70" s="64"/>
      <c r="D70" s="64"/>
      <c r="E70" s="64"/>
      <c r="G70" s="64" t="s">
        <v>160</v>
      </c>
      <c r="H70" s="64">
        <v>180.13</v>
      </c>
      <c r="I70" s="64">
        <v>180.43</v>
      </c>
      <c r="J70" s="64">
        <v>-40</v>
      </c>
    </row>
    <row r="71" spans="2:10" x14ac:dyDescent="0.35">
      <c r="B71" s="64"/>
      <c r="C71" s="64"/>
      <c r="D71" s="64"/>
      <c r="E71" s="64"/>
      <c r="G71" s="64" t="s">
        <v>160</v>
      </c>
      <c r="H71" s="64">
        <v>240.13</v>
      </c>
      <c r="I71" s="64">
        <v>240.43</v>
      </c>
      <c r="J71" s="64">
        <v>-40</v>
      </c>
    </row>
    <row r="72" spans="2:10" x14ac:dyDescent="0.35">
      <c r="B72" s="64"/>
      <c r="C72" s="64"/>
      <c r="D72" s="64"/>
      <c r="E72" s="64"/>
      <c r="G72" s="64" t="s">
        <v>160</v>
      </c>
      <c r="H72" s="64">
        <v>300.13</v>
      </c>
      <c r="I72" s="64">
        <v>300.43</v>
      </c>
      <c r="J72" s="64">
        <v>-40</v>
      </c>
    </row>
    <row r="73" spans="2:10" x14ac:dyDescent="0.35">
      <c r="B73" s="64"/>
      <c r="C73" s="64"/>
      <c r="D73" s="64"/>
      <c r="E73" s="64"/>
      <c r="G73" s="64" t="s">
        <v>160</v>
      </c>
      <c r="H73" s="64">
        <v>0.43</v>
      </c>
      <c r="I73" s="64">
        <v>1.43</v>
      </c>
      <c r="J73" s="64">
        <v>-30</v>
      </c>
    </row>
    <row r="74" spans="2:10" x14ac:dyDescent="0.35">
      <c r="B74" s="64"/>
      <c r="C74" s="64"/>
      <c r="D74" s="64"/>
      <c r="E74" s="64"/>
      <c r="G74" s="64" t="s">
        <v>160</v>
      </c>
      <c r="H74" s="64">
        <v>60.43</v>
      </c>
      <c r="I74" s="64">
        <v>61.43</v>
      </c>
      <c r="J74" s="64">
        <v>-20</v>
      </c>
    </row>
    <row r="75" spans="2:10" x14ac:dyDescent="0.35">
      <c r="B75" s="64"/>
      <c r="C75" s="64"/>
      <c r="D75" s="64"/>
      <c r="E75" s="64"/>
      <c r="G75" s="64" t="s">
        <v>160</v>
      </c>
      <c r="H75" s="64">
        <v>120.43</v>
      </c>
      <c r="I75" s="64">
        <v>121.43</v>
      </c>
      <c r="J75" s="64">
        <v>-10</v>
      </c>
    </row>
    <row r="76" spans="2:10" x14ac:dyDescent="0.35">
      <c r="B76" s="64"/>
      <c r="C76" s="64"/>
      <c r="D76" s="64"/>
      <c r="E76" s="64"/>
      <c r="G76" s="64" t="s">
        <v>160</v>
      </c>
      <c r="H76" s="64">
        <v>180.43</v>
      </c>
      <c r="I76" s="64">
        <v>181.43</v>
      </c>
      <c r="J76" s="64">
        <v>0</v>
      </c>
    </row>
    <row r="77" spans="2:10" x14ac:dyDescent="0.35">
      <c r="B77" s="64"/>
      <c r="C77" s="64"/>
      <c r="D77" s="64"/>
      <c r="E77" s="64"/>
      <c r="G77" s="64" t="s">
        <v>160</v>
      </c>
      <c r="H77" s="64">
        <v>240.43</v>
      </c>
      <c r="I77" s="64">
        <v>241.43</v>
      </c>
      <c r="J77" s="64">
        <v>10</v>
      </c>
    </row>
    <row r="78" spans="2:10" x14ac:dyDescent="0.35">
      <c r="B78" s="64"/>
      <c r="C78" s="64"/>
      <c r="D78" s="64"/>
      <c r="E78" s="64"/>
      <c r="G78" s="64" t="s">
        <v>160</v>
      </c>
      <c r="H78" s="64">
        <v>300.43</v>
      </c>
      <c r="I78" s="64">
        <v>301.43</v>
      </c>
      <c r="J78" s="64">
        <v>20</v>
      </c>
    </row>
    <row r="79" spans="2:10" x14ac:dyDescent="0.35">
      <c r="B79" s="64"/>
      <c r="C79" s="64"/>
      <c r="D79" s="64"/>
      <c r="E79" s="64"/>
      <c r="G79" s="64" t="s">
        <v>160</v>
      </c>
      <c r="H79" s="64">
        <v>1.43</v>
      </c>
      <c r="I79" s="64">
        <v>1.53</v>
      </c>
      <c r="J79" s="64">
        <v>30</v>
      </c>
    </row>
    <row r="80" spans="2:10" x14ac:dyDescent="0.35">
      <c r="B80" s="64"/>
      <c r="C80" s="64"/>
      <c r="D80" s="64"/>
      <c r="E80" s="64"/>
      <c r="G80" s="64" t="s">
        <v>160</v>
      </c>
      <c r="H80" s="64">
        <v>61.43</v>
      </c>
      <c r="I80" s="64">
        <v>61.53</v>
      </c>
      <c r="J80" s="64">
        <v>30</v>
      </c>
    </row>
    <row r="81" spans="2:10" x14ac:dyDescent="0.35">
      <c r="B81" s="64"/>
      <c r="C81" s="64"/>
      <c r="D81" s="64"/>
      <c r="E81" s="64"/>
      <c r="G81" s="64" t="s">
        <v>160</v>
      </c>
      <c r="H81" s="64">
        <v>121.43</v>
      </c>
      <c r="I81" s="64">
        <v>121.53</v>
      </c>
      <c r="J81" s="64">
        <v>30</v>
      </c>
    </row>
    <row r="82" spans="2:10" x14ac:dyDescent="0.35">
      <c r="B82" s="64"/>
      <c r="C82" s="64"/>
      <c r="D82" s="64"/>
      <c r="E82" s="64"/>
      <c r="G82" s="64" t="s">
        <v>160</v>
      </c>
      <c r="H82" s="64">
        <v>181.43</v>
      </c>
      <c r="I82" s="64">
        <v>181.53</v>
      </c>
      <c r="J82" s="64">
        <v>30</v>
      </c>
    </row>
    <row r="83" spans="2:10" x14ac:dyDescent="0.35">
      <c r="B83" s="64"/>
      <c r="C83" s="64"/>
      <c r="D83" s="64"/>
      <c r="E83" s="64"/>
      <c r="G83" s="64" t="s">
        <v>160</v>
      </c>
      <c r="H83" s="64">
        <v>241.43</v>
      </c>
      <c r="I83" s="64">
        <v>241.53</v>
      </c>
      <c r="J83" s="64">
        <v>30</v>
      </c>
    </row>
    <row r="84" spans="2:10" x14ac:dyDescent="0.35">
      <c r="B84" s="64"/>
      <c r="C84" s="64"/>
      <c r="D84" s="64"/>
      <c r="E84" s="64"/>
      <c r="G84" s="64" t="s">
        <v>160</v>
      </c>
      <c r="H84" s="64">
        <v>301.43</v>
      </c>
      <c r="I84" s="64">
        <v>301.52999999999997</v>
      </c>
      <c r="J84" s="64">
        <v>30</v>
      </c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  <row r="88" spans="2:10" x14ac:dyDescent="0.35">
      <c r="B88" s="64"/>
      <c r="C88" s="64"/>
      <c r="D88" s="64"/>
      <c r="E88" s="64"/>
      <c r="G88" s="64"/>
      <c r="H88" s="64"/>
      <c r="I88" s="64"/>
      <c r="J88" s="64"/>
    </row>
    <row r="89" spans="2:10" x14ac:dyDescent="0.35">
      <c r="B89" s="64"/>
      <c r="C89" s="64"/>
      <c r="D89" s="64"/>
      <c r="E89" s="64"/>
      <c r="G89" s="64"/>
      <c r="H89" s="64"/>
      <c r="I89" s="64"/>
      <c r="J89" s="64"/>
    </row>
    <row r="90" spans="2:10" x14ac:dyDescent="0.35">
      <c r="B90" s="64"/>
      <c r="C90" s="64"/>
      <c r="D90" s="64"/>
      <c r="E90" s="64"/>
      <c r="G90" s="64"/>
      <c r="H90" s="64"/>
      <c r="I90" s="64"/>
      <c r="J90" s="64"/>
    </row>
    <row r="91" spans="2:10" x14ac:dyDescent="0.35">
      <c r="B91" s="64"/>
      <c r="C91" s="64"/>
      <c r="D91" s="64"/>
      <c r="E91" s="64"/>
      <c r="G91" s="64"/>
      <c r="H91" s="64"/>
      <c r="I91" s="64"/>
      <c r="J91" s="64"/>
    </row>
    <row r="92" spans="2:10" x14ac:dyDescent="0.35">
      <c r="B92" s="64"/>
      <c r="C92" s="64"/>
      <c r="D92" s="64"/>
      <c r="E92" s="64"/>
      <c r="G92" s="64"/>
      <c r="H92" s="64"/>
      <c r="I92" s="64"/>
      <c r="J92" s="64"/>
    </row>
    <row r="93" spans="2:10" x14ac:dyDescent="0.35">
      <c r="B93" s="64"/>
      <c r="C93" s="64"/>
      <c r="D93" s="64"/>
      <c r="E93" s="64"/>
      <c r="G93" s="64"/>
      <c r="H93" s="64"/>
      <c r="I93" s="64"/>
      <c r="J93" s="64"/>
    </row>
    <row r="94" spans="2:10" x14ac:dyDescent="0.35">
      <c r="B94" s="64"/>
      <c r="C94" s="64"/>
      <c r="D94" s="64"/>
      <c r="E94" s="64"/>
      <c r="G94" s="64"/>
      <c r="H94" s="64"/>
      <c r="I94" s="64"/>
      <c r="J94" s="64"/>
    </row>
    <row r="95" spans="2:10" x14ac:dyDescent="0.35">
      <c r="B95" s="64"/>
      <c r="C95" s="64"/>
      <c r="D95" s="64"/>
      <c r="E95" s="64"/>
      <c r="G95" s="64"/>
      <c r="H95" s="64"/>
      <c r="I95" s="64"/>
      <c r="J95" s="64"/>
    </row>
    <row r="96" spans="2:10" x14ac:dyDescent="0.35">
      <c r="B96" s="64"/>
      <c r="C96" s="64"/>
      <c r="D96" s="64"/>
      <c r="E96" s="64"/>
      <c r="G96" s="64"/>
      <c r="H96" s="64"/>
      <c r="I96" s="64"/>
      <c r="J96" s="64"/>
    </row>
    <row r="97" spans="2:10" x14ac:dyDescent="0.35">
      <c r="B97" s="64"/>
      <c r="C97" s="64"/>
      <c r="D97" s="64"/>
      <c r="E97" s="64"/>
      <c r="G97" s="64"/>
      <c r="H97" s="64"/>
      <c r="I97" s="64"/>
      <c r="J97" s="64"/>
    </row>
    <row r="98" spans="2:10" x14ac:dyDescent="0.35">
      <c r="B98" s="64"/>
      <c r="C98" s="64"/>
      <c r="D98" s="64"/>
      <c r="E98" s="64"/>
      <c r="G98" s="64"/>
      <c r="H98" s="64"/>
      <c r="I98" s="64"/>
      <c r="J98" s="64"/>
    </row>
    <row r="99" spans="2:10" x14ac:dyDescent="0.35">
      <c r="B99" s="64"/>
      <c r="C99" s="64"/>
      <c r="D99" s="64"/>
      <c r="E99" s="64"/>
      <c r="G99" s="64"/>
      <c r="H99" s="64"/>
      <c r="I99" s="64"/>
      <c r="J99" s="64"/>
    </row>
    <row r="100" spans="2:10" x14ac:dyDescent="0.35">
      <c r="B100" s="64"/>
      <c r="C100" s="64"/>
      <c r="D100" s="64"/>
      <c r="E100" s="64"/>
      <c r="G100" s="64"/>
      <c r="H100" s="64"/>
      <c r="I100" s="64"/>
      <c r="J100" s="64"/>
    </row>
    <row r="101" spans="2:10" x14ac:dyDescent="0.35">
      <c r="B101" s="64"/>
      <c r="C101" s="64"/>
      <c r="D101" s="64"/>
      <c r="E101" s="64"/>
      <c r="G101" s="64"/>
      <c r="H101" s="64"/>
      <c r="I101" s="64"/>
      <c r="J101" s="64"/>
    </row>
    <row r="102" spans="2:10" x14ac:dyDescent="0.35">
      <c r="B102" s="64"/>
      <c r="C102" s="64"/>
      <c r="D102" s="64"/>
      <c r="E102" s="64"/>
      <c r="G102" s="64"/>
      <c r="H102" s="64"/>
      <c r="I102" s="64"/>
      <c r="J102" s="64"/>
    </row>
    <row r="103" spans="2:10" x14ac:dyDescent="0.35">
      <c r="B103" s="64"/>
      <c r="C103" s="64"/>
      <c r="D103" s="64"/>
      <c r="E103" s="64"/>
      <c r="G103" s="64"/>
      <c r="H103" s="64"/>
      <c r="I103" s="64"/>
      <c r="J103" s="64"/>
    </row>
    <row r="104" spans="2:10" x14ac:dyDescent="0.35">
      <c r="B104" s="64"/>
      <c r="C104" s="64"/>
      <c r="D104" s="64"/>
      <c r="E104" s="64"/>
      <c r="G104" s="64"/>
      <c r="H104" s="64"/>
      <c r="I104" s="64"/>
      <c r="J104" s="64"/>
    </row>
    <row r="105" spans="2:10" x14ac:dyDescent="0.35">
      <c r="B105" s="64"/>
      <c r="C105" s="64"/>
      <c r="D105" s="64"/>
      <c r="E105" s="64"/>
      <c r="G105" s="64"/>
      <c r="H105" s="64"/>
      <c r="I105" s="64"/>
      <c r="J105" s="64"/>
    </row>
    <row r="106" spans="2:10" x14ac:dyDescent="0.35">
      <c r="B106" s="64"/>
      <c r="C106" s="64"/>
      <c r="D106" s="64"/>
      <c r="E106" s="64"/>
      <c r="G106" s="64"/>
      <c r="H106" s="64"/>
      <c r="I106" s="64"/>
      <c r="J106" s="64"/>
    </row>
    <row r="107" spans="2:10" x14ac:dyDescent="0.35">
      <c r="B107" s="64"/>
      <c r="C107" s="64"/>
      <c r="D107" s="64"/>
      <c r="E107" s="64"/>
      <c r="G107" s="64"/>
      <c r="H107" s="64"/>
      <c r="I107" s="64"/>
      <c r="J107" s="64"/>
    </row>
    <row r="108" spans="2:10" x14ac:dyDescent="0.35">
      <c r="B108" s="64"/>
      <c r="C108" s="64"/>
      <c r="D108" s="64"/>
      <c r="E108" s="64"/>
      <c r="G108" s="64"/>
      <c r="H108" s="64"/>
      <c r="I108" s="64"/>
      <c r="J108" s="64"/>
    </row>
    <row r="109" spans="2:10" x14ac:dyDescent="0.35">
      <c r="B109" s="64"/>
      <c r="C109" s="64"/>
      <c r="D109" s="64"/>
      <c r="E109" s="64"/>
      <c r="G109" s="64"/>
      <c r="H109" s="64"/>
      <c r="I109" s="64"/>
      <c r="J109" s="64"/>
    </row>
    <row r="110" spans="2:10" x14ac:dyDescent="0.35">
      <c r="B110" s="64"/>
      <c r="C110" s="64"/>
      <c r="D110" s="64"/>
      <c r="E110" s="64"/>
      <c r="G110" s="64"/>
      <c r="H110" s="64"/>
      <c r="I110" s="64"/>
      <c r="J110" s="64"/>
    </row>
    <row r="111" spans="2:10" x14ac:dyDescent="0.35">
      <c r="B111" s="64"/>
      <c r="C111" s="64"/>
      <c r="D111" s="64"/>
      <c r="E111" s="64"/>
      <c r="G111" s="64"/>
      <c r="H111" s="64"/>
      <c r="I111" s="64"/>
      <c r="J111" s="64"/>
    </row>
    <row r="112" spans="2:10" x14ac:dyDescent="0.35">
      <c r="B112" s="64"/>
      <c r="C112" s="64"/>
      <c r="D112" s="64"/>
      <c r="E112" s="64"/>
      <c r="G112" s="64"/>
      <c r="H112" s="64"/>
      <c r="I112" s="64"/>
      <c r="J112" s="64"/>
    </row>
    <row r="113" spans="2:10" x14ac:dyDescent="0.35">
      <c r="B113" s="64"/>
      <c r="C113" s="64"/>
      <c r="D113" s="64"/>
      <c r="E113" s="64"/>
      <c r="G113" s="64"/>
      <c r="H113" s="64"/>
      <c r="I113" s="64"/>
      <c r="J113" s="64"/>
    </row>
    <row r="114" spans="2:10" x14ac:dyDescent="0.35">
      <c r="B114" s="64"/>
      <c r="C114" s="64"/>
      <c r="D114" s="64"/>
      <c r="E114" s="64"/>
      <c r="G114" s="64"/>
      <c r="H114" s="64"/>
      <c r="I114" s="64"/>
      <c r="J114" s="64"/>
    </row>
    <row r="115" spans="2:10" x14ac:dyDescent="0.35">
      <c r="B115" s="64"/>
      <c r="C115" s="64"/>
      <c r="D115" s="64"/>
      <c r="E115" s="64"/>
      <c r="G115" s="64"/>
      <c r="H115" s="64"/>
      <c r="I115" s="64"/>
      <c r="J115" s="64"/>
    </row>
    <row r="116" spans="2:10" x14ac:dyDescent="0.35">
      <c r="B116" s="64"/>
      <c r="C116" s="64"/>
      <c r="D116" s="64"/>
      <c r="E116" s="64"/>
      <c r="G116" s="64"/>
      <c r="H116" s="64"/>
      <c r="I116" s="64"/>
      <c r="J116" s="64"/>
    </row>
    <row r="117" spans="2:10" x14ac:dyDescent="0.35">
      <c r="B117" s="64"/>
      <c r="C117" s="64"/>
      <c r="D117" s="64"/>
      <c r="E117" s="64"/>
      <c r="G117" s="64"/>
      <c r="H117" s="64"/>
      <c r="I117" s="64"/>
      <c r="J117" s="64"/>
    </row>
    <row r="118" spans="2:10" x14ac:dyDescent="0.35">
      <c r="B118" s="64"/>
      <c r="C118" s="64"/>
      <c r="D118" s="64"/>
      <c r="E118" s="64"/>
      <c r="G118" s="64"/>
      <c r="H118" s="64"/>
      <c r="I118" s="64"/>
      <c r="J118" s="64"/>
    </row>
    <row r="119" spans="2:10" x14ac:dyDescent="0.35">
      <c r="B119" s="64"/>
      <c r="C119" s="64"/>
      <c r="D119" s="64"/>
      <c r="E119" s="64"/>
      <c r="G119" s="64"/>
      <c r="H119" s="64"/>
      <c r="I119" s="64"/>
      <c r="J119" s="64"/>
    </row>
    <row r="120" spans="2:10" x14ac:dyDescent="0.35">
      <c r="B120" s="64"/>
      <c r="C120" s="64"/>
      <c r="D120" s="64"/>
      <c r="E120" s="64"/>
      <c r="G120" s="64"/>
      <c r="H120" s="64"/>
      <c r="I120" s="64"/>
      <c r="J120" s="64"/>
    </row>
    <row r="121" spans="2:10" x14ac:dyDescent="0.35">
      <c r="B121" s="64"/>
      <c r="C121" s="64"/>
      <c r="D121" s="64"/>
      <c r="E121" s="64"/>
      <c r="G121" s="64"/>
      <c r="H121" s="64"/>
      <c r="I121" s="64"/>
      <c r="J121" s="64"/>
    </row>
    <row r="122" spans="2:10" x14ac:dyDescent="0.35">
      <c r="B122" s="64"/>
      <c r="C122" s="64"/>
      <c r="D122" s="64"/>
      <c r="E122" s="64"/>
      <c r="G122" s="64"/>
      <c r="H122" s="64"/>
      <c r="I122" s="64"/>
      <c r="J122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159" priority="25" operator="notEqual">
      <formula>MAX($E$9:$E$23)</formula>
    </cfRule>
  </conditionalFormatting>
  <conditionalFormatting sqref="C38">
    <cfRule type="uniqueValues" dxfId="158" priority="23"/>
  </conditionalFormatting>
  <conditionalFormatting sqref="C39">
    <cfRule type="uniqueValues" dxfId="157" priority="22"/>
  </conditionalFormatting>
  <conditionalFormatting sqref="C40">
    <cfRule type="uniqueValues" dxfId="156" priority="21"/>
  </conditionalFormatting>
  <conditionalFormatting sqref="C28:D37 D38:D40 C41:D122">
    <cfRule type="cellIs" dxfId="155" priority="24" operator="greaterThan">
      <formula>$C$3</formula>
    </cfRule>
  </conditionalFormatting>
  <conditionalFormatting sqref="G28:G46">
    <cfRule type="uniqueValues" dxfId="154" priority="12"/>
  </conditionalFormatting>
  <conditionalFormatting sqref="G47:G65">
    <cfRule type="uniqueValues" dxfId="153" priority="8"/>
  </conditionalFormatting>
  <conditionalFormatting sqref="G66:G84">
    <cfRule type="uniqueValues" dxfId="152" priority="4"/>
  </conditionalFormatting>
  <conditionalFormatting sqref="G85:G103">
    <cfRule type="uniqueValues" dxfId="151" priority="20"/>
  </conditionalFormatting>
  <conditionalFormatting sqref="G104:G122">
    <cfRule type="uniqueValues" dxfId="150" priority="16"/>
  </conditionalFormatting>
  <conditionalFormatting sqref="H28:I122">
    <cfRule type="cellIs" dxfId="149" priority="1" operator="greaterThan">
      <formula>$C$3</formula>
    </cfRule>
  </conditionalFormatting>
  <dataValidations count="1">
    <dataValidation type="list" allowBlank="1" showInputMessage="1" showErrorMessage="1" sqref="Z9:Z23 U9:U23 K9:K23 P9:P23 F9:F23" xr:uid="{00000000-0002-0000-04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6"/>
  <sheetViews>
    <sheetView zoomScale="85" zoomScaleNormal="85" workbookViewId="0">
      <selection activeCell="I40" sqref="I40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139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29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5.0000000000000001E-4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196"/>
      <c r="G7" s="186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3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1</v>
      </c>
      <c r="F9" s="45" t="s">
        <v>168</v>
      </c>
      <c r="G9" s="39" t="s">
        <v>202</v>
      </c>
      <c r="H9" s="64">
        <v>4</v>
      </c>
      <c r="I9" s="64">
        <v>0</v>
      </c>
      <c r="J9" s="64">
        <v>200</v>
      </c>
      <c r="K9" s="16" t="s">
        <v>69</v>
      </c>
      <c r="L9" s="39" t="s">
        <v>203</v>
      </c>
      <c r="M9" s="64">
        <v>4</v>
      </c>
      <c r="N9" s="64">
        <v>0</v>
      </c>
      <c r="O9" s="64">
        <v>200</v>
      </c>
      <c r="P9" s="45" t="s">
        <v>162</v>
      </c>
      <c r="Q9" s="39" t="s">
        <v>204</v>
      </c>
      <c r="R9" s="64">
        <v>4</v>
      </c>
      <c r="S9" s="64">
        <v>0</v>
      </c>
      <c r="T9" s="64">
        <v>200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4</v>
      </c>
      <c r="E10" s="64">
        <v>5</v>
      </c>
      <c r="F10" s="45" t="s">
        <v>168</v>
      </c>
      <c r="G10" s="39" t="s">
        <v>202</v>
      </c>
      <c r="H10" s="64">
        <v>4</v>
      </c>
      <c r="I10" s="64">
        <v>0</v>
      </c>
      <c r="J10" s="64">
        <v>200</v>
      </c>
      <c r="K10" s="16" t="s">
        <v>69</v>
      </c>
      <c r="L10" s="39" t="s">
        <v>203</v>
      </c>
      <c r="M10" s="64">
        <v>4</v>
      </c>
      <c r="N10" s="64">
        <v>0</v>
      </c>
      <c r="O10" s="64">
        <v>200</v>
      </c>
      <c r="P10" s="45" t="s">
        <v>162</v>
      </c>
      <c r="Q10" s="39" t="s">
        <v>204</v>
      </c>
      <c r="R10" s="64">
        <v>4</v>
      </c>
      <c r="S10" s="64">
        <v>0</v>
      </c>
      <c r="T10" s="64">
        <v>200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8</v>
      </c>
      <c r="E11" s="64">
        <v>9</v>
      </c>
      <c r="F11" s="45" t="s">
        <v>168</v>
      </c>
      <c r="G11" s="39" t="s">
        <v>202</v>
      </c>
      <c r="H11" s="64">
        <v>4</v>
      </c>
      <c r="I11" s="64">
        <v>0</v>
      </c>
      <c r="J11" s="64">
        <v>200</v>
      </c>
      <c r="K11" s="16" t="s">
        <v>69</v>
      </c>
      <c r="L11" s="39" t="s">
        <v>203</v>
      </c>
      <c r="M11" s="64">
        <v>4</v>
      </c>
      <c r="N11" s="64">
        <v>0</v>
      </c>
      <c r="O11" s="64">
        <v>200</v>
      </c>
      <c r="P11" s="45" t="s">
        <v>162</v>
      </c>
      <c r="Q11" s="39" t="s">
        <v>204</v>
      </c>
      <c r="R11" s="64">
        <v>4</v>
      </c>
      <c r="S11" s="64">
        <v>0</v>
      </c>
      <c r="T11" s="64">
        <v>200</v>
      </c>
      <c r="U11" s="45" t="s">
        <v>178</v>
      </c>
      <c r="V11" s="39"/>
      <c r="W11" s="64"/>
      <c r="X11" s="64"/>
      <c r="Y11" s="64"/>
      <c r="Z11" s="16"/>
    </row>
    <row r="12" spans="1:26" x14ac:dyDescent="0.35">
      <c r="A12" s="43">
        <v>4</v>
      </c>
      <c r="B12" s="62" t="s">
        <v>31</v>
      </c>
      <c r="C12" s="64">
        <v>10</v>
      </c>
      <c r="D12" s="64">
        <v>12.3</v>
      </c>
      <c r="E12" s="64">
        <v>13.3</v>
      </c>
      <c r="F12" s="45" t="s">
        <v>205</v>
      </c>
      <c r="G12" s="39" t="s">
        <v>202</v>
      </c>
      <c r="H12" s="64">
        <v>5</v>
      </c>
      <c r="I12" s="64">
        <v>0</v>
      </c>
      <c r="J12" s="64">
        <v>50</v>
      </c>
      <c r="K12" s="16" t="s">
        <v>69</v>
      </c>
      <c r="L12" s="39" t="s">
        <v>203</v>
      </c>
      <c r="M12" s="64">
        <v>5</v>
      </c>
      <c r="N12" s="64">
        <v>0</v>
      </c>
      <c r="O12" s="64">
        <v>50</v>
      </c>
      <c r="P12" s="45" t="s">
        <v>162</v>
      </c>
      <c r="Q12" s="39" t="s">
        <v>204</v>
      </c>
      <c r="R12" s="64">
        <v>5</v>
      </c>
      <c r="S12" s="64">
        <v>0</v>
      </c>
      <c r="T12" s="64">
        <v>50</v>
      </c>
      <c r="U12" s="45" t="s">
        <v>178</v>
      </c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16</v>
      </c>
      <c r="E13" s="64">
        <v>17</v>
      </c>
      <c r="F13" s="45" t="s">
        <v>168</v>
      </c>
      <c r="G13" s="39" t="s">
        <v>202</v>
      </c>
      <c r="H13" s="64">
        <v>4</v>
      </c>
      <c r="I13" s="64">
        <v>0</v>
      </c>
      <c r="J13" s="64">
        <v>200</v>
      </c>
      <c r="K13" s="16" t="s">
        <v>69</v>
      </c>
      <c r="L13" s="39" t="s">
        <v>203</v>
      </c>
      <c r="M13" s="64">
        <v>4</v>
      </c>
      <c r="N13" s="64">
        <v>0</v>
      </c>
      <c r="O13" s="64">
        <v>200</v>
      </c>
      <c r="P13" s="45" t="s">
        <v>162</v>
      </c>
      <c r="Q13" s="39" t="s">
        <v>204</v>
      </c>
      <c r="R13" s="64">
        <v>4</v>
      </c>
      <c r="S13" s="64">
        <v>0</v>
      </c>
      <c r="T13" s="64">
        <v>200</v>
      </c>
      <c r="U13" s="45" t="s">
        <v>178</v>
      </c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20</v>
      </c>
      <c r="E14" s="64">
        <v>21</v>
      </c>
      <c r="F14" s="45" t="s">
        <v>168</v>
      </c>
      <c r="G14" s="39" t="s">
        <v>202</v>
      </c>
      <c r="H14" s="64">
        <v>4</v>
      </c>
      <c r="I14" s="64">
        <v>0</v>
      </c>
      <c r="J14" s="64">
        <v>200</v>
      </c>
      <c r="K14" s="16" t="s">
        <v>69</v>
      </c>
      <c r="L14" s="39" t="s">
        <v>203</v>
      </c>
      <c r="M14" s="64">
        <v>4</v>
      </c>
      <c r="N14" s="64">
        <v>0</v>
      </c>
      <c r="O14" s="64">
        <v>200</v>
      </c>
      <c r="P14" s="45" t="s">
        <v>162</v>
      </c>
      <c r="Q14" s="39" t="s">
        <v>204</v>
      </c>
      <c r="R14" s="64">
        <v>4</v>
      </c>
      <c r="S14" s="64">
        <v>0</v>
      </c>
      <c r="T14" s="64">
        <v>200</v>
      </c>
      <c r="U14" s="45" t="s">
        <v>178</v>
      </c>
      <c r="V14" s="39"/>
      <c r="W14" s="64"/>
      <c r="X14" s="64"/>
      <c r="Y14" s="64"/>
      <c r="Z14" s="16"/>
    </row>
    <row r="15" spans="1:26" x14ac:dyDescent="0.35">
      <c r="A15" s="43">
        <v>1</v>
      </c>
      <c r="B15" s="62" t="s">
        <v>31</v>
      </c>
      <c r="C15" s="64">
        <v>10</v>
      </c>
      <c r="D15" s="64">
        <v>24</v>
      </c>
      <c r="E15" s="64">
        <v>25</v>
      </c>
      <c r="F15" s="45" t="s">
        <v>168</v>
      </c>
      <c r="G15" s="39" t="s">
        <v>202</v>
      </c>
      <c r="H15" s="64">
        <v>4</v>
      </c>
      <c r="I15" s="64">
        <v>0</v>
      </c>
      <c r="J15" s="64">
        <v>200</v>
      </c>
      <c r="K15" s="16" t="s">
        <v>69</v>
      </c>
      <c r="L15" s="39" t="s">
        <v>203</v>
      </c>
      <c r="M15" s="64">
        <v>4</v>
      </c>
      <c r="N15" s="64">
        <v>0</v>
      </c>
      <c r="O15" s="64">
        <v>200</v>
      </c>
      <c r="P15" s="45" t="s">
        <v>162</v>
      </c>
      <c r="Q15" s="39" t="s">
        <v>204</v>
      </c>
      <c r="R15" s="64">
        <v>4</v>
      </c>
      <c r="S15" s="64">
        <v>0</v>
      </c>
      <c r="T15" s="64">
        <v>200</v>
      </c>
      <c r="U15" s="45" t="s">
        <v>178</v>
      </c>
      <c r="V15" s="39"/>
      <c r="W15" s="64"/>
      <c r="X15" s="64"/>
      <c r="Y15" s="64"/>
      <c r="Z15" s="16"/>
    </row>
    <row r="16" spans="1:26" x14ac:dyDescent="0.35">
      <c r="A16" s="43">
        <v>1</v>
      </c>
      <c r="B16" s="62" t="s">
        <v>31</v>
      </c>
      <c r="C16" s="64">
        <v>10</v>
      </c>
      <c r="D16" s="64">
        <v>28</v>
      </c>
      <c r="E16" s="64">
        <v>29</v>
      </c>
      <c r="F16" s="45" t="s">
        <v>168</v>
      </c>
      <c r="G16" s="39" t="s">
        <v>202</v>
      </c>
      <c r="H16" s="64">
        <v>4</v>
      </c>
      <c r="I16" s="64">
        <v>0</v>
      </c>
      <c r="J16" s="64">
        <v>200</v>
      </c>
      <c r="K16" s="16" t="s">
        <v>69</v>
      </c>
      <c r="L16" s="39" t="s">
        <v>203</v>
      </c>
      <c r="M16" s="64">
        <v>4</v>
      </c>
      <c r="N16" s="64">
        <v>0</v>
      </c>
      <c r="O16" s="64">
        <v>200</v>
      </c>
      <c r="P16" s="45" t="s">
        <v>162</v>
      </c>
      <c r="Q16" s="39" t="s">
        <v>204</v>
      </c>
      <c r="R16" s="64">
        <v>4</v>
      </c>
      <c r="S16" s="64">
        <v>0</v>
      </c>
      <c r="T16" s="64">
        <v>200</v>
      </c>
      <c r="U16" s="45" t="s">
        <v>178</v>
      </c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39"/>
      <c r="H17" s="64"/>
      <c r="I17" s="64"/>
      <c r="J17" s="64"/>
      <c r="K17" s="16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39"/>
      <c r="H18" s="64"/>
      <c r="I18" s="64"/>
      <c r="J18" s="64"/>
      <c r="K18" s="16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39"/>
      <c r="H19" s="64"/>
      <c r="I19" s="64"/>
      <c r="J19" s="64"/>
      <c r="K19" s="16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39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39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39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0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4" spans="1:26" ht="15" thickBot="1" x14ac:dyDescent="0.4">
      <c r="V24" s="147"/>
      <c r="W24" s="148"/>
      <c r="X24" s="148"/>
      <c r="Y24" s="148"/>
      <c r="Z24" s="149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202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29</v>
      </c>
      <c r="J28" s="64">
        <v>-40</v>
      </c>
      <c r="L28" s="39" t="s">
        <v>203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0.13</v>
      </c>
      <c r="I29" s="64">
        <v>0.38</v>
      </c>
      <c r="J29" s="64">
        <v>-110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4.13</v>
      </c>
      <c r="I30" s="64">
        <v>4.38</v>
      </c>
      <c r="J30" s="64">
        <v>-110</v>
      </c>
      <c r="L30" s="39" t="s">
        <v>204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8.1300000000000008</v>
      </c>
      <c r="I31" s="64">
        <v>8.3800000000000008</v>
      </c>
      <c r="J31" s="64">
        <v>-110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12.13</v>
      </c>
      <c r="I32" s="64">
        <v>12.38</v>
      </c>
      <c r="J32" s="64">
        <v>-110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16.13</v>
      </c>
      <c r="I33" s="64">
        <v>16.38</v>
      </c>
      <c r="J33" s="64">
        <v>-110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20.13</v>
      </c>
      <c r="I34" s="64">
        <v>20.38</v>
      </c>
      <c r="J34" s="64">
        <v>-110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24.13</v>
      </c>
      <c r="I35" s="64">
        <v>24.38</v>
      </c>
      <c r="J35" s="64">
        <v>-110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164</v>
      </c>
      <c r="H36" s="64">
        <v>28.13</v>
      </c>
      <c r="I36" s="64">
        <v>28.38</v>
      </c>
      <c r="J36" s="64">
        <v>-110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164</v>
      </c>
      <c r="H37" s="64">
        <v>0.38</v>
      </c>
      <c r="I37" s="64">
        <v>0.88</v>
      </c>
      <c r="J37" s="64">
        <v>-50</v>
      </c>
      <c r="L37" s="39"/>
      <c r="M37" s="14"/>
    </row>
    <row r="38" spans="2:13" x14ac:dyDescent="0.35">
      <c r="B38" s="64"/>
      <c r="C38" s="64"/>
      <c r="D38" s="64"/>
      <c r="E38" s="64"/>
      <c r="G38" s="64" t="s">
        <v>164</v>
      </c>
      <c r="H38" s="64">
        <v>4.38</v>
      </c>
      <c r="I38" s="64">
        <v>4.88</v>
      </c>
      <c r="J38" s="64">
        <v>-40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164</v>
      </c>
      <c r="H39" s="64">
        <v>8.3800000000000008</v>
      </c>
      <c r="I39" s="64">
        <v>8.8800000000000008</v>
      </c>
      <c r="J39" s="64">
        <v>-30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164</v>
      </c>
      <c r="H40" s="64">
        <v>12.38</v>
      </c>
      <c r="I40" s="64">
        <v>12.88</v>
      </c>
      <c r="J40" s="64">
        <v>-20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164</v>
      </c>
      <c r="H41" s="64">
        <v>16.38</v>
      </c>
      <c r="I41" s="64">
        <v>16.88</v>
      </c>
      <c r="J41" s="64">
        <v>-10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164</v>
      </c>
      <c r="H42" s="64">
        <v>20.38</v>
      </c>
      <c r="I42" s="64">
        <v>20.88</v>
      </c>
      <c r="J42" s="64">
        <v>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164</v>
      </c>
      <c r="H43" s="64">
        <v>24.38</v>
      </c>
      <c r="I43" s="64">
        <v>24.88</v>
      </c>
      <c r="J43" s="64">
        <v>10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164</v>
      </c>
      <c r="H44" s="64">
        <v>28.38</v>
      </c>
      <c r="I44" s="64">
        <v>28.88</v>
      </c>
      <c r="J44" s="64">
        <v>20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166</v>
      </c>
      <c r="H45" s="64">
        <v>0</v>
      </c>
      <c r="I45" s="64">
        <v>29</v>
      </c>
      <c r="J45" s="64">
        <v>-40</v>
      </c>
    </row>
    <row r="46" spans="2:13" x14ac:dyDescent="0.35">
      <c r="B46" s="64"/>
      <c r="C46" s="64"/>
      <c r="D46" s="64"/>
      <c r="E46" s="64"/>
      <c r="G46" s="64" t="s">
        <v>166</v>
      </c>
      <c r="H46" s="64">
        <v>0.13</v>
      </c>
      <c r="I46" s="64">
        <v>0.38</v>
      </c>
      <c r="J46" s="64">
        <v>-110</v>
      </c>
    </row>
    <row r="47" spans="2:13" x14ac:dyDescent="0.35">
      <c r="B47" s="64"/>
      <c r="C47" s="64"/>
      <c r="D47" s="64"/>
      <c r="E47" s="64"/>
      <c r="G47" s="64" t="s">
        <v>166</v>
      </c>
      <c r="H47" s="64">
        <v>4.13</v>
      </c>
      <c r="I47" s="64">
        <v>4.38</v>
      </c>
      <c r="J47" s="64">
        <v>-110</v>
      </c>
    </row>
    <row r="48" spans="2:13" x14ac:dyDescent="0.35">
      <c r="B48" s="64"/>
      <c r="C48" s="64"/>
      <c r="D48" s="64"/>
      <c r="E48" s="64"/>
      <c r="G48" s="64" t="s">
        <v>166</v>
      </c>
      <c r="H48" s="64">
        <v>8.1300000000000008</v>
      </c>
      <c r="I48" s="64">
        <v>8.3800000000000008</v>
      </c>
      <c r="J48" s="64">
        <v>-110</v>
      </c>
    </row>
    <row r="49" spans="2:10" x14ac:dyDescent="0.35">
      <c r="B49" s="64"/>
      <c r="C49" s="64"/>
      <c r="D49" s="64"/>
      <c r="E49" s="64"/>
      <c r="G49" s="64" t="s">
        <v>166</v>
      </c>
      <c r="H49" s="64">
        <v>12.13</v>
      </c>
      <c r="I49" s="64">
        <v>12.38</v>
      </c>
      <c r="J49" s="64">
        <v>-110</v>
      </c>
    </row>
    <row r="50" spans="2:10" x14ac:dyDescent="0.35">
      <c r="B50" s="64"/>
      <c r="C50" s="64"/>
      <c r="D50" s="64"/>
      <c r="E50" s="64"/>
      <c r="G50" s="64" t="s">
        <v>166</v>
      </c>
      <c r="H50" s="64">
        <v>16.13</v>
      </c>
      <c r="I50" s="64">
        <v>16.38</v>
      </c>
      <c r="J50" s="64">
        <v>-110</v>
      </c>
    </row>
    <row r="51" spans="2:10" x14ac:dyDescent="0.35">
      <c r="B51" s="64"/>
      <c r="C51" s="64"/>
      <c r="D51" s="64"/>
      <c r="E51" s="64"/>
      <c r="G51" s="64" t="s">
        <v>166</v>
      </c>
      <c r="H51" s="64">
        <v>20.13</v>
      </c>
      <c r="I51" s="64">
        <v>20.38</v>
      </c>
      <c r="J51" s="64">
        <v>-110</v>
      </c>
    </row>
    <row r="52" spans="2:10" x14ac:dyDescent="0.35">
      <c r="B52" s="64"/>
      <c r="C52" s="64"/>
      <c r="D52" s="64"/>
      <c r="E52" s="64"/>
      <c r="G52" s="64" t="s">
        <v>166</v>
      </c>
      <c r="H52" s="64">
        <v>24.13</v>
      </c>
      <c r="I52" s="64">
        <v>24.38</v>
      </c>
      <c r="J52" s="64">
        <v>-110</v>
      </c>
    </row>
    <row r="53" spans="2:10" x14ac:dyDescent="0.35">
      <c r="B53" s="64"/>
      <c r="C53" s="64"/>
      <c r="D53" s="64"/>
      <c r="E53" s="64"/>
      <c r="G53" s="64" t="s">
        <v>166</v>
      </c>
      <c r="H53" s="64">
        <v>28.13</v>
      </c>
      <c r="I53" s="64">
        <v>28.38</v>
      </c>
      <c r="J53" s="64">
        <v>-110</v>
      </c>
    </row>
    <row r="54" spans="2:10" x14ac:dyDescent="0.35">
      <c r="B54" s="64"/>
      <c r="C54" s="64"/>
      <c r="D54" s="64"/>
      <c r="E54" s="64"/>
      <c r="G54" s="64" t="s">
        <v>166</v>
      </c>
      <c r="H54" s="64">
        <v>0.38</v>
      </c>
      <c r="I54" s="64">
        <v>0.88</v>
      </c>
      <c r="J54" s="64">
        <v>-50</v>
      </c>
    </row>
    <row r="55" spans="2:10" x14ac:dyDescent="0.35">
      <c r="B55" s="64"/>
      <c r="C55" s="64"/>
      <c r="D55" s="64"/>
      <c r="E55" s="64"/>
      <c r="G55" s="64" t="s">
        <v>166</v>
      </c>
      <c r="H55" s="64">
        <v>4.38</v>
      </c>
      <c r="I55" s="64">
        <v>4.88</v>
      </c>
      <c r="J55" s="64">
        <v>-40</v>
      </c>
    </row>
    <row r="56" spans="2:10" x14ac:dyDescent="0.35">
      <c r="B56" s="64"/>
      <c r="C56" s="64"/>
      <c r="D56" s="64"/>
      <c r="E56" s="64"/>
      <c r="G56" s="64" t="s">
        <v>166</v>
      </c>
      <c r="H56" s="64">
        <v>8.3800000000000008</v>
      </c>
      <c r="I56" s="64">
        <v>8.8800000000000008</v>
      </c>
      <c r="J56" s="64">
        <v>-30</v>
      </c>
    </row>
    <row r="57" spans="2:10" x14ac:dyDescent="0.35">
      <c r="B57" s="64"/>
      <c r="C57" s="64"/>
      <c r="D57" s="64"/>
      <c r="E57" s="64"/>
      <c r="G57" s="64" t="s">
        <v>166</v>
      </c>
      <c r="H57" s="64">
        <v>12.38</v>
      </c>
      <c r="I57" s="64">
        <v>12.88</v>
      </c>
      <c r="J57" s="64">
        <v>-20</v>
      </c>
    </row>
    <row r="58" spans="2:10" x14ac:dyDescent="0.35">
      <c r="B58" s="64"/>
      <c r="C58" s="64"/>
      <c r="D58" s="64"/>
      <c r="E58" s="64"/>
      <c r="G58" s="64" t="s">
        <v>166</v>
      </c>
      <c r="H58" s="64">
        <v>16.38</v>
      </c>
      <c r="I58" s="64">
        <v>16.88</v>
      </c>
      <c r="J58" s="64">
        <v>-10</v>
      </c>
    </row>
    <row r="59" spans="2:10" x14ac:dyDescent="0.35">
      <c r="B59" s="64"/>
      <c r="C59" s="64"/>
      <c r="D59" s="64"/>
      <c r="E59" s="64"/>
      <c r="G59" s="64" t="s">
        <v>166</v>
      </c>
      <c r="H59" s="64">
        <v>20.38</v>
      </c>
      <c r="I59" s="64">
        <v>20.88</v>
      </c>
      <c r="J59" s="64">
        <v>0</v>
      </c>
    </row>
    <row r="60" spans="2:10" x14ac:dyDescent="0.35">
      <c r="B60" s="64"/>
      <c r="C60" s="64"/>
      <c r="D60" s="64"/>
      <c r="E60" s="64"/>
      <c r="G60" s="64" t="s">
        <v>166</v>
      </c>
      <c r="H60" s="64">
        <v>24.38</v>
      </c>
      <c r="I60" s="64">
        <v>24.88</v>
      </c>
      <c r="J60" s="64">
        <v>10</v>
      </c>
    </row>
    <row r="61" spans="2:10" x14ac:dyDescent="0.35">
      <c r="B61" s="64"/>
      <c r="C61" s="64"/>
      <c r="D61" s="64"/>
      <c r="E61" s="64"/>
      <c r="G61" s="64" t="s">
        <v>166</v>
      </c>
      <c r="H61" s="64">
        <v>28.38</v>
      </c>
      <c r="I61" s="64">
        <v>28.88</v>
      </c>
      <c r="J61" s="64">
        <v>20</v>
      </c>
    </row>
    <row r="62" spans="2:10" x14ac:dyDescent="0.35">
      <c r="B62" s="64"/>
      <c r="C62" s="64"/>
      <c r="D62" s="64"/>
      <c r="E62" s="64"/>
      <c r="G62" s="64" t="s">
        <v>160</v>
      </c>
      <c r="H62" s="64">
        <v>0</v>
      </c>
      <c r="I62" s="64">
        <v>29</v>
      </c>
      <c r="J62" s="64">
        <v>-40</v>
      </c>
    </row>
    <row r="63" spans="2:10" x14ac:dyDescent="0.35">
      <c r="B63" s="64"/>
      <c r="C63" s="64"/>
      <c r="D63" s="64"/>
      <c r="E63" s="64"/>
      <c r="G63" s="64" t="s">
        <v>160</v>
      </c>
      <c r="H63" s="64">
        <v>0.13</v>
      </c>
      <c r="I63" s="64">
        <v>0.38</v>
      </c>
      <c r="J63" s="64">
        <v>-110</v>
      </c>
    </row>
    <row r="64" spans="2:10" x14ac:dyDescent="0.35">
      <c r="B64" s="64"/>
      <c r="C64" s="64"/>
      <c r="D64" s="64"/>
      <c r="E64" s="64"/>
      <c r="G64" s="64" t="s">
        <v>160</v>
      </c>
      <c r="H64" s="64">
        <v>4.13</v>
      </c>
      <c r="I64" s="64">
        <v>4.38</v>
      </c>
      <c r="J64" s="64">
        <v>-110</v>
      </c>
    </row>
    <row r="65" spans="2:10" x14ac:dyDescent="0.35">
      <c r="B65" s="64"/>
      <c r="C65" s="64"/>
      <c r="D65" s="64"/>
      <c r="E65" s="64"/>
      <c r="G65" s="64" t="s">
        <v>160</v>
      </c>
      <c r="H65" s="64">
        <v>8.1300000000000008</v>
      </c>
      <c r="I65" s="64">
        <v>8.3800000000000008</v>
      </c>
      <c r="J65" s="64">
        <v>-110</v>
      </c>
    </row>
    <row r="66" spans="2:10" x14ac:dyDescent="0.35">
      <c r="B66" s="64"/>
      <c r="C66" s="64"/>
      <c r="D66" s="64"/>
      <c r="E66" s="64"/>
      <c r="G66" s="64" t="s">
        <v>160</v>
      </c>
      <c r="H66" s="64">
        <v>12.13</v>
      </c>
      <c r="I66" s="64">
        <v>12.38</v>
      </c>
      <c r="J66" s="64">
        <v>-110</v>
      </c>
    </row>
    <row r="67" spans="2:10" x14ac:dyDescent="0.35">
      <c r="B67" s="64"/>
      <c r="C67" s="64"/>
      <c r="D67" s="64"/>
      <c r="E67" s="64"/>
      <c r="G67" s="64" t="s">
        <v>160</v>
      </c>
      <c r="H67" s="64">
        <v>16.13</v>
      </c>
      <c r="I67" s="64">
        <v>16.38</v>
      </c>
      <c r="J67" s="64">
        <v>-110</v>
      </c>
    </row>
    <row r="68" spans="2:10" x14ac:dyDescent="0.35">
      <c r="B68" s="64"/>
      <c r="C68" s="64"/>
      <c r="D68" s="64"/>
      <c r="E68" s="64"/>
      <c r="G68" s="64" t="s">
        <v>160</v>
      </c>
      <c r="H68" s="64">
        <v>20.13</v>
      </c>
      <c r="I68" s="64">
        <v>20.38</v>
      </c>
      <c r="J68" s="64">
        <v>-110</v>
      </c>
    </row>
    <row r="69" spans="2:10" x14ac:dyDescent="0.35">
      <c r="B69" s="64"/>
      <c r="C69" s="64"/>
      <c r="D69" s="64"/>
      <c r="E69" s="64"/>
      <c r="G69" s="64" t="s">
        <v>160</v>
      </c>
      <c r="H69" s="64">
        <v>24.13</v>
      </c>
      <c r="I69" s="64">
        <v>24.38</v>
      </c>
      <c r="J69" s="64">
        <v>-110</v>
      </c>
    </row>
    <row r="70" spans="2:10" x14ac:dyDescent="0.35">
      <c r="B70" s="64"/>
      <c r="C70" s="64"/>
      <c r="D70" s="64"/>
      <c r="E70" s="64"/>
      <c r="G70" s="64" t="s">
        <v>160</v>
      </c>
      <c r="H70" s="64">
        <v>28.13</v>
      </c>
      <c r="I70" s="64">
        <v>28.38</v>
      </c>
      <c r="J70" s="64">
        <v>-110</v>
      </c>
    </row>
    <row r="71" spans="2:10" x14ac:dyDescent="0.35">
      <c r="B71" s="64"/>
      <c r="C71" s="64"/>
      <c r="D71" s="64"/>
      <c r="E71" s="64"/>
      <c r="G71" s="64" t="s">
        <v>160</v>
      </c>
      <c r="H71" s="64">
        <v>0.38</v>
      </c>
      <c r="I71" s="64">
        <v>0.88</v>
      </c>
      <c r="J71" s="64">
        <v>-50</v>
      </c>
    </row>
    <row r="72" spans="2:10" x14ac:dyDescent="0.35">
      <c r="B72" s="64"/>
      <c r="C72" s="64"/>
      <c r="D72" s="64"/>
      <c r="E72" s="64"/>
      <c r="G72" s="64" t="s">
        <v>160</v>
      </c>
      <c r="H72" s="64">
        <v>4.38</v>
      </c>
      <c r="I72" s="64">
        <v>4.88</v>
      </c>
      <c r="J72" s="64">
        <v>-40</v>
      </c>
    </row>
    <row r="73" spans="2:10" x14ac:dyDescent="0.35">
      <c r="B73" s="64"/>
      <c r="C73" s="64"/>
      <c r="D73" s="64"/>
      <c r="E73" s="64"/>
      <c r="G73" s="64" t="s">
        <v>160</v>
      </c>
      <c r="H73" s="64">
        <v>8.3800000000000008</v>
      </c>
      <c r="I73" s="64">
        <v>8.8800000000000008</v>
      </c>
      <c r="J73" s="64">
        <v>-30</v>
      </c>
    </row>
    <row r="74" spans="2:10" x14ac:dyDescent="0.35">
      <c r="B74" s="64"/>
      <c r="C74" s="64"/>
      <c r="D74" s="64"/>
      <c r="E74" s="64"/>
      <c r="G74" s="64" t="s">
        <v>160</v>
      </c>
      <c r="H74" s="64">
        <v>12.38</v>
      </c>
      <c r="I74" s="64">
        <v>12.88</v>
      </c>
      <c r="J74" s="64">
        <v>-20</v>
      </c>
    </row>
    <row r="75" spans="2:10" x14ac:dyDescent="0.35">
      <c r="B75" s="64"/>
      <c r="C75" s="64"/>
      <c r="D75" s="64"/>
      <c r="E75" s="64"/>
      <c r="G75" s="64" t="s">
        <v>160</v>
      </c>
      <c r="H75" s="64">
        <v>16.38</v>
      </c>
      <c r="I75" s="64">
        <v>16.88</v>
      </c>
      <c r="J75" s="64">
        <v>-10</v>
      </c>
    </row>
    <row r="76" spans="2:10" x14ac:dyDescent="0.35">
      <c r="B76" s="64"/>
      <c r="C76" s="64"/>
      <c r="D76" s="64"/>
      <c r="E76" s="64"/>
      <c r="G76" s="64" t="s">
        <v>160</v>
      </c>
      <c r="H76" s="64">
        <v>20.38</v>
      </c>
      <c r="I76" s="64">
        <v>20.88</v>
      </c>
      <c r="J76" s="64">
        <v>0</v>
      </c>
    </row>
    <row r="77" spans="2:10" x14ac:dyDescent="0.35">
      <c r="B77" s="64"/>
      <c r="C77" s="64"/>
      <c r="D77" s="64"/>
      <c r="E77" s="64"/>
      <c r="G77" s="64" t="s">
        <v>160</v>
      </c>
      <c r="H77" s="64">
        <v>24.38</v>
      </c>
      <c r="I77" s="64">
        <v>24.88</v>
      </c>
      <c r="J77" s="64">
        <v>10</v>
      </c>
    </row>
    <row r="78" spans="2:10" x14ac:dyDescent="0.35">
      <c r="B78" s="64"/>
      <c r="C78" s="64"/>
      <c r="D78" s="64"/>
      <c r="E78" s="64"/>
      <c r="G78" s="64" t="s">
        <v>160</v>
      </c>
      <c r="H78" s="64">
        <v>28.38</v>
      </c>
      <c r="I78" s="64">
        <v>28.88</v>
      </c>
      <c r="J78" s="64">
        <v>20</v>
      </c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  <row r="88" spans="2:10" x14ac:dyDescent="0.35">
      <c r="B88" s="64"/>
      <c r="C88" s="64"/>
      <c r="D88" s="64"/>
      <c r="E88" s="64"/>
      <c r="G88" s="64"/>
      <c r="H88" s="64"/>
      <c r="I88" s="64"/>
      <c r="J88" s="64"/>
    </row>
    <row r="89" spans="2:10" x14ac:dyDescent="0.35">
      <c r="B89" s="64"/>
      <c r="C89" s="64"/>
      <c r="D89" s="64"/>
      <c r="E89" s="64"/>
      <c r="G89" s="64"/>
      <c r="H89" s="64"/>
      <c r="I89" s="64"/>
      <c r="J89" s="64"/>
    </row>
    <row r="90" spans="2:10" x14ac:dyDescent="0.35">
      <c r="B90" s="64"/>
      <c r="C90" s="64"/>
      <c r="D90" s="64"/>
      <c r="E90" s="64"/>
      <c r="G90" s="64"/>
      <c r="H90" s="64"/>
      <c r="I90" s="64"/>
      <c r="J90" s="64"/>
    </row>
    <row r="91" spans="2:10" x14ac:dyDescent="0.35">
      <c r="B91" s="64"/>
      <c r="C91" s="64"/>
      <c r="D91" s="64"/>
      <c r="E91" s="64"/>
      <c r="G91" s="64"/>
      <c r="H91" s="64"/>
      <c r="I91" s="64"/>
      <c r="J91" s="64"/>
    </row>
    <row r="92" spans="2:10" x14ac:dyDescent="0.35">
      <c r="B92" s="64"/>
      <c r="C92" s="64"/>
      <c r="D92" s="64"/>
      <c r="E92" s="64"/>
      <c r="G92" s="64"/>
      <c r="H92" s="64"/>
      <c r="I92" s="64"/>
      <c r="J92" s="64"/>
    </row>
    <row r="93" spans="2:10" x14ac:dyDescent="0.35">
      <c r="B93" s="64"/>
      <c r="C93" s="64"/>
      <c r="D93" s="64"/>
      <c r="E93" s="64"/>
      <c r="G93" s="64"/>
      <c r="H93" s="64"/>
      <c r="I93" s="64"/>
      <c r="J93" s="64"/>
    </row>
    <row r="94" spans="2:10" x14ac:dyDescent="0.35">
      <c r="B94" s="64"/>
      <c r="C94" s="64"/>
      <c r="D94" s="64"/>
      <c r="E94" s="64"/>
      <c r="G94" s="64"/>
      <c r="H94" s="64"/>
      <c r="I94" s="64"/>
      <c r="J94" s="64"/>
    </row>
    <row r="95" spans="2:10" x14ac:dyDescent="0.35">
      <c r="B95" s="64"/>
      <c r="C95" s="64"/>
      <c r="D95" s="64"/>
      <c r="E95" s="64"/>
      <c r="G95" s="64"/>
      <c r="H95" s="64"/>
      <c r="I95" s="64"/>
      <c r="J95" s="64"/>
    </row>
    <row r="96" spans="2:10" x14ac:dyDescent="0.35">
      <c r="B96" s="64"/>
      <c r="C96" s="64"/>
      <c r="D96" s="64"/>
      <c r="E96" s="64"/>
      <c r="G96" s="64"/>
      <c r="H96" s="64"/>
      <c r="I96" s="64"/>
      <c r="J96" s="64"/>
    </row>
    <row r="97" spans="2:10" x14ac:dyDescent="0.35">
      <c r="B97" s="64"/>
      <c r="C97" s="64"/>
      <c r="D97" s="64"/>
      <c r="E97" s="64"/>
      <c r="G97" s="64"/>
      <c r="H97" s="64"/>
      <c r="I97" s="64"/>
      <c r="J97" s="64"/>
    </row>
    <row r="98" spans="2:10" x14ac:dyDescent="0.35">
      <c r="B98" s="64"/>
      <c r="C98" s="64"/>
      <c r="D98" s="64"/>
      <c r="E98" s="64"/>
      <c r="G98" s="64"/>
      <c r="H98" s="64"/>
      <c r="I98" s="64"/>
      <c r="J98" s="64"/>
    </row>
    <row r="99" spans="2:10" x14ac:dyDescent="0.35">
      <c r="B99" s="64"/>
      <c r="C99" s="64"/>
      <c r="D99" s="64"/>
      <c r="E99" s="64"/>
      <c r="G99" s="64"/>
      <c r="H99" s="64"/>
      <c r="I99" s="64"/>
      <c r="J99" s="64"/>
    </row>
    <row r="100" spans="2:10" x14ac:dyDescent="0.35">
      <c r="B100" s="64"/>
      <c r="C100" s="64"/>
      <c r="D100" s="64"/>
      <c r="E100" s="64"/>
      <c r="G100" s="64"/>
      <c r="H100" s="64"/>
      <c r="I100" s="64"/>
      <c r="J100" s="64"/>
    </row>
    <row r="101" spans="2:10" x14ac:dyDescent="0.35">
      <c r="B101" s="64"/>
      <c r="C101" s="64"/>
      <c r="D101" s="64"/>
      <c r="E101" s="64"/>
      <c r="G101" s="64"/>
      <c r="H101" s="64"/>
      <c r="I101" s="64"/>
      <c r="J101" s="64"/>
    </row>
    <row r="102" spans="2:10" x14ac:dyDescent="0.35">
      <c r="B102" s="64"/>
      <c r="C102" s="64"/>
      <c r="D102" s="64"/>
      <c r="E102" s="64"/>
      <c r="G102" s="64"/>
      <c r="H102" s="64"/>
      <c r="I102" s="64"/>
      <c r="J102" s="64"/>
    </row>
    <row r="103" spans="2:10" x14ac:dyDescent="0.35">
      <c r="B103" s="64"/>
      <c r="C103" s="64"/>
      <c r="D103" s="64"/>
      <c r="E103" s="64"/>
      <c r="G103" s="64"/>
      <c r="H103" s="64"/>
      <c r="I103" s="64"/>
      <c r="J103" s="64"/>
    </row>
    <row r="104" spans="2:10" x14ac:dyDescent="0.35">
      <c r="B104" s="64"/>
      <c r="C104" s="64"/>
      <c r="D104" s="64"/>
      <c r="E104" s="64"/>
      <c r="G104" s="64"/>
      <c r="H104" s="64"/>
      <c r="I104" s="64"/>
      <c r="J104" s="64"/>
    </row>
    <row r="105" spans="2:10" x14ac:dyDescent="0.35">
      <c r="B105" s="64"/>
      <c r="C105" s="64"/>
      <c r="D105" s="64"/>
      <c r="E105" s="64"/>
      <c r="G105" s="64"/>
      <c r="H105" s="64"/>
      <c r="I105" s="64"/>
      <c r="J105" s="64"/>
    </row>
    <row r="106" spans="2:10" x14ac:dyDescent="0.35">
      <c r="B106" s="64"/>
      <c r="C106" s="64"/>
      <c r="D106" s="64"/>
      <c r="E106" s="64"/>
      <c r="G106" s="64"/>
      <c r="H106" s="64"/>
      <c r="I106" s="64"/>
      <c r="J106" s="64"/>
    </row>
    <row r="107" spans="2:10" x14ac:dyDescent="0.35">
      <c r="B107" s="64"/>
      <c r="C107" s="64"/>
      <c r="D107" s="64"/>
      <c r="E107" s="64"/>
      <c r="G107" s="64"/>
      <c r="H107" s="64"/>
      <c r="I107" s="64"/>
      <c r="J107" s="64"/>
    </row>
    <row r="108" spans="2:10" x14ac:dyDescent="0.35">
      <c r="B108" s="64"/>
      <c r="C108" s="64"/>
      <c r="D108" s="64"/>
      <c r="E108" s="64"/>
      <c r="G108" s="64"/>
      <c r="H108" s="64"/>
      <c r="I108" s="64"/>
      <c r="J108" s="64"/>
    </row>
    <row r="109" spans="2:10" x14ac:dyDescent="0.35">
      <c r="B109" s="64"/>
      <c r="C109" s="64"/>
      <c r="D109" s="64"/>
      <c r="E109" s="64"/>
      <c r="G109" s="64"/>
      <c r="H109" s="64"/>
      <c r="I109" s="64"/>
      <c r="J109" s="64"/>
    </row>
    <row r="110" spans="2:10" x14ac:dyDescent="0.35">
      <c r="B110" s="64"/>
      <c r="C110" s="64"/>
      <c r="D110" s="64"/>
      <c r="E110" s="64"/>
      <c r="G110" s="64"/>
      <c r="H110" s="64"/>
      <c r="I110" s="64"/>
      <c r="J110" s="64"/>
    </row>
    <row r="111" spans="2:10" x14ac:dyDescent="0.35">
      <c r="B111" s="64"/>
      <c r="C111" s="64"/>
      <c r="D111" s="64"/>
      <c r="E111" s="64"/>
      <c r="G111" s="64"/>
      <c r="H111" s="64"/>
      <c r="I111" s="64"/>
      <c r="J111" s="64"/>
    </row>
    <row r="112" spans="2:10" x14ac:dyDescent="0.35">
      <c r="B112" s="64"/>
      <c r="C112" s="64"/>
      <c r="D112" s="64"/>
      <c r="E112" s="64"/>
      <c r="G112" s="64"/>
      <c r="H112" s="64"/>
      <c r="I112" s="64"/>
      <c r="J112" s="64"/>
    </row>
    <row r="113" spans="2:10" x14ac:dyDescent="0.35">
      <c r="B113" s="64"/>
      <c r="C113" s="64"/>
      <c r="D113" s="64"/>
      <c r="E113" s="64"/>
      <c r="G113" s="64"/>
      <c r="H113" s="64"/>
      <c r="I113" s="64"/>
      <c r="J113" s="64"/>
    </row>
    <row r="114" spans="2:10" x14ac:dyDescent="0.35">
      <c r="B114" s="64"/>
      <c r="C114" s="64"/>
      <c r="D114" s="64"/>
      <c r="E114" s="64"/>
      <c r="G114" s="64"/>
      <c r="H114" s="64"/>
      <c r="I114" s="64"/>
      <c r="J114" s="64"/>
    </row>
    <row r="115" spans="2:10" x14ac:dyDescent="0.35">
      <c r="B115" s="64"/>
      <c r="C115" s="64"/>
      <c r="D115" s="64"/>
      <c r="E115" s="64"/>
      <c r="G115" s="64"/>
      <c r="H115" s="64"/>
      <c r="I115" s="64"/>
      <c r="J115" s="64"/>
    </row>
    <row r="116" spans="2:10" x14ac:dyDescent="0.35">
      <c r="B116" s="64"/>
      <c r="C116" s="64"/>
      <c r="D116" s="64"/>
      <c r="E116" s="64"/>
      <c r="G116" s="64"/>
      <c r="H116" s="64"/>
      <c r="I116" s="64"/>
      <c r="J116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148" priority="38" operator="notEqual">
      <formula>MAX($E$9:$E$23)</formula>
    </cfRule>
  </conditionalFormatting>
  <conditionalFormatting sqref="C38">
    <cfRule type="uniqueValues" dxfId="147" priority="36"/>
  </conditionalFormatting>
  <conditionalFormatting sqref="C39">
    <cfRule type="uniqueValues" dxfId="146" priority="35"/>
  </conditionalFormatting>
  <conditionalFormatting sqref="C40">
    <cfRule type="uniqueValues" dxfId="145" priority="34"/>
  </conditionalFormatting>
  <conditionalFormatting sqref="C28:D37 D38:D40 C41:D116">
    <cfRule type="cellIs" dxfId="144" priority="37" operator="greaterThan">
      <formula>$C$3</formula>
    </cfRule>
  </conditionalFormatting>
  <conditionalFormatting sqref="G28:G44">
    <cfRule type="uniqueValues" dxfId="143" priority="12"/>
  </conditionalFormatting>
  <conditionalFormatting sqref="G45:G61">
    <cfRule type="uniqueValues" dxfId="142" priority="7"/>
  </conditionalFormatting>
  <conditionalFormatting sqref="G62:G78">
    <cfRule type="uniqueValues" dxfId="141" priority="6"/>
  </conditionalFormatting>
  <conditionalFormatting sqref="G78">
    <cfRule type="uniqueValues" dxfId="140" priority="2"/>
  </conditionalFormatting>
  <conditionalFormatting sqref="G79:G80">
    <cfRule type="uniqueValues" dxfId="139" priority="33"/>
  </conditionalFormatting>
  <conditionalFormatting sqref="G80">
    <cfRule type="uniqueValues" dxfId="138" priority="29"/>
  </conditionalFormatting>
  <conditionalFormatting sqref="G81:G99">
    <cfRule type="uniqueValues" dxfId="137" priority="23"/>
  </conditionalFormatting>
  <conditionalFormatting sqref="G100:G116">
    <cfRule type="uniqueValues" dxfId="136" priority="22"/>
  </conditionalFormatting>
  <conditionalFormatting sqref="G116">
    <cfRule type="uniqueValues" dxfId="135" priority="18"/>
  </conditionalFormatting>
  <conditionalFormatting sqref="H28:I116">
    <cfRule type="cellIs" dxfId="134" priority="1" operator="greaterThan">
      <formula>$C$3</formula>
    </cfRule>
  </conditionalFormatting>
  <dataValidations count="1">
    <dataValidation type="list" allowBlank="1" showInputMessage="1" showErrorMessage="1" sqref="Z9:Z23 U9:U23 F9:F23 P9:P23 K9:K23" xr:uid="{00000000-0002-0000-05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7"/>
  <sheetViews>
    <sheetView topLeftCell="A4" zoomScale="70" zoomScaleNormal="70" workbookViewId="0">
      <selection activeCell="H91" sqref="H91:H92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201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181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5.0000000000000001E-4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1</v>
      </c>
      <c r="F9" s="45" t="s">
        <v>168</v>
      </c>
      <c r="G9" s="39" t="s">
        <v>198</v>
      </c>
      <c r="H9" s="64">
        <v>5</v>
      </c>
      <c r="I9" s="64">
        <v>-10</v>
      </c>
      <c r="J9" s="64">
        <v>0</v>
      </c>
      <c r="K9" s="45" t="s">
        <v>163</v>
      </c>
      <c r="L9" s="39" t="s">
        <v>199</v>
      </c>
      <c r="M9" s="64">
        <v>5</v>
      </c>
      <c r="N9" s="64">
        <v>-10</v>
      </c>
      <c r="O9" s="64">
        <v>0</v>
      </c>
      <c r="P9" s="45" t="s">
        <v>162</v>
      </c>
      <c r="Q9" s="39" t="s">
        <v>200</v>
      </c>
      <c r="R9" s="64">
        <v>5</v>
      </c>
      <c r="S9" s="64">
        <v>-10</v>
      </c>
      <c r="T9" s="64">
        <v>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30</v>
      </c>
      <c r="E10" s="64">
        <v>31</v>
      </c>
      <c r="F10" s="45" t="s">
        <v>168</v>
      </c>
      <c r="G10" s="39" t="s">
        <v>198</v>
      </c>
      <c r="H10" s="64">
        <v>5</v>
      </c>
      <c r="I10" s="64">
        <v>-10</v>
      </c>
      <c r="J10" s="64">
        <v>0</v>
      </c>
      <c r="K10" s="45" t="s">
        <v>163</v>
      </c>
      <c r="L10" s="39" t="s">
        <v>199</v>
      </c>
      <c r="M10" s="64">
        <v>5</v>
      </c>
      <c r="N10" s="64">
        <v>-10</v>
      </c>
      <c r="O10" s="64">
        <v>0</v>
      </c>
      <c r="P10" s="45" t="s">
        <v>162</v>
      </c>
      <c r="Q10" s="39" t="s">
        <v>200</v>
      </c>
      <c r="R10" s="64">
        <v>5</v>
      </c>
      <c r="S10" s="64">
        <v>-10</v>
      </c>
      <c r="T10" s="64">
        <v>0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60</v>
      </c>
      <c r="E11" s="64">
        <v>61</v>
      </c>
      <c r="F11" s="45" t="s">
        <v>168</v>
      </c>
      <c r="G11" s="39" t="s">
        <v>198</v>
      </c>
      <c r="H11" s="64">
        <v>5</v>
      </c>
      <c r="I11" s="64">
        <v>-10</v>
      </c>
      <c r="J11" s="64">
        <v>0</v>
      </c>
      <c r="K11" s="45" t="s">
        <v>163</v>
      </c>
      <c r="L11" s="39" t="s">
        <v>199</v>
      </c>
      <c r="M11" s="64">
        <v>5</v>
      </c>
      <c r="N11" s="64">
        <v>-10</v>
      </c>
      <c r="O11" s="64">
        <v>0</v>
      </c>
      <c r="P11" s="45" t="s">
        <v>162</v>
      </c>
      <c r="Q11" s="39" t="s">
        <v>200</v>
      </c>
      <c r="R11" s="64">
        <v>5</v>
      </c>
      <c r="S11" s="64">
        <v>-10</v>
      </c>
      <c r="T11" s="64">
        <v>0</v>
      </c>
      <c r="U11" s="45" t="s">
        <v>178</v>
      </c>
      <c r="V11" s="39"/>
      <c r="W11" s="64"/>
      <c r="X11" s="64"/>
      <c r="Y11" s="64"/>
      <c r="Z11" s="16"/>
    </row>
    <row r="12" spans="1:26" x14ac:dyDescent="0.35">
      <c r="A12" s="43">
        <v>1</v>
      </c>
      <c r="B12" s="62" t="s">
        <v>31</v>
      </c>
      <c r="C12" s="64">
        <v>10</v>
      </c>
      <c r="D12" s="64">
        <v>90</v>
      </c>
      <c r="E12" s="64">
        <v>91</v>
      </c>
      <c r="F12" s="45" t="s">
        <v>168</v>
      </c>
      <c r="G12" s="39" t="s">
        <v>198</v>
      </c>
      <c r="H12" s="64">
        <v>5</v>
      </c>
      <c r="I12" s="64">
        <v>-10</v>
      </c>
      <c r="J12" s="64">
        <v>0</v>
      </c>
      <c r="K12" s="45" t="s">
        <v>163</v>
      </c>
      <c r="L12" s="39" t="s">
        <v>199</v>
      </c>
      <c r="M12" s="64">
        <v>5</v>
      </c>
      <c r="N12" s="64">
        <v>-10</v>
      </c>
      <c r="O12" s="64">
        <v>0</v>
      </c>
      <c r="P12" s="45" t="s">
        <v>162</v>
      </c>
      <c r="Q12" s="39" t="s">
        <v>200</v>
      </c>
      <c r="R12" s="64">
        <v>5</v>
      </c>
      <c r="S12" s="64">
        <v>-10</v>
      </c>
      <c r="T12" s="64">
        <v>0</v>
      </c>
      <c r="U12" s="45" t="s">
        <v>178</v>
      </c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120</v>
      </c>
      <c r="E13" s="64">
        <v>121</v>
      </c>
      <c r="F13" s="45" t="s">
        <v>168</v>
      </c>
      <c r="G13" s="39" t="s">
        <v>198</v>
      </c>
      <c r="H13" s="64">
        <v>5</v>
      </c>
      <c r="I13" s="64">
        <v>-10</v>
      </c>
      <c r="J13" s="64">
        <v>0</v>
      </c>
      <c r="K13" s="45" t="s">
        <v>163</v>
      </c>
      <c r="L13" s="39" t="s">
        <v>199</v>
      </c>
      <c r="M13" s="64">
        <v>5</v>
      </c>
      <c r="N13" s="64">
        <v>-10</v>
      </c>
      <c r="O13" s="64">
        <v>0</v>
      </c>
      <c r="P13" s="45" t="s">
        <v>162</v>
      </c>
      <c r="Q13" s="39" t="s">
        <v>200</v>
      </c>
      <c r="R13" s="64">
        <v>5</v>
      </c>
      <c r="S13" s="64">
        <v>-10</v>
      </c>
      <c r="T13" s="64">
        <v>0</v>
      </c>
      <c r="U13" s="45" t="s">
        <v>178</v>
      </c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150</v>
      </c>
      <c r="E14" s="64">
        <v>151</v>
      </c>
      <c r="F14" s="45" t="s">
        <v>168</v>
      </c>
      <c r="G14" s="39" t="s">
        <v>198</v>
      </c>
      <c r="H14" s="64">
        <v>5</v>
      </c>
      <c r="I14" s="64">
        <v>-10</v>
      </c>
      <c r="J14" s="64">
        <v>0</v>
      </c>
      <c r="K14" s="45" t="s">
        <v>163</v>
      </c>
      <c r="L14" s="39" t="s">
        <v>199</v>
      </c>
      <c r="M14" s="64">
        <v>5</v>
      </c>
      <c r="N14" s="64">
        <v>-10</v>
      </c>
      <c r="O14" s="64">
        <v>0</v>
      </c>
      <c r="P14" s="45" t="s">
        <v>162</v>
      </c>
      <c r="Q14" s="39" t="s">
        <v>200</v>
      </c>
      <c r="R14" s="64">
        <v>5</v>
      </c>
      <c r="S14" s="64">
        <v>-10</v>
      </c>
      <c r="T14" s="64">
        <v>0</v>
      </c>
      <c r="U14" s="45" t="s">
        <v>178</v>
      </c>
      <c r="V14" s="39"/>
      <c r="W14" s="64"/>
      <c r="X14" s="64"/>
      <c r="Y14" s="64"/>
      <c r="Z14" s="16"/>
    </row>
    <row r="15" spans="1:26" x14ac:dyDescent="0.35">
      <c r="A15" s="43">
        <v>1</v>
      </c>
      <c r="B15" s="62" t="s">
        <v>31</v>
      </c>
      <c r="C15" s="64">
        <v>10</v>
      </c>
      <c r="D15" s="64">
        <v>180</v>
      </c>
      <c r="E15" s="64">
        <v>181</v>
      </c>
      <c r="F15" s="45" t="s">
        <v>168</v>
      </c>
      <c r="G15" s="39" t="s">
        <v>198</v>
      </c>
      <c r="H15" s="64">
        <v>5</v>
      </c>
      <c r="I15" s="64">
        <v>-10</v>
      </c>
      <c r="J15" s="64">
        <v>0</v>
      </c>
      <c r="K15" s="45" t="s">
        <v>163</v>
      </c>
      <c r="L15" s="39" t="s">
        <v>199</v>
      </c>
      <c r="M15" s="64">
        <v>5</v>
      </c>
      <c r="N15" s="64">
        <v>-10</v>
      </c>
      <c r="O15" s="64">
        <v>0</v>
      </c>
      <c r="P15" s="45" t="s">
        <v>162</v>
      </c>
      <c r="Q15" s="39" t="s">
        <v>200</v>
      </c>
      <c r="R15" s="64">
        <v>5</v>
      </c>
      <c r="S15" s="64">
        <v>-10</v>
      </c>
      <c r="T15" s="64">
        <v>0</v>
      </c>
      <c r="U15" s="45" t="s">
        <v>178</v>
      </c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198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181</v>
      </c>
      <c r="J28" s="64">
        <v>-80</v>
      </c>
      <c r="L28" s="39" t="s">
        <v>199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0.43</v>
      </c>
      <c r="I29" s="64">
        <v>0.68</v>
      </c>
      <c r="J29" s="64">
        <v>-40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30.43</v>
      </c>
      <c r="I30" s="64">
        <v>30.68</v>
      </c>
      <c r="J30" s="64">
        <v>-30</v>
      </c>
      <c r="L30" s="39" t="s">
        <v>200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60.43</v>
      </c>
      <c r="I31" s="64">
        <v>60.68</v>
      </c>
      <c r="J31" s="64">
        <v>-20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90.43</v>
      </c>
      <c r="I32" s="64">
        <v>90.68</v>
      </c>
      <c r="J32" s="64">
        <v>-10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120.43</v>
      </c>
      <c r="I33" s="64">
        <v>120.68</v>
      </c>
      <c r="J33" s="64">
        <v>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150.43</v>
      </c>
      <c r="I34" s="64">
        <v>150.68</v>
      </c>
      <c r="J34" s="64">
        <v>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180.43</v>
      </c>
      <c r="I35" s="64">
        <v>180.68</v>
      </c>
      <c r="J35" s="64">
        <v>20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166</v>
      </c>
      <c r="H36" s="64">
        <v>0</v>
      </c>
      <c r="I36" s="64">
        <v>181</v>
      </c>
      <c r="J36" s="64">
        <v>-80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166</v>
      </c>
      <c r="H37" s="64">
        <v>0.43</v>
      </c>
      <c r="I37" s="64">
        <v>0.68</v>
      </c>
      <c r="J37" s="64">
        <v>-40</v>
      </c>
      <c r="L37" s="39"/>
      <c r="M37" s="14"/>
    </row>
    <row r="38" spans="2:13" x14ac:dyDescent="0.35">
      <c r="B38" s="64"/>
      <c r="C38" s="64"/>
      <c r="D38" s="64"/>
      <c r="E38" s="64"/>
      <c r="G38" s="64" t="s">
        <v>166</v>
      </c>
      <c r="H38" s="64">
        <v>30.43</v>
      </c>
      <c r="I38" s="64">
        <v>30.68</v>
      </c>
      <c r="J38" s="64">
        <v>-30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166</v>
      </c>
      <c r="H39" s="64">
        <v>60.43</v>
      </c>
      <c r="I39" s="64">
        <v>60.68</v>
      </c>
      <c r="J39" s="64">
        <v>-20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166</v>
      </c>
      <c r="H40" s="64">
        <v>90.43</v>
      </c>
      <c r="I40" s="64">
        <v>90.68</v>
      </c>
      <c r="J40" s="64">
        <v>-10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166</v>
      </c>
      <c r="H41" s="64">
        <v>120.43</v>
      </c>
      <c r="I41" s="64">
        <v>120.68</v>
      </c>
      <c r="J41" s="64">
        <v>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166</v>
      </c>
      <c r="H42" s="64">
        <v>150.43</v>
      </c>
      <c r="I42" s="64">
        <v>150.68</v>
      </c>
      <c r="J42" s="64">
        <v>10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166</v>
      </c>
      <c r="H43" s="64">
        <v>180.43</v>
      </c>
      <c r="I43" s="64">
        <v>180.68</v>
      </c>
      <c r="J43" s="64">
        <v>20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160</v>
      </c>
      <c r="H44" s="64">
        <v>0</v>
      </c>
      <c r="I44" s="64">
        <v>181</v>
      </c>
      <c r="J44" s="64">
        <v>-80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160</v>
      </c>
      <c r="H45" s="64">
        <v>0.43</v>
      </c>
      <c r="I45" s="64">
        <v>0.68</v>
      </c>
      <c r="J45" s="64">
        <v>-40</v>
      </c>
    </row>
    <row r="46" spans="2:13" x14ac:dyDescent="0.35">
      <c r="B46" s="64"/>
      <c r="C46" s="64"/>
      <c r="D46" s="64"/>
      <c r="E46" s="64"/>
      <c r="G46" s="64" t="s">
        <v>160</v>
      </c>
      <c r="H46" s="64">
        <v>30.43</v>
      </c>
      <c r="I46" s="64">
        <v>30.68</v>
      </c>
      <c r="J46" s="64">
        <v>-30</v>
      </c>
    </row>
    <row r="47" spans="2:13" x14ac:dyDescent="0.35">
      <c r="B47" s="64"/>
      <c r="C47" s="64"/>
      <c r="D47" s="64"/>
      <c r="E47" s="64"/>
      <c r="G47" s="64" t="s">
        <v>160</v>
      </c>
      <c r="H47" s="64">
        <v>60.43</v>
      </c>
      <c r="I47" s="64">
        <v>60.68</v>
      </c>
      <c r="J47" s="64">
        <v>-20</v>
      </c>
    </row>
    <row r="48" spans="2:13" x14ac:dyDescent="0.35">
      <c r="B48" s="64"/>
      <c r="C48" s="64"/>
      <c r="D48" s="64"/>
      <c r="E48" s="64"/>
      <c r="G48" s="64" t="s">
        <v>160</v>
      </c>
      <c r="H48" s="64">
        <v>90.43</v>
      </c>
      <c r="I48" s="64">
        <v>90.68</v>
      </c>
      <c r="J48" s="64">
        <v>-10</v>
      </c>
    </row>
    <row r="49" spans="2:10" x14ac:dyDescent="0.35">
      <c r="B49" s="64"/>
      <c r="C49" s="64"/>
      <c r="D49" s="64"/>
      <c r="E49" s="64"/>
      <c r="G49" s="64" t="s">
        <v>160</v>
      </c>
      <c r="H49" s="64">
        <v>120.43</v>
      </c>
      <c r="I49" s="64">
        <v>120.68</v>
      </c>
      <c r="J49" s="64">
        <v>0</v>
      </c>
    </row>
    <row r="50" spans="2:10" x14ac:dyDescent="0.35">
      <c r="B50" s="64"/>
      <c r="C50" s="64"/>
      <c r="D50" s="64"/>
      <c r="E50" s="64"/>
      <c r="G50" s="64" t="s">
        <v>160</v>
      </c>
      <c r="H50" s="64">
        <v>150.43</v>
      </c>
      <c r="I50" s="64">
        <v>150.68</v>
      </c>
      <c r="J50" s="64">
        <v>10</v>
      </c>
    </row>
    <row r="51" spans="2:10" x14ac:dyDescent="0.35">
      <c r="B51" s="64"/>
      <c r="C51" s="64"/>
      <c r="D51" s="64"/>
      <c r="E51" s="64"/>
      <c r="G51" s="64" t="s">
        <v>160</v>
      </c>
      <c r="H51" s="64">
        <v>180.43</v>
      </c>
      <c r="I51" s="64">
        <v>180.68</v>
      </c>
      <c r="J51" s="64">
        <v>20</v>
      </c>
    </row>
    <row r="52" spans="2:10" x14ac:dyDescent="0.35">
      <c r="B52" s="64"/>
      <c r="C52" s="64"/>
      <c r="D52" s="64"/>
      <c r="E52" s="64"/>
      <c r="G52" s="64" t="s">
        <v>164</v>
      </c>
      <c r="H52" s="64">
        <v>0.13</v>
      </c>
      <c r="I52" s="64">
        <v>0.43</v>
      </c>
      <c r="J52" s="64">
        <v>-10</v>
      </c>
    </row>
    <row r="53" spans="2:10" x14ac:dyDescent="0.35">
      <c r="B53" s="64"/>
      <c r="C53" s="64"/>
      <c r="D53" s="64"/>
      <c r="E53" s="64"/>
      <c r="G53" s="64" t="s">
        <v>164</v>
      </c>
      <c r="H53" s="64">
        <v>30.13</v>
      </c>
      <c r="I53" s="64">
        <v>30.43</v>
      </c>
      <c r="J53" s="64">
        <v>-10</v>
      </c>
    </row>
    <row r="54" spans="2:10" x14ac:dyDescent="0.35">
      <c r="B54" s="64"/>
      <c r="C54" s="64"/>
      <c r="D54" s="64"/>
      <c r="E54" s="64"/>
      <c r="G54" s="64" t="s">
        <v>164</v>
      </c>
      <c r="H54" s="64">
        <v>60.13</v>
      </c>
      <c r="I54" s="64">
        <v>60.43</v>
      </c>
      <c r="J54" s="64">
        <v>-10</v>
      </c>
    </row>
    <row r="55" spans="2:10" x14ac:dyDescent="0.35">
      <c r="B55" s="64"/>
      <c r="C55" s="64"/>
      <c r="D55" s="64"/>
      <c r="E55" s="64"/>
      <c r="G55" s="64" t="s">
        <v>164</v>
      </c>
      <c r="H55" s="64">
        <v>90.13</v>
      </c>
      <c r="I55" s="64">
        <v>90.43</v>
      </c>
      <c r="J55" s="64">
        <v>-10</v>
      </c>
    </row>
    <row r="56" spans="2:10" x14ac:dyDescent="0.35">
      <c r="B56" s="64"/>
      <c r="C56" s="64"/>
      <c r="D56" s="64"/>
      <c r="E56" s="64"/>
      <c r="G56" s="64" t="s">
        <v>164</v>
      </c>
      <c r="H56" s="64">
        <v>120.13</v>
      </c>
      <c r="I56" s="64">
        <v>120.43</v>
      </c>
      <c r="J56" s="64">
        <v>-10</v>
      </c>
    </row>
    <row r="57" spans="2:10" x14ac:dyDescent="0.35">
      <c r="B57" s="64"/>
      <c r="C57" s="64"/>
      <c r="D57" s="64"/>
      <c r="E57" s="64"/>
      <c r="G57" s="64" t="s">
        <v>164</v>
      </c>
      <c r="H57" s="64">
        <v>150.13</v>
      </c>
      <c r="I57" s="64">
        <v>150.43</v>
      </c>
      <c r="J57" s="64">
        <v>-10</v>
      </c>
    </row>
    <row r="58" spans="2:10" x14ac:dyDescent="0.35">
      <c r="B58" s="64"/>
      <c r="C58" s="64"/>
      <c r="D58" s="64"/>
      <c r="E58" s="64"/>
      <c r="G58" s="64" t="s">
        <v>164</v>
      </c>
      <c r="H58" s="64">
        <v>180.13</v>
      </c>
      <c r="I58" s="64">
        <v>180.43</v>
      </c>
      <c r="J58" s="64">
        <v>-10</v>
      </c>
    </row>
    <row r="59" spans="2:10" x14ac:dyDescent="0.35">
      <c r="B59" s="64"/>
      <c r="C59" s="64"/>
      <c r="D59" s="64"/>
      <c r="E59" s="64"/>
      <c r="G59" s="64" t="s">
        <v>166</v>
      </c>
      <c r="H59" s="64">
        <v>0.13</v>
      </c>
      <c r="I59" s="64">
        <v>0.43</v>
      </c>
      <c r="J59" s="64">
        <v>-10</v>
      </c>
    </row>
    <row r="60" spans="2:10" x14ac:dyDescent="0.35">
      <c r="B60" s="64"/>
      <c r="C60" s="64"/>
      <c r="D60" s="64"/>
      <c r="E60" s="64"/>
      <c r="G60" s="64" t="s">
        <v>166</v>
      </c>
      <c r="H60" s="64">
        <v>30.13</v>
      </c>
      <c r="I60" s="64">
        <v>30.43</v>
      </c>
      <c r="J60" s="64">
        <v>-10</v>
      </c>
    </row>
    <row r="61" spans="2:10" x14ac:dyDescent="0.35">
      <c r="B61" s="64"/>
      <c r="C61" s="64"/>
      <c r="D61" s="64"/>
      <c r="E61" s="64"/>
      <c r="G61" s="64" t="s">
        <v>166</v>
      </c>
      <c r="H61" s="64">
        <v>60.13</v>
      </c>
      <c r="I61" s="64">
        <v>60.43</v>
      </c>
      <c r="J61" s="64">
        <v>-10</v>
      </c>
    </row>
    <row r="62" spans="2:10" x14ac:dyDescent="0.35">
      <c r="B62" s="64"/>
      <c r="C62" s="64"/>
      <c r="D62" s="64"/>
      <c r="E62" s="64"/>
      <c r="G62" s="64" t="s">
        <v>166</v>
      </c>
      <c r="H62" s="64">
        <v>90.13</v>
      </c>
      <c r="I62" s="64">
        <v>90.43</v>
      </c>
      <c r="J62" s="64">
        <v>-10</v>
      </c>
    </row>
    <row r="63" spans="2:10" x14ac:dyDescent="0.35">
      <c r="B63" s="64"/>
      <c r="C63" s="64"/>
      <c r="D63" s="64"/>
      <c r="E63" s="64"/>
      <c r="G63" s="64" t="s">
        <v>166</v>
      </c>
      <c r="H63" s="64">
        <v>120.13</v>
      </c>
      <c r="I63" s="64">
        <v>120.43</v>
      </c>
      <c r="J63" s="64">
        <v>-10</v>
      </c>
    </row>
    <row r="64" spans="2:10" x14ac:dyDescent="0.35">
      <c r="B64" s="64"/>
      <c r="C64" s="64"/>
      <c r="D64" s="64"/>
      <c r="E64" s="64"/>
      <c r="G64" s="64" t="s">
        <v>166</v>
      </c>
      <c r="H64" s="64">
        <v>150.13</v>
      </c>
      <c r="I64" s="64">
        <v>150.43</v>
      </c>
      <c r="J64" s="64">
        <v>-10</v>
      </c>
    </row>
    <row r="65" spans="2:10" x14ac:dyDescent="0.35">
      <c r="B65" s="64"/>
      <c r="C65" s="64"/>
      <c r="D65" s="64"/>
      <c r="E65" s="64"/>
      <c r="G65" s="64" t="s">
        <v>166</v>
      </c>
      <c r="H65" s="64">
        <v>180.13</v>
      </c>
      <c r="I65" s="64">
        <v>180.43</v>
      </c>
      <c r="J65" s="64">
        <v>-10</v>
      </c>
    </row>
    <row r="66" spans="2:10" x14ac:dyDescent="0.35">
      <c r="B66" s="64"/>
      <c r="C66" s="64"/>
      <c r="D66" s="64"/>
      <c r="E66" s="64"/>
      <c r="G66" s="64" t="s">
        <v>160</v>
      </c>
      <c r="H66" s="64">
        <v>0.13</v>
      </c>
      <c r="I66" s="64">
        <v>0.43</v>
      </c>
      <c r="J66" s="64">
        <v>-10</v>
      </c>
    </row>
    <row r="67" spans="2:10" x14ac:dyDescent="0.35">
      <c r="B67" s="64"/>
      <c r="C67" s="64"/>
      <c r="D67" s="64"/>
      <c r="E67" s="64"/>
      <c r="G67" s="64" t="s">
        <v>160</v>
      </c>
      <c r="H67" s="64">
        <v>30.13</v>
      </c>
      <c r="I67" s="64">
        <v>30.43</v>
      </c>
      <c r="J67" s="64">
        <v>-10</v>
      </c>
    </row>
    <row r="68" spans="2:10" x14ac:dyDescent="0.35">
      <c r="B68" s="64"/>
      <c r="C68" s="64"/>
      <c r="D68" s="64"/>
      <c r="E68" s="64"/>
      <c r="G68" s="64" t="s">
        <v>160</v>
      </c>
      <c r="H68" s="64">
        <v>60.13</v>
      </c>
      <c r="I68" s="64">
        <v>60.43</v>
      </c>
      <c r="J68" s="64">
        <v>-10</v>
      </c>
    </row>
    <row r="69" spans="2:10" x14ac:dyDescent="0.35">
      <c r="B69" s="64"/>
      <c r="C69" s="64"/>
      <c r="D69" s="64"/>
      <c r="E69" s="64"/>
      <c r="G69" s="64" t="s">
        <v>160</v>
      </c>
      <c r="H69" s="64">
        <v>90.13</v>
      </c>
      <c r="I69" s="64">
        <v>90.43</v>
      </c>
      <c r="J69" s="64">
        <v>-10</v>
      </c>
    </row>
    <row r="70" spans="2:10" x14ac:dyDescent="0.35">
      <c r="B70" s="64"/>
      <c r="C70" s="64"/>
      <c r="D70" s="64"/>
      <c r="E70" s="64"/>
      <c r="G70" s="64" t="s">
        <v>160</v>
      </c>
      <c r="H70" s="64">
        <v>120.13</v>
      </c>
      <c r="I70" s="64">
        <v>120.43</v>
      </c>
      <c r="J70" s="64">
        <v>-10</v>
      </c>
    </row>
    <row r="71" spans="2:10" x14ac:dyDescent="0.35">
      <c r="B71" s="64"/>
      <c r="C71" s="64"/>
      <c r="D71" s="64"/>
      <c r="E71" s="64"/>
      <c r="G71" s="64" t="s">
        <v>160</v>
      </c>
      <c r="H71" s="64">
        <v>150.13</v>
      </c>
      <c r="I71" s="64">
        <v>150.43</v>
      </c>
      <c r="J71" s="64">
        <v>-10</v>
      </c>
    </row>
    <row r="72" spans="2:10" x14ac:dyDescent="0.35">
      <c r="B72" s="64"/>
      <c r="C72" s="64"/>
      <c r="D72" s="64"/>
      <c r="E72" s="64"/>
      <c r="G72" s="64" t="s">
        <v>160</v>
      </c>
      <c r="H72" s="64">
        <v>180.13</v>
      </c>
      <c r="I72" s="64">
        <v>180.43</v>
      </c>
      <c r="J72" s="64">
        <v>-10</v>
      </c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  <row r="88" spans="2:10" x14ac:dyDescent="0.35">
      <c r="B88" s="64"/>
      <c r="C88" s="64"/>
      <c r="D88" s="64"/>
      <c r="E88" s="64"/>
      <c r="G88" s="64"/>
      <c r="H88" s="64"/>
      <c r="I88" s="64"/>
      <c r="J88" s="64"/>
    </row>
    <row r="89" spans="2:10" x14ac:dyDescent="0.35">
      <c r="B89" s="64"/>
      <c r="C89" s="64"/>
      <c r="D89" s="64"/>
      <c r="E89" s="64"/>
      <c r="G89" s="64"/>
      <c r="H89" s="64"/>
      <c r="I89" s="64"/>
      <c r="J89" s="64"/>
    </row>
    <row r="90" spans="2:10" x14ac:dyDescent="0.35">
      <c r="B90" s="64"/>
      <c r="C90" s="64"/>
      <c r="D90" s="64"/>
      <c r="E90" s="64"/>
      <c r="G90" s="64"/>
      <c r="H90" s="64"/>
      <c r="I90" s="64"/>
      <c r="J90" s="64"/>
    </row>
    <row r="91" spans="2:10" x14ac:dyDescent="0.35">
      <c r="B91" s="64"/>
      <c r="C91" s="64"/>
      <c r="D91" s="64"/>
      <c r="E91" s="64"/>
      <c r="G91" s="64"/>
      <c r="H91" s="64"/>
      <c r="I91" s="64"/>
      <c r="J91" s="64"/>
    </row>
    <row r="92" spans="2:10" x14ac:dyDescent="0.35">
      <c r="B92" s="64"/>
      <c r="C92" s="64"/>
      <c r="D92" s="64"/>
      <c r="E92" s="64"/>
      <c r="G92" s="64"/>
      <c r="H92" s="64"/>
      <c r="I92" s="64"/>
      <c r="J92" s="64"/>
    </row>
    <row r="93" spans="2:10" x14ac:dyDescent="0.35">
      <c r="B93" s="64"/>
      <c r="C93" s="64"/>
      <c r="D93" s="64"/>
      <c r="E93" s="64"/>
      <c r="G93" s="64"/>
      <c r="H93" s="64"/>
      <c r="I93" s="64"/>
      <c r="J93" s="64"/>
    </row>
    <row r="94" spans="2:10" x14ac:dyDescent="0.35">
      <c r="B94" s="64"/>
      <c r="C94" s="64"/>
      <c r="D94" s="64"/>
      <c r="E94" s="64"/>
      <c r="G94" s="64"/>
      <c r="H94" s="64"/>
      <c r="I94" s="64"/>
      <c r="J94" s="64"/>
    </row>
    <row r="95" spans="2:10" x14ac:dyDescent="0.35">
      <c r="B95" s="64"/>
      <c r="C95" s="64"/>
      <c r="D95" s="64"/>
      <c r="E95" s="64"/>
      <c r="G95" s="64"/>
      <c r="H95" s="64"/>
      <c r="I95" s="64"/>
      <c r="J95" s="64"/>
    </row>
    <row r="96" spans="2:10" x14ac:dyDescent="0.35">
      <c r="B96" s="64"/>
      <c r="C96" s="64"/>
      <c r="D96" s="64"/>
      <c r="E96" s="64"/>
      <c r="G96" s="64"/>
      <c r="H96" s="64"/>
      <c r="I96" s="64"/>
      <c r="J96" s="64"/>
    </row>
    <row r="97" spans="2:10" x14ac:dyDescent="0.35">
      <c r="B97" s="64"/>
      <c r="C97" s="64"/>
      <c r="D97" s="64"/>
      <c r="E97" s="64"/>
      <c r="G97" s="64"/>
      <c r="H97" s="64"/>
      <c r="I97" s="64"/>
      <c r="J97" s="64"/>
    </row>
    <row r="98" spans="2:10" x14ac:dyDescent="0.35">
      <c r="B98" s="64"/>
      <c r="C98" s="64"/>
      <c r="D98" s="64"/>
      <c r="E98" s="64"/>
      <c r="G98" s="64"/>
      <c r="H98" s="64"/>
      <c r="I98" s="64"/>
      <c r="J98" s="64"/>
    </row>
    <row r="99" spans="2:10" x14ac:dyDescent="0.35">
      <c r="B99" s="64"/>
      <c r="C99" s="64"/>
      <c r="D99" s="64"/>
      <c r="E99" s="64"/>
      <c r="G99" s="64"/>
      <c r="H99" s="64"/>
      <c r="I99" s="64"/>
      <c r="J99" s="64"/>
    </row>
    <row r="100" spans="2:10" x14ac:dyDescent="0.35">
      <c r="B100" s="64"/>
      <c r="C100" s="64"/>
      <c r="D100" s="64"/>
      <c r="E100" s="64"/>
      <c r="G100" s="64"/>
      <c r="H100" s="64"/>
      <c r="I100" s="64"/>
      <c r="J100" s="64"/>
    </row>
    <row r="101" spans="2:10" x14ac:dyDescent="0.35">
      <c r="B101" s="64"/>
      <c r="C101" s="64"/>
      <c r="D101" s="64"/>
      <c r="E101" s="64"/>
      <c r="G101" s="64"/>
      <c r="H101" s="64"/>
      <c r="I101" s="64"/>
      <c r="J101" s="64"/>
    </row>
    <row r="102" spans="2:10" x14ac:dyDescent="0.35">
      <c r="B102" s="64"/>
      <c r="C102" s="64"/>
      <c r="D102" s="64"/>
      <c r="E102" s="64"/>
      <c r="G102" s="64"/>
      <c r="H102" s="64"/>
      <c r="I102" s="64"/>
      <c r="J102" s="64"/>
    </row>
    <row r="103" spans="2:10" x14ac:dyDescent="0.35">
      <c r="B103" s="64"/>
      <c r="C103" s="64"/>
      <c r="D103" s="64"/>
      <c r="E103" s="64"/>
      <c r="G103" s="64"/>
      <c r="H103" s="64"/>
      <c r="I103" s="64"/>
      <c r="J103" s="64"/>
    </row>
    <row r="104" spans="2:10" x14ac:dyDescent="0.35">
      <c r="B104" s="64"/>
      <c r="C104" s="64"/>
      <c r="D104" s="64"/>
      <c r="E104" s="64"/>
      <c r="G104" s="64"/>
      <c r="H104" s="64"/>
      <c r="I104" s="64"/>
      <c r="J104" s="64"/>
    </row>
    <row r="105" spans="2:10" x14ac:dyDescent="0.35">
      <c r="B105" s="64"/>
      <c r="C105" s="64"/>
      <c r="D105" s="64"/>
      <c r="E105" s="64"/>
      <c r="G105" s="64"/>
      <c r="H105" s="64"/>
      <c r="I105" s="64"/>
      <c r="J105" s="64"/>
    </row>
    <row r="106" spans="2:10" x14ac:dyDescent="0.35">
      <c r="B106" s="64"/>
      <c r="C106" s="64"/>
      <c r="D106" s="64"/>
      <c r="E106" s="64"/>
      <c r="G106" s="64"/>
      <c r="H106" s="64"/>
      <c r="I106" s="64"/>
      <c r="J106" s="64"/>
    </row>
    <row r="107" spans="2:10" x14ac:dyDescent="0.35">
      <c r="B107" s="64"/>
      <c r="C107" s="64"/>
      <c r="D107" s="64"/>
      <c r="E107" s="64"/>
      <c r="G107" s="64"/>
      <c r="H107" s="64"/>
      <c r="I107" s="64"/>
      <c r="J107" s="64"/>
    </row>
    <row r="108" spans="2:10" x14ac:dyDescent="0.35">
      <c r="B108" s="64"/>
      <c r="C108" s="64"/>
      <c r="D108" s="64"/>
      <c r="E108" s="64"/>
      <c r="G108" s="64"/>
      <c r="H108" s="64"/>
      <c r="I108" s="64"/>
      <c r="J108" s="64"/>
    </row>
    <row r="109" spans="2:10" x14ac:dyDescent="0.35">
      <c r="B109" s="64"/>
      <c r="C109" s="64"/>
      <c r="D109" s="64"/>
      <c r="E109" s="64"/>
      <c r="G109" s="64"/>
      <c r="H109" s="64"/>
      <c r="I109" s="64"/>
      <c r="J109" s="64"/>
    </row>
    <row r="110" spans="2:10" x14ac:dyDescent="0.35">
      <c r="B110" s="64"/>
      <c r="C110" s="64"/>
      <c r="D110" s="64"/>
      <c r="E110" s="64"/>
      <c r="G110" s="64"/>
      <c r="H110" s="64"/>
      <c r="I110" s="64"/>
      <c r="J110" s="64"/>
    </row>
    <row r="111" spans="2:10" x14ac:dyDescent="0.35">
      <c r="B111" s="64"/>
      <c r="C111" s="64"/>
      <c r="D111" s="64"/>
      <c r="E111" s="64"/>
      <c r="G111" s="64"/>
      <c r="H111" s="64"/>
      <c r="I111" s="64"/>
      <c r="J111" s="64"/>
    </row>
    <row r="112" spans="2:10" x14ac:dyDescent="0.35">
      <c r="B112" s="64"/>
      <c r="C112" s="64"/>
      <c r="D112" s="64"/>
      <c r="E112" s="64"/>
      <c r="G112" s="64"/>
      <c r="H112" s="64"/>
      <c r="I112" s="64"/>
      <c r="J112" s="64"/>
    </row>
    <row r="113" spans="2:10" x14ac:dyDescent="0.35">
      <c r="B113" s="64"/>
      <c r="C113" s="64"/>
      <c r="D113" s="64"/>
      <c r="E113" s="64"/>
      <c r="G113" s="64"/>
      <c r="H113" s="64"/>
      <c r="I113" s="64"/>
      <c r="J113" s="64"/>
    </row>
    <row r="114" spans="2:10" x14ac:dyDescent="0.35">
      <c r="B114" s="64"/>
      <c r="C114" s="64"/>
      <c r="D114" s="64"/>
      <c r="E114" s="64"/>
      <c r="G114" s="64"/>
      <c r="H114" s="64"/>
      <c r="I114" s="64"/>
      <c r="J114" s="64"/>
    </row>
    <row r="115" spans="2:10" x14ac:dyDescent="0.35">
      <c r="B115" s="64"/>
      <c r="C115" s="64"/>
      <c r="D115" s="64"/>
      <c r="E115" s="64"/>
      <c r="G115" s="64"/>
      <c r="H115" s="64"/>
      <c r="I115" s="64"/>
      <c r="J115" s="64"/>
    </row>
    <row r="116" spans="2:10" x14ac:dyDescent="0.35">
      <c r="B116" s="64"/>
      <c r="C116" s="64"/>
      <c r="D116" s="64"/>
      <c r="E116" s="64"/>
      <c r="G116" s="64"/>
      <c r="H116" s="64"/>
      <c r="I116" s="64"/>
      <c r="J116" s="64"/>
    </row>
    <row r="117" spans="2:10" x14ac:dyDescent="0.35">
      <c r="B117" s="64"/>
      <c r="C117" s="64"/>
      <c r="D117" s="64"/>
      <c r="E117" s="64"/>
      <c r="G117" s="64"/>
      <c r="H117" s="64"/>
      <c r="I117" s="64"/>
      <c r="J117" s="64"/>
    </row>
    <row r="118" spans="2:10" x14ac:dyDescent="0.35">
      <c r="B118" s="64"/>
      <c r="C118" s="64"/>
      <c r="D118" s="64"/>
      <c r="E118" s="64"/>
      <c r="G118" s="64"/>
      <c r="H118" s="64"/>
      <c r="I118" s="64"/>
      <c r="J118" s="64"/>
    </row>
    <row r="119" spans="2:10" x14ac:dyDescent="0.35">
      <c r="B119" s="64"/>
      <c r="C119" s="64"/>
      <c r="D119" s="64"/>
      <c r="E119" s="64"/>
      <c r="G119" s="64"/>
      <c r="H119" s="64"/>
      <c r="I119" s="64"/>
      <c r="J119" s="64"/>
    </row>
    <row r="120" spans="2:10" x14ac:dyDescent="0.35">
      <c r="B120" s="64"/>
      <c r="C120" s="64"/>
      <c r="D120" s="64"/>
      <c r="E120" s="64"/>
      <c r="G120" s="64"/>
      <c r="H120" s="64"/>
      <c r="I120" s="64"/>
      <c r="J120" s="64"/>
    </row>
    <row r="121" spans="2:10" x14ac:dyDescent="0.35">
      <c r="B121" s="64"/>
      <c r="C121" s="64"/>
      <c r="D121" s="64"/>
      <c r="E121" s="64"/>
      <c r="G121" s="64"/>
      <c r="H121" s="64"/>
      <c r="I121" s="64"/>
      <c r="J121" s="64"/>
    </row>
    <row r="122" spans="2:10" x14ac:dyDescent="0.35">
      <c r="B122" s="64"/>
      <c r="C122" s="64"/>
      <c r="D122" s="64"/>
      <c r="E122" s="64"/>
      <c r="G122" s="64"/>
      <c r="H122" s="64"/>
      <c r="I122" s="64"/>
      <c r="J122" s="64"/>
    </row>
    <row r="123" spans="2:10" x14ac:dyDescent="0.35">
      <c r="B123" s="64"/>
      <c r="C123" s="64"/>
      <c r="D123" s="64"/>
      <c r="E123" s="64"/>
      <c r="G123" s="64"/>
      <c r="H123" s="64"/>
      <c r="I123" s="64"/>
      <c r="J123" s="64"/>
    </row>
    <row r="124" spans="2:10" x14ac:dyDescent="0.35">
      <c r="B124" s="64"/>
      <c r="C124" s="64"/>
      <c r="D124" s="64"/>
      <c r="E124" s="64"/>
      <c r="G124" s="64"/>
      <c r="H124" s="64"/>
      <c r="I124" s="64"/>
      <c r="J124" s="64"/>
    </row>
    <row r="125" spans="2:10" x14ac:dyDescent="0.35">
      <c r="B125" s="64"/>
      <c r="C125" s="64"/>
      <c r="D125" s="64"/>
      <c r="E125" s="64"/>
      <c r="G125" s="64"/>
      <c r="H125" s="64"/>
      <c r="I125" s="64"/>
      <c r="J125" s="64"/>
    </row>
    <row r="126" spans="2:10" x14ac:dyDescent="0.35">
      <c r="B126" s="64"/>
      <c r="C126" s="64"/>
      <c r="D126" s="64"/>
      <c r="E126" s="64"/>
      <c r="G126" s="64"/>
      <c r="H126" s="64"/>
      <c r="I126" s="64"/>
      <c r="J126" s="64"/>
    </row>
    <row r="127" spans="2:10" x14ac:dyDescent="0.35">
      <c r="B127" s="64"/>
      <c r="C127" s="64"/>
      <c r="D127" s="64"/>
      <c r="E127" s="64"/>
      <c r="G127" s="64"/>
      <c r="H127" s="64"/>
      <c r="I127" s="64"/>
      <c r="J127" s="64"/>
    </row>
    <row r="128" spans="2:10" x14ac:dyDescent="0.35">
      <c r="B128" s="64"/>
      <c r="C128" s="64"/>
      <c r="D128" s="64"/>
      <c r="E128" s="64"/>
      <c r="G128" s="64"/>
      <c r="H128" s="64"/>
      <c r="I128" s="64"/>
      <c r="J128" s="64"/>
    </row>
    <row r="129" spans="2:10" x14ac:dyDescent="0.35">
      <c r="B129" s="64"/>
      <c r="C129" s="64"/>
      <c r="D129" s="64"/>
      <c r="E129" s="64"/>
      <c r="G129" s="64"/>
      <c r="H129" s="64"/>
      <c r="I129" s="64"/>
      <c r="J129" s="64"/>
    </row>
    <row r="130" spans="2:10" x14ac:dyDescent="0.35">
      <c r="B130" s="64"/>
      <c r="C130" s="64"/>
      <c r="D130" s="64"/>
      <c r="E130" s="64"/>
      <c r="G130" s="64"/>
      <c r="H130" s="64"/>
      <c r="I130" s="64"/>
      <c r="J130" s="64"/>
    </row>
    <row r="131" spans="2:10" x14ac:dyDescent="0.35">
      <c r="B131" s="64"/>
      <c r="C131" s="64"/>
      <c r="D131" s="64"/>
      <c r="E131" s="64"/>
      <c r="G131" s="64"/>
      <c r="H131" s="64"/>
      <c r="I131" s="64"/>
      <c r="J131" s="64"/>
    </row>
    <row r="132" spans="2:10" x14ac:dyDescent="0.35">
      <c r="B132" s="64"/>
      <c r="C132" s="64"/>
      <c r="D132" s="64"/>
      <c r="E132" s="64"/>
      <c r="G132" s="64"/>
      <c r="H132" s="64"/>
      <c r="I132" s="64"/>
      <c r="J132" s="64"/>
    </row>
    <row r="133" spans="2:10" x14ac:dyDescent="0.35">
      <c r="B133" s="64"/>
      <c r="C133" s="64"/>
      <c r="D133" s="64"/>
      <c r="E133" s="64"/>
      <c r="G133" s="64"/>
      <c r="H133" s="64"/>
      <c r="I133" s="64"/>
      <c r="J133" s="64"/>
    </row>
    <row r="134" spans="2:10" x14ac:dyDescent="0.35">
      <c r="B134" s="64"/>
      <c r="C134" s="64"/>
      <c r="D134" s="64"/>
      <c r="E134" s="64"/>
      <c r="G134" s="64"/>
      <c r="H134" s="64"/>
      <c r="I134" s="64"/>
      <c r="J134" s="64"/>
    </row>
    <row r="135" spans="2:10" x14ac:dyDescent="0.35">
      <c r="B135" s="64"/>
      <c r="C135" s="64"/>
      <c r="D135" s="64"/>
      <c r="E135" s="64"/>
      <c r="G135" s="64"/>
      <c r="H135" s="64"/>
      <c r="I135" s="64"/>
      <c r="J135" s="64"/>
    </row>
    <row r="136" spans="2:10" x14ac:dyDescent="0.35">
      <c r="B136" s="64"/>
      <c r="C136" s="64"/>
      <c r="D136" s="64"/>
      <c r="E136" s="64"/>
      <c r="G136" s="64"/>
      <c r="H136" s="64"/>
      <c r="I136" s="64"/>
      <c r="J136" s="64"/>
    </row>
    <row r="137" spans="2:10" x14ac:dyDescent="0.35">
      <c r="B137" s="64"/>
      <c r="C137" s="64"/>
      <c r="D137" s="64"/>
      <c r="E137" s="64"/>
      <c r="G137" s="64"/>
      <c r="H137" s="64"/>
      <c r="I137" s="64"/>
      <c r="J13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133" priority="49" operator="notEqual">
      <formula>MAX($E$9:$E$23)</formula>
    </cfRule>
  </conditionalFormatting>
  <conditionalFormatting sqref="C28:D137">
    <cfRule type="cellIs" dxfId="132" priority="47" operator="greaterThan">
      <formula>$C$3</formula>
    </cfRule>
  </conditionalFormatting>
  <conditionalFormatting sqref="G28:G43">
    <cfRule type="uniqueValues" dxfId="131" priority="48"/>
  </conditionalFormatting>
  <conditionalFormatting sqref="G36:G43">
    <cfRule type="uniqueValues" dxfId="130" priority="22"/>
    <cfRule type="uniqueValues" dxfId="129" priority="27"/>
  </conditionalFormatting>
  <conditionalFormatting sqref="G44:G51 G59">
    <cfRule type="uniqueValues" dxfId="128" priority="46"/>
  </conditionalFormatting>
  <conditionalFormatting sqref="G44:G51">
    <cfRule type="uniqueValues" dxfId="127" priority="20"/>
  </conditionalFormatting>
  <conditionalFormatting sqref="G52:G58">
    <cfRule type="uniqueValues" dxfId="126" priority="15"/>
  </conditionalFormatting>
  <conditionalFormatting sqref="G59:G65">
    <cfRule type="uniqueValues" dxfId="125" priority="8"/>
  </conditionalFormatting>
  <conditionalFormatting sqref="G60:G67">
    <cfRule type="uniqueValues" dxfId="124" priority="44"/>
  </conditionalFormatting>
  <conditionalFormatting sqref="G66:G72">
    <cfRule type="uniqueValues" dxfId="123" priority="9"/>
  </conditionalFormatting>
  <conditionalFormatting sqref="G68:G81">
    <cfRule type="uniqueValues" dxfId="122" priority="50"/>
  </conditionalFormatting>
  <conditionalFormatting sqref="G73:G86">
    <cfRule type="uniqueValues" dxfId="121" priority="10"/>
  </conditionalFormatting>
  <conditionalFormatting sqref="G82:G95">
    <cfRule type="uniqueValues" dxfId="120" priority="51"/>
  </conditionalFormatting>
  <conditionalFormatting sqref="G87:G100">
    <cfRule type="uniqueValues" dxfId="119" priority="11"/>
  </conditionalFormatting>
  <conditionalFormatting sqref="G96:G102">
    <cfRule type="uniqueValues" dxfId="118" priority="52"/>
  </conditionalFormatting>
  <conditionalFormatting sqref="G101:G103">
    <cfRule type="uniqueValues" dxfId="117" priority="12"/>
  </conditionalFormatting>
  <conditionalFormatting sqref="G103:G116">
    <cfRule type="uniqueValues" dxfId="116" priority="53"/>
  </conditionalFormatting>
  <conditionalFormatting sqref="G117:G130">
    <cfRule type="uniqueValues" dxfId="115" priority="54"/>
  </conditionalFormatting>
  <conditionalFormatting sqref="G131:G137">
    <cfRule type="uniqueValues" dxfId="114" priority="55"/>
  </conditionalFormatting>
  <conditionalFormatting sqref="H28:I137">
    <cfRule type="cellIs" dxfId="113" priority="1" operator="greaterThan">
      <formula>$C$3</formula>
    </cfRule>
  </conditionalFormatting>
  <dataValidations count="1">
    <dataValidation type="list" allowBlank="1" showInputMessage="1" showErrorMessage="1" sqref="F9:F23 Z9:Z23 P9:P23 K9:K23 U9:U23" xr:uid="{00000000-0002-0000-06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7"/>
  <sheetViews>
    <sheetView topLeftCell="A15" zoomScale="70" zoomScaleNormal="70" workbookViewId="0">
      <selection activeCell="H54" sqref="H54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197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181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5.0000000000000001E-4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1</v>
      </c>
      <c r="F9" s="45" t="s">
        <v>168</v>
      </c>
      <c r="G9" s="39" t="s">
        <v>198</v>
      </c>
      <c r="H9" s="64">
        <v>5</v>
      </c>
      <c r="I9" s="64">
        <v>-10</v>
      </c>
      <c r="J9" s="64">
        <v>0</v>
      </c>
      <c r="K9" s="45" t="s">
        <v>163</v>
      </c>
      <c r="L9" s="39" t="s">
        <v>199</v>
      </c>
      <c r="M9" s="64">
        <v>5</v>
      </c>
      <c r="N9" s="64">
        <v>-10</v>
      </c>
      <c r="O9" s="64">
        <v>0</v>
      </c>
      <c r="P9" s="45" t="s">
        <v>162</v>
      </c>
      <c r="Q9" s="39" t="s">
        <v>200</v>
      </c>
      <c r="R9" s="64">
        <v>5</v>
      </c>
      <c r="S9" s="64">
        <v>-10</v>
      </c>
      <c r="T9" s="64">
        <v>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30</v>
      </c>
      <c r="E10" s="64">
        <v>31</v>
      </c>
      <c r="F10" s="45" t="s">
        <v>168</v>
      </c>
      <c r="G10" s="39" t="s">
        <v>198</v>
      </c>
      <c r="H10" s="64">
        <v>5</v>
      </c>
      <c r="I10" s="64">
        <v>-10</v>
      </c>
      <c r="J10" s="64">
        <v>0</v>
      </c>
      <c r="K10" s="45" t="s">
        <v>163</v>
      </c>
      <c r="L10" s="39" t="s">
        <v>199</v>
      </c>
      <c r="M10" s="64">
        <v>5</v>
      </c>
      <c r="N10" s="64">
        <v>-10</v>
      </c>
      <c r="O10" s="64">
        <v>0</v>
      </c>
      <c r="P10" s="45" t="s">
        <v>162</v>
      </c>
      <c r="Q10" s="39" t="s">
        <v>200</v>
      </c>
      <c r="R10" s="64">
        <v>5</v>
      </c>
      <c r="S10" s="64">
        <v>-10</v>
      </c>
      <c r="T10" s="64">
        <v>0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60</v>
      </c>
      <c r="E11" s="64">
        <v>61</v>
      </c>
      <c r="F11" s="45" t="s">
        <v>168</v>
      </c>
      <c r="G11" s="39" t="s">
        <v>198</v>
      </c>
      <c r="H11" s="64">
        <v>5</v>
      </c>
      <c r="I11" s="64">
        <v>-10</v>
      </c>
      <c r="J11" s="64">
        <v>0</v>
      </c>
      <c r="K11" s="45" t="s">
        <v>163</v>
      </c>
      <c r="L11" s="39" t="s">
        <v>199</v>
      </c>
      <c r="M11" s="64">
        <v>5</v>
      </c>
      <c r="N11" s="64">
        <v>-10</v>
      </c>
      <c r="O11" s="64">
        <v>0</v>
      </c>
      <c r="P11" s="45" t="s">
        <v>162</v>
      </c>
      <c r="Q11" s="39" t="s">
        <v>200</v>
      </c>
      <c r="R11" s="64">
        <v>5</v>
      </c>
      <c r="S11" s="64">
        <v>-10</v>
      </c>
      <c r="T11" s="64">
        <v>0</v>
      </c>
      <c r="U11" s="45" t="s">
        <v>178</v>
      </c>
      <c r="V11" s="39"/>
      <c r="W11" s="64"/>
      <c r="X11" s="64"/>
      <c r="Y11" s="64"/>
      <c r="Z11" s="16"/>
    </row>
    <row r="12" spans="1:26" x14ac:dyDescent="0.35">
      <c r="A12" s="43">
        <v>1</v>
      </c>
      <c r="B12" s="62" t="s">
        <v>31</v>
      </c>
      <c r="C12" s="64">
        <v>10</v>
      </c>
      <c r="D12" s="64">
        <v>90</v>
      </c>
      <c r="E12" s="64">
        <v>91</v>
      </c>
      <c r="F12" s="45" t="s">
        <v>168</v>
      </c>
      <c r="G12" s="39" t="s">
        <v>198</v>
      </c>
      <c r="H12" s="64">
        <v>5</v>
      </c>
      <c r="I12" s="64">
        <v>-10</v>
      </c>
      <c r="J12" s="64">
        <v>0</v>
      </c>
      <c r="K12" s="45" t="s">
        <v>163</v>
      </c>
      <c r="L12" s="39" t="s">
        <v>199</v>
      </c>
      <c r="M12" s="64">
        <v>5</v>
      </c>
      <c r="N12" s="64">
        <v>-10</v>
      </c>
      <c r="O12" s="64">
        <v>0</v>
      </c>
      <c r="P12" s="45" t="s">
        <v>162</v>
      </c>
      <c r="Q12" s="39" t="s">
        <v>200</v>
      </c>
      <c r="R12" s="64">
        <v>5</v>
      </c>
      <c r="S12" s="64">
        <v>-10</v>
      </c>
      <c r="T12" s="64">
        <v>0</v>
      </c>
      <c r="U12" s="45" t="s">
        <v>178</v>
      </c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120</v>
      </c>
      <c r="E13" s="64">
        <v>121</v>
      </c>
      <c r="F13" s="45" t="s">
        <v>168</v>
      </c>
      <c r="G13" s="39" t="s">
        <v>198</v>
      </c>
      <c r="H13" s="64">
        <v>5</v>
      </c>
      <c r="I13" s="64">
        <v>-10</v>
      </c>
      <c r="J13" s="64">
        <v>0</v>
      </c>
      <c r="K13" s="45" t="s">
        <v>163</v>
      </c>
      <c r="L13" s="39" t="s">
        <v>199</v>
      </c>
      <c r="M13" s="64">
        <v>5</v>
      </c>
      <c r="N13" s="64">
        <v>-10</v>
      </c>
      <c r="O13" s="64">
        <v>0</v>
      </c>
      <c r="P13" s="45" t="s">
        <v>162</v>
      </c>
      <c r="Q13" s="39" t="s">
        <v>200</v>
      </c>
      <c r="R13" s="64">
        <v>5</v>
      </c>
      <c r="S13" s="64">
        <v>-10</v>
      </c>
      <c r="T13" s="64">
        <v>0</v>
      </c>
      <c r="U13" s="45" t="s">
        <v>178</v>
      </c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150</v>
      </c>
      <c r="E14" s="64">
        <v>151</v>
      </c>
      <c r="F14" s="45" t="s">
        <v>168</v>
      </c>
      <c r="G14" s="39" t="s">
        <v>198</v>
      </c>
      <c r="H14" s="64">
        <v>5</v>
      </c>
      <c r="I14" s="64">
        <v>-10</v>
      </c>
      <c r="J14" s="64">
        <v>0</v>
      </c>
      <c r="K14" s="45" t="s">
        <v>163</v>
      </c>
      <c r="L14" s="39" t="s">
        <v>199</v>
      </c>
      <c r="M14" s="64">
        <v>5</v>
      </c>
      <c r="N14" s="64">
        <v>-10</v>
      </c>
      <c r="O14" s="64">
        <v>0</v>
      </c>
      <c r="P14" s="45" t="s">
        <v>162</v>
      </c>
      <c r="Q14" s="39" t="s">
        <v>200</v>
      </c>
      <c r="R14" s="64">
        <v>5</v>
      </c>
      <c r="S14" s="64">
        <v>-10</v>
      </c>
      <c r="T14" s="64">
        <v>0</v>
      </c>
      <c r="U14" s="45" t="s">
        <v>178</v>
      </c>
      <c r="V14" s="39"/>
      <c r="W14" s="64"/>
      <c r="X14" s="64"/>
      <c r="Y14" s="64"/>
      <c r="Z14" s="16"/>
    </row>
    <row r="15" spans="1:26" x14ac:dyDescent="0.35">
      <c r="A15" s="43">
        <v>1</v>
      </c>
      <c r="B15" s="62" t="s">
        <v>31</v>
      </c>
      <c r="C15" s="64">
        <v>10</v>
      </c>
      <c r="D15" s="64">
        <v>180</v>
      </c>
      <c r="E15" s="64">
        <v>181</v>
      </c>
      <c r="F15" s="45" t="s">
        <v>168</v>
      </c>
      <c r="G15" s="39" t="s">
        <v>198</v>
      </c>
      <c r="H15" s="64">
        <v>5</v>
      </c>
      <c r="I15" s="64">
        <v>-10</v>
      </c>
      <c r="J15" s="64">
        <v>0</v>
      </c>
      <c r="K15" s="45" t="s">
        <v>163</v>
      </c>
      <c r="L15" s="39" t="s">
        <v>199</v>
      </c>
      <c r="M15" s="64">
        <v>5</v>
      </c>
      <c r="N15" s="64">
        <v>-10</v>
      </c>
      <c r="O15" s="64">
        <v>0</v>
      </c>
      <c r="P15" s="45" t="s">
        <v>162</v>
      </c>
      <c r="Q15" s="39" t="s">
        <v>200</v>
      </c>
      <c r="R15" s="64">
        <v>5</v>
      </c>
      <c r="S15" s="64">
        <v>-10</v>
      </c>
      <c r="T15" s="64">
        <v>0</v>
      </c>
      <c r="U15" s="45" t="s">
        <v>178</v>
      </c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198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181</v>
      </c>
      <c r="J28" s="64">
        <v>-80</v>
      </c>
      <c r="L28" s="39" t="s">
        <v>199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0.43</v>
      </c>
      <c r="I29" s="64">
        <v>0.68</v>
      </c>
      <c r="J29" s="64">
        <v>-40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30.43</v>
      </c>
      <c r="I30" s="64">
        <v>30.68</v>
      </c>
      <c r="J30" s="64">
        <v>-30</v>
      </c>
      <c r="L30" s="39" t="s">
        <v>200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60.43</v>
      </c>
      <c r="I31" s="64">
        <v>60.68</v>
      </c>
      <c r="J31" s="64">
        <v>-20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90.43</v>
      </c>
      <c r="I32" s="64">
        <v>90.68</v>
      </c>
      <c r="J32" s="64">
        <v>-10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120.43</v>
      </c>
      <c r="I33" s="64">
        <v>120.68</v>
      </c>
      <c r="J33" s="64">
        <v>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150.43</v>
      </c>
      <c r="I34" s="64">
        <v>150.68</v>
      </c>
      <c r="J34" s="64">
        <v>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180.43</v>
      </c>
      <c r="I35" s="64">
        <v>180.68</v>
      </c>
      <c r="J35" s="64">
        <v>20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166</v>
      </c>
      <c r="H36" s="64">
        <v>0</v>
      </c>
      <c r="I36" s="64">
        <v>181</v>
      </c>
      <c r="J36" s="64">
        <v>-80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166</v>
      </c>
      <c r="H37" s="64">
        <v>0.43</v>
      </c>
      <c r="I37" s="64">
        <v>0.68</v>
      </c>
      <c r="J37" s="64">
        <v>-40</v>
      </c>
      <c r="L37" s="39"/>
      <c r="M37" s="14"/>
    </row>
    <row r="38" spans="2:13" x14ac:dyDescent="0.35">
      <c r="B38" s="64"/>
      <c r="C38" s="64"/>
      <c r="D38" s="64"/>
      <c r="E38" s="64"/>
      <c r="G38" s="64" t="s">
        <v>166</v>
      </c>
      <c r="H38" s="64">
        <v>30.43</v>
      </c>
      <c r="I38" s="64">
        <v>30.68</v>
      </c>
      <c r="J38" s="64">
        <v>-30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166</v>
      </c>
      <c r="H39" s="64">
        <v>60.43</v>
      </c>
      <c r="I39" s="64">
        <v>60.68</v>
      </c>
      <c r="J39" s="64">
        <v>-20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166</v>
      </c>
      <c r="H40" s="64">
        <v>90.43</v>
      </c>
      <c r="I40" s="64">
        <v>90.68</v>
      </c>
      <c r="J40" s="64">
        <v>-10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166</v>
      </c>
      <c r="H41" s="64">
        <v>120.43</v>
      </c>
      <c r="I41" s="64">
        <v>120.68</v>
      </c>
      <c r="J41" s="64">
        <v>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166</v>
      </c>
      <c r="H42" s="64">
        <v>150.43</v>
      </c>
      <c r="I42" s="64">
        <v>150.68</v>
      </c>
      <c r="J42" s="64">
        <v>10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166</v>
      </c>
      <c r="H43" s="64">
        <v>180.43</v>
      </c>
      <c r="I43" s="64">
        <v>180.68</v>
      </c>
      <c r="J43" s="64">
        <v>20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160</v>
      </c>
      <c r="H44" s="64">
        <v>0</v>
      </c>
      <c r="I44" s="64">
        <v>181</v>
      </c>
      <c r="J44" s="64">
        <v>-80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160</v>
      </c>
      <c r="H45" s="64">
        <v>0.43</v>
      </c>
      <c r="I45" s="64">
        <v>0.68</v>
      </c>
      <c r="J45" s="64">
        <v>-40</v>
      </c>
    </row>
    <row r="46" spans="2:13" x14ac:dyDescent="0.35">
      <c r="B46" s="64"/>
      <c r="C46" s="64"/>
      <c r="D46" s="64"/>
      <c r="E46" s="64"/>
      <c r="G46" s="64" t="s">
        <v>160</v>
      </c>
      <c r="H46" s="64">
        <v>30.43</v>
      </c>
      <c r="I46" s="64">
        <v>30.68</v>
      </c>
      <c r="J46" s="64">
        <v>-30</v>
      </c>
    </row>
    <row r="47" spans="2:13" x14ac:dyDescent="0.35">
      <c r="B47" s="64"/>
      <c r="C47" s="64"/>
      <c r="D47" s="64"/>
      <c r="E47" s="64"/>
      <c r="G47" s="64" t="s">
        <v>160</v>
      </c>
      <c r="H47" s="64">
        <v>60.43</v>
      </c>
      <c r="I47" s="64">
        <v>60.68</v>
      </c>
      <c r="J47" s="64">
        <v>-20</v>
      </c>
    </row>
    <row r="48" spans="2:13" x14ac:dyDescent="0.35">
      <c r="B48" s="64"/>
      <c r="C48" s="64"/>
      <c r="D48" s="64"/>
      <c r="E48" s="64"/>
      <c r="G48" s="64" t="s">
        <v>160</v>
      </c>
      <c r="H48" s="64">
        <v>90.43</v>
      </c>
      <c r="I48" s="64">
        <v>90.68</v>
      </c>
      <c r="J48" s="64">
        <v>-10</v>
      </c>
    </row>
    <row r="49" spans="2:10" x14ac:dyDescent="0.35">
      <c r="B49" s="64"/>
      <c r="C49" s="64"/>
      <c r="D49" s="64"/>
      <c r="E49" s="64"/>
      <c r="G49" s="64" t="s">
        <v>160</v>
      </c>
      <c r="H49" s="64">
        <v>120.43</v>
      </c>
      <c r="I49" s="64">
        <v>120.68</v>
      </c>
      <c r="J49" s="64">
        <v>0</v>
      </c>
    </row>
    <row r="50" spans="2:10" x14ac:dyDescent="0.35">
      <c r="B50" s="64"/>
      <c r="C50" s="64"/>
      <c r="D50" s="64"/>
      <c r="E50" s="64"/>
      <c r="G50" s="64" t="s">
        <v>160</v>
      </c>
      <c r="H50" s="64">
        <v>150.43</v>
      </c>
      <c r="I50" s="64">
        <v>150.68</v>
      </c>
      <c r="J50" s="64">
        <v>10</v>
      </c>
    </row>
    <row r="51" spans="2:10" x14ac:dyDescent="0.35">
      <c r="B51" s="64"/>
      <c r="C51" s="64"/>
      <c r="D51" s="64"/>
      <c r="E51" s="64"/>
      <c r="G51" s="64" t="s">
        <v>160</v>
      </c>
      <c r="H51" s="64">
        <v>180.43</v>
      </c>
      <c r="I51" s="64">
        <v>180.68</v>
      </c>
      <c r="J51" s="64">
        <v>20</v>
      </c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  <row r="88" spans="2:10" x14ac:dyDescent="0.35">
      <c r="G88" s="64"/>
      <c r="H88" s="64"/>
      <c r="I88" s="64"/>
      <c r="J88" s="64"/>
    </row>
    <row r="89" spans="2:10" x14ac:dyDescent="0.35">
      <c r="G89" s="64"/>
      <c r="H89" s="64"/>
      <c r="I89" s="64"/>
      <c r="J89" s="64"/>
    </row>
    <row r="90" spans="2:10" x14ac:dyDescent="0.35">
      <c r="G90" s="64"/>
      <c r="H90" s="64"/>
      <c r="I90" s="64"/>
      <c r="J90" s="64"/>
    </row>
    <row r="91" spans="2:10" x14ac:dyDescent="0.35">
      <c r="G91" s="64"/>
      <c r="H91" s="64"/>
      <c r="I91" s="64"/>
      <c r="J91" s="64"/>
    </row>
    <row r="92" spans="2:10" x14ac:dyDescent="0.35">
      <c r="G92" s="64"/>
      <c r="H92" s="64"/>
      <c r="I92" s="64"/>
      <c r="J92" s="64"/>
    </row>
    <row r="93" spans="2:10" x14ac:dyDescent="0.35">
      <c r="G93" s="64"/>
      <c r="H93" s="64"/>
      <c r="I93" s="64"/>
      <c r="J93" s="64"/>
    </row>
    <row r="94" spans="2:10" x14ac:dyDescent="0.35">
      <c r="G94" s="64"/>
      <c r="H94" s="64"/>
      <c r="I94" s="64"/>
      <c r="J94" s="64"/>
    </row>
    <row r="95" spans="2:10" x14ac:dyDescent="0.35">
      <c r="G95" s="64"/>
      <c r="H95" s="64"/>
      <c r="I95" s="64"/>
      <c r="J95" s="64"/>
    </row>
    <row r="96" spans="2:10" x14ac:dyDescent="0.35">
      <c r="G96" s="64"/>
      <c r="H96" s="64"/>
      <c r="I96" s="64"/>
      <c r="J96" s="64"/>
    </row>
    <row r="97" spans="7:10" x14ac:dyDescent="0.35">
      <c r="G97" s="64"/>
      <c r="H97" s="64"/>
      <c r="I97" s="64"/>
      <c r="J97" s="64"/>
    </row>
    <row r="98" spans="7:10" x14ac:dyDescent="0.35">
      <c r="G98" s="64"/>
      <c r="H98" s="64"/>
      <c r="I98" s="64"/>
      <c r="J98" s="64"/>
    </row>
    <row r="99" spans="7:10" x14ac:dyDescent="0.35">
      <c r="G99" s="64"/>
      <c r="H99" s="64"/>
      <c r="I99" s="64"/>
      <c r="J99" s="64"/>
    </row>
    <row r="100" spans="7:10" x14ac:dyDescent="0.35">
      <c r="G100" s="64"/>
      <c r="H100" s="64"/>
      <c r="I100" s="64"/>
      <c r="J100" s="64"/>
    </row>
    <row r="101" spans="7:10" x14ac:dyDescent="0.35">
      <c r="G101" s="64"/>
      <c r="H101" s="64"/>
      <c r="I101" s="64"/>
      <c r="J101" s="64"/>
    </row>
    <row r="102" spans="7:10" x14ac:dyDescent="0.35">
      <c r="G102" s="64"/>
      <c r="H102" s="64"/>
      <c r="I102" s="64"/>
      <c r="J102" s="64"/>
    </row>
    <row r="103" spans="7:10" x14ac:dyDescent="0.35">
      <c r="G103" s="64"/>
      <c r="H103" s="64"/>
      <c r="I103" s="64"/>
      <c r="J103" s="64"/>
    </row>
    <row r="104" spans="7:10" x14ac:dyDescent="0.35">
      <c r="G104" s="64"/>
      <c r="H104" s="64"/>
      <c r="I104" s="64"/>
      <c r="J104" s="64"/>
    </row>
    <row r="105" spans="7:10" x14ac:dyDescent="0.35">
      <c r="G105" s="64"/>
      <c r="H105" s="64"/>
      <c r="I105" s="64"/>
      <c r="J105" s="64"/>
    </row>
    <row r="106" spans="7:10" x14ac:dyDescent="0.35">
      <c r="G106" s="64"/>
      <c r="H106" s="64"/>
      <c r="I106" s="64"/>
      <c r="J106" s="64"/>
    </row>
    <row r="107" spans="7:10" x14ac:dyDescent="0.35">
      <c r="G107" s="64"/>
      <c r="H107" s="64"/>
      <c r="I107" s="64"/>
      <c r="J107" s="64"/>
    </row>
    <row r="108" spans="7:10" x14ac:dyDescent="0.35">
      <c r="G108" s="64"/>
      <c r="H108" s="64"/>
      <c r="I108" s="64"/>
      <c r="J108" s="64"/>
    </row>
    <row r="109" spans="7:10" x14ac:dyDescent="0.35">
      <c r="G109" s="64"/>
      <c r="H109" s="64"/>
      <c r="I109" s="64"/>
      <c r="J109" s="64"/>
    </row>
    <row r="110" spans="7:10" x14ac:dyDescent="0.35">
      <c r="G110" s="64"/>
      <c r="H110" s="64"/>
      <c r="I110" s="64"/>
      <c r="J110" s="64"/>
    </row>
    <row r="111" spans="7:10" x14ac:dyDescent="0.35">
      <c r="G111" s="64"/>
      <c r="H111" s="64"/>
      <c r="I111" s="64"/>
      <c r="J111" s="64"/>
    </row>
    <row r="112" spans="7:10" x14ac:dyDescent="0.35">
      <c r="G112" s="64"/>
      <c r="H112" s="64"/>
      <c r="I112" s="64"/>
      <c r="J112" s="64"/>
    </row>
    <row r="113" spans="7:10" x14ac:dyDescent="0.35">
      <c r="G113" s="64"/>
      <c r="H113" s="64"/>
      <c r="I113" s="64"/>
      <c r="J113" s="64"/>
    </row>
    <row r="114" spans="7:10" x14ac:dyDescent="0.35">
      <c r="G114" s="64"/>
      <c r="H114" s="64"/>
      <c r="I114" s="64"/>
      <c r="J114" s="64"/>
    </row>
    <row r="115" spans="7:10" x14ac:dyDescent="0.35">
      <c r="G115" s="64"/>
      <c r="H115" s="64"/>
      <c r="I115" s="64"/>
      <c r="J115" s="64"/>
    </row>
    <row r="116" spans="7:10" x14ac:dyDescent="0.35">
      <c r="G116" s="64"/>
      <c r="H116" s="64"/>
      <c r="I116" s="64"/>
      <c r="J116" s="64"/>
    </row>
    <row r="117" spans="7:10" x14ac:dyDescent="0.35">
      <c r="G117" s="64"/>
      <c r="H117" s="64"/>
      <c r="I117" s="64"/>
      <c r="J117" s="64"/>
    </row>
    <row r="118" spans="7:10" x14ac:dyDescent="0.35">
      <c r="G118" s="64"/>
      <c r="H118" s="64"/>
      <c r="I118" s="64"/>
      <c r="J118" s="64"/>
    </row>
    <row r="119" spans="7:10" x14ac:dyDescent="0.35">
      <c r="G119" s="64"/>
      <c r="H119" s="64"/>
      <c r="I119" s="64"/>
      <c r="J119" s="64"/>
    </row>
    <row r="120" spans="7:10" x14ac:dyDescent="0.35">
      <c r="G120" s="64"/>
      <c r="H120" s="64"/>
      <c r="I120" s="64"/>
      <c r="J120" s="64"/>
    </row>
    <row r="121" spans="7:10" x14ac:dyDescent="0.35">
      <c r="G121" s="64"/>
      <c r="H121" s="64"/>
      <c r="I121" s="64"/>
      <c r="J121" s="64"/>
    </row>
    <row r="122" spans="7:10" x14ac:dyDescent="0.35">
      <c r="G122" s="64"/>
      <c r="H122" s="64"/>
      <c r="I122" s="64"/>
      <c r="J122" s="64"/>
    </row>
    <row r="123" spans="7:10" x14ac:dyDescent="0.35">
      <c r="G123" s="64"/>
      <c r="H123" s="64"/>
      <c r="I123" s="64"/>
      <c r="J123" s="64"/>
    </row>
    <row r="124" spans="7:10" x14ac:dyDescent="0.35">
      <c r="G124" s="64"/>
      <c r="H124" s="64"/>
      <c r="I124" s="64"/>
      <c r="J124" s="64"/>
    </row>
    <row r="125" spans="7:10" x14ac:dyDescent="0.35">
      <c r="G125" s="64"/>
      <c r="H125" s="64"/>
      <c r="I125" s="64"/>
      <c r="J125" s="64"/>
    </row>
    <row r="126" spans="7:10" x14ac:dyDescent="0.35">
      <c r="G126" s="64"/>
      <c r="H126" s="64"/>
      <c r="I126" s="64"/>
      <c r="J126" s="64"/>
    </row>
    <row r="127" spans="7:10" x14ac:dyDescent="0.35">
      <c r="G127" s="64"/>
      <c r="H127" s="64"/>
      <c r="I127" s="64"/>
      <c r="J127" s="64"/>
    </row>
    <row r="128" spans="7:10" x14ac:dyDescent="0.35">
      <c r="G128" s="64"/>
      <c r="H128" s="64"/>
      <c r="I128" s="64"/>
      <c r="J128" s="64"/>
    </row>
    <row r="129" spans="7:10" x14ac:dyDescent="0.35">
      <c r="G129" s="64"/>
      <c r="H129" s="64"/>
      <c r="I129" s="64"/>
      <c r="J129" s="64"/>
    </row>
    <row r="130" spans="7:10" x14ac:dyDescent="0.35">
      <c r="G130" s="64"/>
      <c r="H130" s="64"/>
      <c r="I130" s="64"/>
      <c r="J130" s="64"/>
    </row>
    <row r="131" spans="7:10" x14ac:dyDescent="0.35">
      <c r="G131" s="64"/>
      <c r="H131" s="64"/>
      <c r="I131" s="64"/>
      <c r="J131" s="64"/>
    </row>
    <row r="132" spans="7:10" x14ac:dyDescent="0.35">
      <c r="G132" s="64"/>
      <c r="H132" s="64"/>
      <c r="I132" s="64"/>
      <c r="J132" s="64"/>
    </row>
    <row r="133" spans="7:10" x14ac:dyDescent="0.35">
      <c r="G133" s="64"/>
      <c r="H133" s="64"/>
      <c r="I133" s="64"/>
      <c r="J133" s="64"/>
    </row>
    <row r="134" spans="7:10" x14ac:dyDescent="0.35">
      <c r="G134" s="64"/>
      <c r="H134" s="64"/>
      <c r="I134" s="64"/>
      <c r="J134" s="64"/>
    </row>
    <row r="135" spans="7:10" x14ac:dyDescent="0.35">
      <c r="G135" s="64"/>
      <c r="H135" s="64"/>
      <c r="I135" s="64"/>
      <c r="J135" s="64"/>
    </row>
    <row r="136" spans="7:10" x14ac:dyDescent="0.35">
      <c r="G136" s="64"/>
      <c r="H136" s="64"/>
      <c r="I136" s="64"/>
      <c r="J136" s="64"/>
    </row>
    <row r="137" spans="7:10" x14ac:dyDescent="0.35">
      <c r="G137" s="64"/>
      <c r="H137" s="64"/>
      <c r="I137" s="64"/>
      <c r="J13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112" priority="39" operator="notEqual">
      <formula>MAX($E$9:$E$23)</formula>
    </cfRule>
  </conditionalFormatting>
  <conditionalFormatting sqref="C28:D87">
    <cfRule type="cellIs" dxfId="111" priority="37" operator="greaterThan">
      <formula>$C$3</formula>
    </cfRule>
  </conditionalFormatting>
  <conditionalFormatting sqref="G28:G43">
    <cfRule type="uniqueValues" dxfId="110" priority="38"/>
  </conditionalFormatting>
  <conditionalFormatting sqref="G36:G43">
    <cfRule type="uniqueValues" dxfId="109" priority="11"/>
    <cfRule type="uniqueValues" dxfId="108" priority="17"/>
  </conditionalFormatting>
  <conditionalFormatting sqref="G44:G51">
    <cfRule type="uniqueValues" dxfId="107" priority="9"/>
  </conditionalFormatting>
  <conditionalFormatting sqref="G44:G59">
    <cfRule type="uniqueValues" dxfId="106" priority="36"/>
  </conditionalFormatting>
  <conditionalFormatting sqref="G52:G65">
    <cfRule type="uniqueValues" dxfId="105" priority="13"/>
  </conditionalFormatting>
  <conditionalFormatting sqref="G60:G67">
    <cfRule type="uniqueValues" dxfId="104" priority="34"/>
  </conditionalFormatting>
  <conditionalFormatting sqref="G66:G71">
    <cfRule type="uniqueValues" dxfId="103" priority="14"/>
  </conditionalFormatting>
  <conditionalFormatting sqref="G68:G81">
    <cfRule type="uniqueValues" dxfId="102" priority="40"/>
  </conditionalFormatting>
  <conditionalFormatting sqref="G82:G95">
    <cfRule type="uniqueValues" dxfId="101" priority="41"/>
  </conditionalFormatting>
  <conditionalFormatting sqref="G96:G102">
    <cfRule type="uniqueValues" dxfId="100" priority="42"/>
  </conditionalFormatting>
  <conditionalFormatting sqref="G103:G116">
    <cfRule type="uniqueValues" dxfId="99" priority="43"/>
  </conditionalFormatting>
  <conditionalFormatting sqref="G117:G130">
    <cfRule type="uniqueValues" dxfId="98" priority="44"/>
  </conditionalFormatting>
  <conditionalFormatting sqref="G131:G137">
    <cfRule type="uniqueValues" dxfId="97" priority="45"/>
  </conditionalFormatting>
  <conditionalFormatting sqref="H28:I137">
    <cfRule type="cellIs" dxfId="96" priority="1" operator="greaterThan">
      <formula>$C$3</formula>
    </cfRule>
  </conditionalFormatting>
  <dataValidations count="1">
    <dataValidation type="list" allowBlank="1" showInputMessage="1" showErrorMessage="1" sqref="F9:F23 Z9:Z23 P9:P23 K9:K23 U9:U23" xr:uid="{00000000-0002-0000-07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7"/>
  <sheetViews>
    <sheetView topLeftCell="A8" zoomScale="80" zoomScaleNormal="80" workbookViewId="0">
      <selection activeCell="G75" sqref="G75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 customWidth="1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137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f>MAX(E9:E23)</f>
        <v>181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5.0000000000000001E-4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1</v>
      </c>
      <c r="F9" s="45" t="s">
        <v>168</v>
      </c>
      <c r="G9" s="39" t="s">
        <v>194</v>
      </c>
      <c r="H9" s="64">
        <v>5</v>
      </c>
      <c r="I9" s="64">
        <v>-10</v>
      </c>
      <c r="J9" s="64">
        <v>0</v>
      </c>
      <c r="K9" s="45" t="s">
        <v>163</v>
      </c>
      <c r="L9" s="39" t="s">
        <v>195</v>
      </c>
      <c r="M9" s="64">
        <v>5</v>
      </c>
      <c r="N9" s="64">
        <v>-10</v>
      </c>
      <c r="O9" s="64">
        <v>0</v>
      </c>
      <c r="P9" s="45" t="s">
        <v>162</v>
      </c>
      <c r="Q9" s="39" t="s">
        <v>196</v>
      </c>
      <c r="R9" s="64">
        <v>5</v>
      </c>
      <c r="S9" s="64">
        <v>-10</v>
      </c>
      <c r="T9" s="64">
        <v>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30</v>
      </c>
      <c r="E10" s="64">
        <v>31</v>
      </c>
      <c r="F10" s="45" t="s">
        <v>168</v>
      </c>
      <c r="G10" s="39" t="s">
        <v>194</v>
      </c>
      <c r="H10" s="64">
        <v>5</v>
      </c>
      <c r="I10" s="64">
        <v>-10</v>
      </c>
      <c r="J10" s="64">
        <v>0</v>
      </c>
      <c r="K10" s="45" t="s">
        <v>163</v>
      </c>
      <c r="L10" s="39" t="s">
        <v>195</v>
      </c>
      <c r="M10" s="64">
        <v>5</v>
      </c>
      <c r="N10" s="64">
        <v>-10</v>
      </c>
      <c r="O10" s="64">
        <v>0</v>
      </c>
      <c r="P10" s="45" t="s">
        <v>162</v>
      </c>
      <c r="Q10" s="39" t="s">
        <v>196</v>
      </c>
      <c r="R10" s="64">
        <v>5</v>
      </c>
      <c r="S10" s="64">
        <v>-10</v>
      </c>
      <c r="T10" s="64">
        <v>0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60</v>
      </c>
      <c r="E11" s="64">
        <v>61</v>
      </c>
      <c r="F11" s="45" t="s">
        <v>168</v>
      </c>
      <c r="G11" s="39" t="s">
        <v>194</v>
      </c>
      <c r="H11" s="64">
        <v>5</v>
      </c>
      <c r="I11" s="64">
        <v>-10</v>
      </c>
      <c r="J11" s="64">
        <v>0</v>
      </c>
      <c r="K11" s="45" t="s">
        <v>163</v>
      </c>
      <c r="L11" s="39" t="s">
        <v>195</v>
      </c>
      <c r="M11" s="64">
        <v>5</v>
      </c>
      <c r="N11" s="64">
        <v>-10</v>
      </c>
      <c r="O11" s="64">
        <v>0</v>
      </c>
      <c r="P11" s="45" t="s">
        <v>162</v>
      </c>
      <c r="Q11" s="39" t="s">
        <v>196</v>
      </c>
      <c r="R11" s="64">
        <v>5</v>
      </c>
      <c r="S11" s="64">
        <v>-10</v>
      </c>
      <c r="T11" s="64">
        <v>0</v>
      </c>
      <c r="U11" s="45" t="s">
        <v>178</v>
      </c>
      <c r="V11" s="39"/>
      <c r="W11" s="64"/>
      <c r="X11" s="64"/>
      <c r="Y11" s="64"/>
      <c r="Z11" s="16"/>
    </row>
    <row r="12" spans="1:26" x14ac:dyDescent="0.35">
      <c r="A12" s="43">
        <v>1</v>
      </c>
      <c r="B12" s="62" t="s">
        <v>31</v>
      </c>
      <c r="C12" s="64">
        <v>10</v>
      </c>
      <c r="D12" s="64">
        <v>90</v>
      </c>
      <c r="E12" s="64">
        <v>91</v>
      </c>
      <c r="F12" s="45" t="s">
        <v>168</v>
      </c>
      <c r="G12" s="39" t="s">
        <v>194</v>
      </c>
      <c r="H12" s="64">
        <v>5</v>
      </c>
      <c r="I12" s="64">
        <v>-10</v>
      </c>
      <c r="J12" s="64">
        <v>0</v>
      </c>
      <c r="K12" s="45" t="s">
        <v>163</v>
      </c>
      <c r="L12" s="39" t="s">
        <v>195</v>
      </c>
      <c r="M12" s="64">
        <v>5</v>
      </c>
      <c r="N12" s="64">
        <v>-10</v>
      </c>
      <c r="O12" s="64">
        <v>0</v>
      </c>
      <c r="P12" s="45" t="s">
        <v>162</v>
      </c>
      <c r="Q12" s="39" t="s">
        <v>196</v>
      </c>
      <c r="R12" s="64">
        <v>5</v>
      </c>
      <c r="S12" s="64">
        <v>-10</v>
      </c>
      <c r="T12" s="64">
        <v>0</v>
      </c>
      <c r="U12" s="45" t="s">
        <v>178</v>
      </c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120</v>
      </c>
      <c r="E13" s="64">
        <v>121</v>
      </c>
      <c r="F13" s="45" t="s">
        <v>168</v>
      </c>
      <c r="G13" s="39" t="s">
        <v>194</v>
      </c>
      <c r="H13" s="64">
        <v>5</v>
      </c>
      <c r="I13" s="64">
        <v>-10</v>
      </c>
      <c r="J13" s="64">
        <v>0</v>
      </c>
      <c r="K13" s="45" t="s">
        <v>163</v>
      </c>
      <c r="L13" s="39" t="s">
        <v>195</v>
      </c>
      <c r="M13" s="64">
        <v>5</v>
      </c>
      <c r="N13" s="64">
        <v>-10</v>
      </c>
      <c r="O13" s="64">
        <v>0</v>
      </c>
      <c r="P13" s="45" t="s">
        <v>162</v>
      </c>
      <c r="Q13" s="39" t="s">
        <v>196</v>
      </c>
      <c r="R13" s="64">
        <v>5</v>
      </c>
      <c r="S13" s="64">
        <v>-10</v>
      </c>
      <c r="T13" s="64">
        <v>0</v>
      </c>
      <c r="U13" s="45" t="s">
        <v>178</v>
      </c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150</v>
      </c>
      <c r="E14" s="64">
        <v>151</v>
      </c>
      <c r="F14" s="45" t="s">
        <v>168</v>
      </c>
      <c r="G14" s="39" t="s">
        <v>194</v>
      </c>
      <c r="H14" s="64">
        <v>5</v>
      </c>
      <c r="I14" s="64">
        <v>-10</v>
      </c>
      <c r="J14" s="64">
        <v>0</v>
      </c>
      <c r="K14" s="45" t="s">
        <v>163</v>
      </c>
      <c r="L14" s="39" t="s">
        <v>195</v>
      </c>
      <c r="M14" s="64">
        <v>5</v>
      </c>
      <c r="N14" s="64">
        <v>-10</v>
      </c>
      <c r="O14" s="64">
        <v>0</v>
      </c>
      <c r="P14" s="45" t="s">
        <v>162</v>
      </c>
      <c r="Q14" s="39" t="s">
        <v>196</v>
      </c>
      <c r="R14" s="64">
        <v>5</v>
      </c>
      <c r="S14" s="64">
        <v>-10</v>
      </c>
      <c r="T14" s="64">
        <v>0</v>
      </c>
      <c r="U14" s="45" t="s">
        <v>178</v>
      </c>
      <c r="V14" s="39"/>
      <c r="W14" s="64"/>
      <c r="X14" s="64"/>
      <c r="Y14" s="64"/>
      <c r="Z14" s="16"/>
    </row>
    <row r="15" spans="1:26" x14ac:dyDescent="0.35">
      <c r="A15" s="43">
        <v>1</v>
      </c>
      <c r="B15" s="62" t="s">
        <v>31</v>
      </c>
      <c r="C15" s="64">
        <v>10</v>
      </c>
      <c r="D15" s="64">
        <v>180</v>
      </c>
      <c r="E15" s="64">
        <v>181</v>
      </c>
      <c r="F15" s="45" t="s">
        <v>168</v>
      </c>
      <c r="G15" s="39" t="s">
        <v>194</v>
      </c>
      <c r="H15" s="64">
        <v>5</v>
      </c>
      <c r="I15" s="64">
        <v>-10</v>
      </c>
      <c r="J15" s="64">
        <v>0</v>
      </c>
      <c r="K15" s="45" t="s">
        <v>163</v>
      </c>
      <c r="L15" s="39" t="s">
        <v>195</v>
      </c>
      <c r="M15" s="64">
        <v>5</v>
      </c>
      <c r="N15" s="64">
        <v>-10</v>
      </c>
      <c r="O15" s="64">
        <v>0</v>
      </c>
      <c r="P15" s="45" t="s">
        <v>162</v>
      </c>
      <c r="Q15" s="39" t="s">
        <v>196</v>
      </c>
      <c r="R15" s="64">
        <v>5</v>
      </c>
      <c r="S15" s="64">
        <v>-10</v>
      </c>
      <c r="T15" s="64">
        <v>0</v>
      </c>
      <c r="U15" s="45" t="s">
        <v>178</v>
      </c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4" spans="1:26" ht="15" thickBot="1" x14ac:dyDescent="0.4">
      <c r="V24" s="147"/>
      <c r="W24" s="148"/>
      <c r="X24" s="148"/>
      <c r="Y24" s="148"/>
      <c r="Z24" s="149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194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181</v>
      </c>
      <c r="J28" s="64">
        <v>-80</v>
      </c>
      <c r="L28" s="39" t="s">
        <v>195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0.43</v>
      </c>
      <c r="I29" s="64">
        <v>0.93</v>
      </c>
      <c r="J29" s="64">
        <v>-40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30.43</v>
      </c>
      <c r="I30" s="64">
        <v>30.93</v>
      </c>
      <c r="J30" s="64">
        <v>-30</v>
      </c>
      <c r="L30" s="39" t="s">
        <v>196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60.43</v>
      </c>
      <c r="I31" s="64">
        <v>60.93</v>
      </c>
      <c r="J31" s="64">
        <v>-20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90.43</v>
      </c>
      <c r="I32" s="64">
        <v>90.93</v>
      </c>
      <c r="J32" s="64">
        <v>-10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120.43</v>
      </c>
      <c r="I33" s="64">
        <v>120.93</v>
      </c>
      <c r="J33" s="64">
        <v>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150.43</v>
      </c>
      <c r="I34" s="64">
        <v>150.93</v>
      </c>
      <c r="J34" s="64">
        <v>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180.43</v>
      </c>
      <c r="I35" s="64">
        <v>180.93</v>
      </c>
      <c r="J35" s="64">
        <v>20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166</v>
      </c>
      <c r="H36" s="64">
        <v>0</v>
      </c>
      <c r="I36" s="64">
        <v>181</v>
      </c>
      <c r="J36" s="64">
        <v>-80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166</v>
      </c>
      <c r="H37" s="64">
        <v>0.43</v>
      </c>
      <c r="I37" s="64">
        <v>0.93</v>
      </c>
      <c r="J37" s="64">
        <v>-40</v>
      </c>
      <c r="L37" s="39"/>
      <c r="M37" s="14"/>
    </row>
    <row r="38" spans="2:13" x14ac:dyDescent="0.35">
      <c r="B38" s="64"/>
      <c r="C38" s="64"/>
      <c r="D38" s="64"/>
      <c r="E38" s="64"/>
      <c r="G38" s="64" t="s">
        <v>166</v>
      </c>
      <c r="H38" s="64">
        <v>30.43</v>
      </c>
      <c r="I38" s="64">
        <v>30.93</v>
      </c>
      <c r="J38" s="64">
        <v>-30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166</v>
      </c>
      <c r="H39" s="64">
        <v>60.43</v>
      </c>
      <c r="I39" s="64">
        <v>60.93</v>
      </c>
      <c r="J39" s="64">
        <v>-20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166</v>
      </c>
      <c r="H40" s="64">
        <v>90.43</v>
      </c>
      <c r="I40" s="64">
        <v>90.93</v>
      </c>
      <c r="J40" s="64">
        <v>-10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166</v>
      </c>
      <c r="H41" s="64">
        <v>120.43</v>
      </c>
      <c r="I41" s="64">
        <v>120.93</v>
      </c>
      <c r="J41" s="64">
        <v>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166</v>
      </c>
      <c r="H42" s="64">
        <v>150.43</v>
      </c>
      <c r="I42" s="64">
        <v>150.93</v>
      </c>
      <c r="J42" s="64">
        <v>10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166</v>
      </c>
      <c r="H43" s="64">
        <v>180.43</v>
      </c>
      <c r="I43" s="64">
        <v>180.93</v>
      </c>
      <c r="J43" s="64">
        <v>20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160</v>
      </c>
      <c r="H44" s="64">
        <v>0</v>
      </c>
      <c r="I44" s="64">
        <v>181</v>
      </c>
      <c r="J44" s="64">
        <v>-80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160</v>
      </c>
      <c r="H45" s="64">
        <v>0.43</v>
      </c>
      <c r="I45" s="64">
        <v>0.93</v>
      </c>
      <c r="J45" s="64">
        <v>-40</v>
      </c>
    </row>
    <row r="46" spans="2:13" x14ac:dyDescent="0.35">
      <c r="B46" s="64"/>
      <c r="C46" s="64"/>
      <c r="D46" s="64"/>
      <c r="E46" s="64"/>
      <c r="G46" s="64" t="s">
        <v>160</v>
      </c>
      <c r="H46" s="64">
        <v>30.43</v>
      </c>
      <c r="I46" s="64">
        <v>30.93</v>
      </c>
      <c r="J46" s="64">
        <v>-30</v>
      </c>
    </row>
    <row r="47" spans="2:13" x14ac:dyDescent="0.35">
      <c r="B47" s="64"/>
      <c r="C47" s="64"/>
      <c r="D47" s="64"/>
      <c r="E47" s="64"/>
      <c r="G47" s="64" t="s">
        <v>160</v>
      </c>
      <c r="H47" s="64">
        <v>60.43</v>
      </c>
      <c r="I47" s="64">
        <v>60.93</v>
      </c>
      <c r="J47" s="64">
        <v>-20</v>
      </c>
    </row>
    <row r="48" spans="2:13" x14ac:dyDescent="0.35">
      <c r="B48" s="64"/>
      <c r="C48" s="64"/>
      <c r="D48" s="64"/>
      <c r="E48" s="64"/>
      <c r="G48" s="64" t="s">
        <v>160</v>
      </c>
      <c r="H48" s="64">
        <v>90.43</v>
      </c>
      <c r="I48" s="64">
        <v>90.93</v>
      </c>
      <c r="J48" s="64">
        <v>-10</v>
      </c>
    </row>
    <row r="49" spans="2:10" x14ac:dyDescent="0.35">
      <c r="B49" s="64"/>
      <c r="C49" s="64"/>
      <c r="D49" s="64"/>
      <c r="E49" s="64"/>
      <c r="G49" s="64" t="s">
        <v>160</v>
      </c>
      <c r="H49" s="64">
        <v>120.43</v>
      </c>
      <c r="I49" s="64">
        <v>120.93</v>
      </c>
      <c r="J49" s="64">
        <v>0</v>
      </c>
    </row>
    <row r="50" spans="2:10" x14ac:dyDescent="0.35">
      <c r="B50" s="64"/>
      <c r="C50" s="64"/>
      <c r="D50" s="64"/>
      <c r="E50" s="64"/>
      <c r="G50" s="64" t="s">
        <v>160</v>
      </c>
      <c r="H50" s="64">
        <v>150.43</v>
      </c>
      <c r="I50" s="64">
        <v>150.93</v>
      </c>
      <c r="J50" s="64">
        <v>10</v>
      </c>
    </row>
    <row r="51" spans="2:10" x14ac:dyDescent="0.35">
      <c r="B51" s="64"/>
      <c r="C51" s="64"/>
      <c r="D51" s="64"/>
      <c r="E51" s="64"/>
      <c r="G51" s="64" t="s">
        <v>160</v>
      </c>
      <c r="H51" s="64">
        <v>180.43</v>
      </c>
      <c r="I51" s="64">
        <v>180.93</v>
      </c>
      <c r="J51" s="64">
        <v>20</v>
      </c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95" priority="13" operator="notEqual">
      <formula>MAX($E$9:$E$23)</formula>
    </cfRule>
  </conditionalFormatting>
  <conditionalFormatting sqref="C28:D87">
    <cfRule type="cellIs" dxfId="94" priority="11" operator="greaterThan">
      <formula>$C$3</formula>
    </cfRule>
  </conditionalFormatting>
  <conditionalFormatting sqref="G28:G43 G52:G87">
    <cfRule type="uniqueValues" dxfId="93" priority="12"/>
  </conditionalFormatting>
  <conditionalFormatting sqref="G36:G43">
    <cfRule type="uniqueValues" dxfId="92" priority="4"/>
    <cfRule type="uniqueValues" dxfId="91" priority="6"/>
  </conditionalFormatting>
  <conditionalFormatting sqref="G44:G51">
    <cfRule type="uniqueValues" dxfId="90" priority="2"/>
  </conditionalFormatting>
  <conditionalFormatting sqref="G44:G59">
    <cfRule type="uniqueValues" dxfId="89" priority="10"/>
  </conditionalFormatting>
  <conditionalFormatting sqref="G60:G67">
    <cfRule type="uniqueValues" dxfId="88" priority="8"/>
  </conditionalFormatting>
  <conditionalFormatting sqref="H28:I87">
    <cfRule type="cellIs" dxfId="87" priority="1" operator="greaterThan">
      <formula>$C$3</formula>
    </cfRule>
  </conditionalFormatting>
  <dataValidations count="1">
    <dataValidation type="list" allowBlank="1" showInputMessage="1" showErrorMessage="1" sqref="F9:F23 U9:U23 Z9:Z23 K9:K23 P9:P23" xr:uid="{00000000-0002-0000-0800-000000000000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87"/>
  <sheetViews>
    <sheetView workbookViewId="0">
      <selection activeCell="J18" sqref="J18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16.453125" style="34" customWidth="1"/>
    <col min="7" max="7" width="8.453125" style="34" customWidth="1"/>
    <col min="8" max="8" width="9" style="34" customWidth="1"/>
    <col min="9" max="9" width="8.453125" style="34" customWidth="1"/>
    <col min="10" max="10" width="10.1796875" style="34" customWidth="1"/>
    <col min="11" max="11" width="16.7265625" style="34" customWidth="1"/>
    <col min="12" max="12" width="14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17.1796875" style="34" customWidth="1"/>
    <col min="17" max="19" width="8.453125" style="34" customWidth="1"/>
    <col min="20" max="20" width="10.26953125" style="34" customWidth="1"/>
    <col min="21" max="21" width="17" style="34" customWidth="1"/>
    <col min="22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191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12</v>
      </c>
      <c r="D3" s="31" t="s">
        <v>25</v>
      </c>
      <c r="E3" s="64">
        <v>0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 t="s">
        <v>143</v>
      </c>
      <c r="R5" s="32" t="s">
        <v>144</v>
      </c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4</v>
      </c>
      <c r="B9" s="62" t="s">
        <v>31</v>
      </c>
      <c r="C9" s="64">
        <v>12</v>
      </c>
      <c r="D9" s="64">
        <v>0</v>
      </c>
      <c r="E9" s="64">
        <v>12</v>
      </c>
      <c r="F9" s="45" t="s">
        <v>168</v>
      </c>
      <c r="G9" s="39" t="s">
        <v>192</v>
      </c>
      <c r="H9" s="64">
        <v>5</v>
      </c>
      <c r="I9" s="64">
        <v>-10</v>
      </c>
      <c r="J9" s="64">
        <v>0</v>
      </c>
      <c r="K9" s="45" t="s">
        <v>69</v>
      </c>
      <c r="L9" s="39" t="s">
        <v>193</v>
      </c>
      <c r="M9" s="64">
        <v>5</v>
      </c>
      <c r="N9" s="64">
        <v>0</v>
      </c>
      <c r="O9" s="64">
        <v>10</v>
      </c>
      <c r="P9" s="45" t="s">
        <v>163</v>
      </c>
      <c r="Q9" s="39"/>
      <c r="R9" s="64"/>
      <c r="S9" s="64"/>
      <c r="T9" s="64"/>
      <c r="U9" s="45"/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12</v>
      </c>
      <c r="D10" s="64">
        <v>0</v>
      </c>
      <c r="E10" s="64">
        <v>12</v>
      </c>
      <c r="F10" s="45" t="s">
        <v>168</v>
      </c>
      <c r="G10" s="39" t="s">
        <v>170</v>
      </c>
      <c r="H10" s="64">
        <v>9</v>
      </c>
      <c r="I10" s="64">
        <v>-90</v>
      </c>
      <c r="J10" s="64">
        <v>0</v>
      </c>
      <c r="K10" s="45" t="s">
        <v>168</v>
      </c>
      <c r="L10" s="39"/>
      <c r="M10" s="64"/>
      <c r="N10" s="64"/>
      <c r="O10" s="64"/>
      <c r="P10" s="16"/>
      <c r="Q10" s="39"/>
      <c r="R10" s="64"/>
      <c r="S10" s="64"/>
      <c r="T10" s="64"/>
      <c r="U10" s="45"/>
      <c r="V10" s="39"/>
      <c r="W10" s="64"/>
      <c r="X10" s="64"/>
      <c r="Y10" s="64"/>
      <c r="Z10" s="16"/>
    </row>
    <row r="11" spans="1:26" x14ac:dyDescent="0.35">
      <c r="A11" s="43"/>
      <c r="B11" s="62"/>
      <c r="C11" s="64"/>
      <c r="D11" s="64"/>
      <c r="E11" s="64"/>
      <c r="F11" s="45"/>
      <c r="G11" s="39"/>
      <c r="H11" s="64"/>
      <c r="I11" s="64"/>
      <c r="J11" s="64"/>
      <c r="K11" s="45"/>
      <c r="L11" s="39"/>
      <c r="M11" s="64"/>
      <c r="N11" s="64"/>
      <c r="O11" s="64"/>
      <c r="P11" s="16"/>
      <c r="Q11" s="39"/>
      <c r="R11" s="64"/>
      <c r="S11" s="64"/>
      <c r="T11" s="64"/>
      <c r="U11" s="16"/>
      <c r="V11" s="39"/>
      <c r="W11" s="64"/>
      <c r="X11" s="64"/>
      <c r="Y11" s="64"/>
      <c r="Z11" s="16"/>
    </row>
    <row r="12" spans="1:26" x14ac:dyDescent="0.35">
      <c r="A12" s="43"/>
      <c r="B12" s="62"/>
      <c r="C12" s="64"/>
      <c r="D12" s="64"/>
      <c r="E12" s="64"/>
      <c r="F12" s="45"/>
      <c r="G12" s="48"/>
      <c r="H12" s="64"/>
      <c r="I12" s="64"/>
      <c r="J12" s="64"/>
      <c r="K12" s="45"/>
      <c r="L12" s="39"/>
      <c r="M12" s="64"/>
      <c r="N12" s="64"/>
      <c r="O12" s="64"/>
      <c r="P12" s="16"/>
      <c r="Q12" s="39"/>
      <c r="R12" s="64"/>
      <c r="S12" s="64"/>
      <c r="T12" s="64"/>
      <c r="U12" s="16"/>
      <c r="V12" s="39"/>
      <c r="W12" s="64"/>
      <c r="X12" s="64"/>
      <c r="Y12" s="64"/>
      <c r="Z12" s="16"/>
    </row>
    <row r="13" spans="1:26" x14ac:dyDescent="0.35">
      <c r="A13" s="43"/>
      <c r="B13" s="62"/>
      <c r="C13" s="64"/>
      <c r="D13" s="64"/>
      <c r="E13" s="64"/>
      <c r="F13" s="45"/>
      <c r="G13" s="48"/>
      <c r="H13" s="64"/>
      <c r="I13" s="64"/>
      <c r="J13" s="64"/>
      <c r="K13" s="45"/>
      <c r="L13" s="39"/>
      <c r="M13" s="64"/>
      <c r="N13" s="64"/>
      <c r="O13" s="64"/>
      <c r="P13" s="16"/>
      <c r="Q13" s="39"/>
      <c r="R13" s="64"/>
      <c r="S13" s="64"/>
      <c r="T13" s="64"/>
      <c r="U13" s="16"/>
      <c r="V13" s="39"/>
      <c r="W13" s="64"/>
      <c r="X13" s="64"/>
      <c r="Y13" s="64"/>
      <c r="Z13" s="16"/>
    </row>
    <row r="14" spans="1:26" x14ac:dyDescent="0.35">
      <c r="A14" s="43"/>
      <c r="B14" s="62"/>
      <c r="C14" s="64"/>
      <c r="D14" s="64"/>
      <c r="E14" s="64"/>
      <c r="F14" s="45"/>
      <c r="G14" s="48"/>
      <c r="H14" s="64"/>
      <c r="I14" s="64"/>
      <c r="J14" s="64"/>
      <c r="K14" s="45"/>
      <c r="L14" s="39"/>
      <c r="M14" s="64"/>
      <c r="N14" s="64"/>
      <c r="O14" s="64"/>
      <c r="P14" s="16"/>
      <c r="Q14" s="39"/>
      <c r="R14" s="64"/>
      <c r="S14" s="64"/>
      <c r="T14" s="64"/>
      <c r="U14" s="16"/>
      <c r="V14" s="39"/>
      <c r="W14" s="64"/>
      <c r="X14" s="64"/>
      <c r="Y14" s="64"/>
      <c r="Z14" s="16"/>
    </row>
    <row r="15" spans="1:26" x14ac:dyDescent="0.35">
      <c r="A15" s="43"/>
      <c r="B15" s="62"/>
      <c r="C15" s="64"/>
      <c r="D15" s="64"/>
      <c r="E15" s="64"/>
      <c r="F15" s="45"/>
      <c r="G15" s="48"/>
      <c r="H15" s="64"/>
      <c r="I15" s="64"/>
      <c r="J15" s="64"/>
      <c r="K15" s="45"/>
      <c r="L15" s="39"/>
      <c r="M15" s="64"/>
      <c r="N15" s="64"/>
      <c r="O15" s="64"/>
      <c r="P15" s="16"/>
      <c r="Q15" s="39"/>
      <c r="R15" s="64"/>
      <c r="S15" s="64"/>
      <c r="T15" s="64"/>
      <c r="U15" s="16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48"/>
      <c r="H16" s="64"/>
      <c r="I16" s="64"/>
      <c r="J16" s="64"/>
      <c r="K16" s="45"/>
      <c r="L16" s="39"/>
      <c r="M16" s="64"/>
      <c r="N16" s="64"/>
      <c r="O16" s="64"/>
      <c r="P16" s="16"/>
      <c r="Q16" s="39"/>
      <c r="R16" s="64"/>
      <c r="S16" s="64"/>
      <c r="T16" s="64"/>
      <c r="U16" s="16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16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16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16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94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/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165</v>
      </c>
      <c r="H28" s="64">
        <v>0</v>
      </c>
      <c r="I28" s="64">
        <v>12</v>
      </c>
      <c r="J28" s="64">
        <v>-80</v>
      </c>
      <c r="L28" s="39"/>
      <c r="M28" s="14"/>
    </row>
    <row r="29" spans="1:26" x14ac:dyDescent="0.35">
      <c r="B29" s="64"/>
      <c r="C29" s="64"/>
      <c r="D29" s="64"/>
      <c r="E29" s="64"/>
      <c r="G29" s="64" t="s">
        <v>165</v>
      </c>
      <c r="H29" s="64">
        <v>2</v>
      </c>
      <c r="I29" s="64">
        <v>3</v>
      </c>
      <c r="J29" s="64">
        <v>-40</v>
      </c>
      <c r="L29" s="39"/>
      <c r="M29" s="14"/>
    </row>
    <row r="30" spans="1:26" x14ac:dyDescent="0.35">
      <c r="B30" s="64"/>
      <c r="C30" s="64"/>
      <c r="D30" s="64"/>
      <c r="E30" s="64"/>
      <c r="G30" s="64" t="s">
        <v>165</v>
      </c>
      <c r="H30" s="64">
        <v>4</v>
      </c>
      <c r="I30" s="64">
        <v>5</v>
      </c>
      <c r="J30" s="64">
        <v>-30</v>
      </c>
      <c r="L30" s="39"/>
      <c r="M30" s="14"/>
    </row>
    <row r="31" spans="1:26" x14ac:dyDescent="0.35">
      <c r="B31" s="64"/>
      <c r="C31" s="64"/>
      <c r="D31" s="64"/>
      <c r="E31" s="64"/>
      <c r="G31" s="64" t="s">
        <v>165</v>
      </c>
      <c r="H31" s="64">
        <v>6</v>
      </c>
      <c r="I31" s="64">
        <v>7</v>
      </c>
      <c r="J31" s="64">
        <v>-20</v>
      </c>
      <c r="L31" s="39"/>
      <c r="M31" s="14"/>
    </row>
    <row r="32" spans="1:26" x14ac:dyDescent="0.35">
      <c r="B32" s="64"/>
      <c r="C32" s="64"/>
      <c r="D32" s="64"/>
      <c r="E32" s="64"/>
      <c r="G32" s="64" t="s">
        <v>165</v>
      </c>
      <c r="H32" s="64">
        <v>8</v>
      </c>
      <c r="I32" s="64">
        <v>9</v>
      </c>
      <c r="J32" s="64">
        <v>-10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165</v>
      </c>
      <c r="H33" s="64">
        <v>10</v>
      </c>
      <c r="I33" s="64">
        <v>11</v>
      </c>
      <c r="J33" s="64">
        <v>0</v>
      </c>
      <c r="L33" s="39"/>
      <c r="M33" s="14"/>
    </row>
    <row r="34" spans="2:13" x14ac:dyDescent="0.35">
      <c r="B34" s="64"/>
      <c r="C34" s="64"/>
      <c r="D34" s="64"/>
      <c r="E34" s="64"/>
      <c r="G34" s="64"/>
      <c r="H34" s="64"/>
      <c r="I34" s="64"/>
      <c r="J34" s="64"/>
      <c r="L34" s="39"/>
      <c r="M34" s="14"/>
    </row>
    <row r="35" spans="2:13" x14ac:dyDescent="0.35">
      <c r="B35" s="64"/>
      <c r="C35" s="64"/>
      <c r="D35" s="64"/>
      <c r="E35" s="64"/>
      <c r="G35" s="64"/>
      <c r="H35" s="64"/>
      <c r="I35" s="64"/>
      <c r="J35" s="64"/>
      <c r="L35" s="39"/>
      <c r="M35" s="14"/>
    </row>
    <row r="36" spans="2:13" x14ac:dyDescent="0.35">
      <c r="B36" s="64"/>
      <c r="C36" s="64"/>
      <c r="D36" s="64"/>
      <c r="E36" s="64"/>
      <c r="G36" s="64"/>
      <c r="H36" s="64"/>
      <c r="I36" s="64"/>
      <c r="J36" s="64"/>
      <c r="L36" s="39"/>
      <c r="M36" s="14"/>
    </row>
    <row r="37" spans="2:13" x14ac:dyDescent="0.35">
      <c r="B37" s="64"/>
      <c r="C37" s="64"/>
      <c r="D37" s="64"/>
      <c r="E37" s="64"/>
      <c r="G37" s="64"/>
      <c r="H37" s="64"/>
      <c r="I37" s="64"/>
      <c r="J37" s="64"/>
      <c r="L37" s="20"/>
      <c r="M37" s="14"/>
    </row>
    <row r="38" spans="2:13" x14ac:dyDescent="0.35">
      <c r="B38" s="64"/>
      <c r="C38" s="64"/>
      <c r="D38" s="64"/>
      <c r="E38" s="64"/>
      <c r="G38" s="64"/>
      <c r="H38" s="64"/>
      <c r="I38" s="64"/>
      <c r="J38" s="64"/>
      <c r="L38" s="20"/>
      <c r="M38" s="14"/>
    </row>
    <row r="39" spans="2:13" x14ac:dyDescent="0.35">
      <c r="B39" s="64"/>
      <c r="C39" s="64"/>
      <c r="D39" s="64"/>
      <c r="E39" s="64"/>
      <c r="G39" s="64"/>
      <c r="H39" s="64"/>
      <c r="I39" s="64"/>
      <c r="J39" s="64"/>
      <c r="L39" s="20"/>
      <c r="M39" s="14"/>
    </row>
    <row r="40" spans="2:13" x14ac:dyDescent="0.35">
      <c r="B40" s="64"/>
      <c r="C40" s="64"/>
      <c r="D40" s="64"/>
      <c r="E40" s="64"/>
      <c r="G40" s="64"/>
      <c r="H40" s="64"/>
      <c r="I40" s="64"/>
      <c r="J40" s="64"/>
      <c r="L40" s="20"/>
      <c r="M40" s="14"/>
    </row>
    <row r="41" spans="2:13" x14ac:dyDescent="0.35">
      <c r="B41" s="64"/>
      <c r="C41" s="64"/>
      <c r="D41" s="64"/>
      <c r="E41" s="64"/>
      <c r="G41" s="64"/>
      <c r="H41" s="64"/>
      <c r="I41" s="64"/>
      <c r="J41" s="64"/>
      <c r="L41" s="20"/>
      <c r="M41" s="14"/>
    </row>
    <row r="42" spans="2:13" x14ac:dyDescent="0.35">
      <c r="B42" s="64"/>
      <c r="C42" s="64"/>
      <c r="D42" s="64"/>
      <c r="E42" s="64"/>
      <c r="G42" s="64"/>
      <c r="H42" s="64"/>
      <c r="I42" s="64"/>
      <c r="J42" s="64"/>
      <c r="L42" s="20"/>
      <c r="M42" s="14"/>
    </row>
    <row r="43" spans="2:13" x14ac:dyDescent="0.35">
      <c r="B43" s="64"/>
      <c r="C43" s="64"/>
      <c r="D43" s="64"/>
      <c r="E43" s="64"/>
      <c r="G43" s="64"/>
      <c r="H43" s="64"/>
      <c r="I43" s="64"/>
      <c r="J43" s="64"/>
      <c r="L43" s="20"/>
      <c r="M43" s="14"/>
    </row>
    <row r="44" spans="2:13" x14ac:dyDescent="0.35">
      <c r="B44" s="64"/>
      <c r="C44" s="64"/>
      <c r="D44" s="64"/>
      <c r="E44" s="64"/>
      <c r="G44" s="64"/>
      <c r="H44" s="64"/>
      <c r="I44" s="64"/>
      <c r="J44" s="64"/>
      <c r="L44" s="20"/>
      <c r="M44" s="14"/>
    </row>
    <row r="45" spans="2:13" x14ac:dyDescent="0.35">
      <c r="B45" s="64"/>
      <c r="C45" s="64"/>
      <c r="D45" s="64"/>
      <c r="E45" s="64"/>
      <c r="G45" s="64"/>
      <c r="H45" s="64"/>
      <c r="I45" s="64"/>
      <c r="J45" s="64"/>
    </row>
    <row r="46" spans="2:13" x14ac:dyDescent="0.35">
      <c r="B46" s="64"/>
      <c r="C46" s="64"/>
      <c r="D46" s="64"/>
      <c r="E46" s="64"/>
      <c r="G46" s="64"/>
      <c r="H46" s="64"/>
      <c r="I46" s="64"/>
      <c r="J46" s="64"/>
    </row>
    <row r="47" spans="2:13" x14ac:dyDescent="0.35">
      <c r="B47" s="64"/>
      <c r="C47" s="64"/>
      <c r="D47" s="64"/>
      <c r="E47" s="64"/>
      <c r="G47" s="64"/>
      <c r="H47" s="64"/>
      <c r="I47" s="64"/>
      <c r="J47" s="64"/>
    </row>
    <row r="48" spans="2:13" x14ac:dyDescent="0.35">
      <c r="B48" s="64"/>
      <c r="C48" s="64"/>
      <c r="D48" s="64"/>
      <c r="E48" s="64"/>
      <c r="G48" s="64"/>
      <c r="H48" s="64"/>
      <c r="I48" s="64"/>
      <c r="J48" s="64"/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86" priority="1" operator="notEqual">
      <formula>MAX($E$9:$E$23)</formula>
    </cfRule>
  </conditionalFormatting>
  <dataValidations count="1">
    <dataValidation type="list" allowBlank="1" showInputMessage="1" showErrorMessage="1" sqref="F9:F23 U9:U23 Z9:Z23 K9:K23 P9:P23" xr:uid="{00000000-0002-0000-09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7"/>
  <sheetViews>
    <sheetView workbookViewId="0">
      <selection activeCell="C4" sqref="C4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140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152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5.0000000000000001E-4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2</v>
      </c>
      <c r="F9" s="45" t="s">
        <v>168</v>
      </c>
      <c r="G9" s="39" t="s">
        <v>185</v>
      </c>
      <c r="H9" s="64">
        <v>5</v>
      </c>
      <c r="I9" s="64">
        <v>-20</v>
      </c>
      <c r="J9" s="64">
        <v>5</v>
      </c>
      <c r="K9" s="45" t="s">
        <v>69</v>
      </c>
      <c r="L9" s="39" t="s">
        <v>186</v>
      </c>
      <c r="M9" s="64">
        <v>5</v>
      </c>
      <c r="N9" s="64">
        <v>-20</v>
      </c>
      <c r="O9" s="64">
        <v>5</v>
      </c>
      <c r="P9" s="45" t="s">
        <v>162</v>
      </c>
      <c r="Q9" s="39" t="s">
        <v>187</v>
      </c>
      <c r="R9" s="64">
        <v>5</v>
      </c>
      <c r="S9" s="64">
        <v>-20</v>
      </c>
      <c r="T9" s="64">
        <v>5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30</v>
      </c>
      <c r="E10" s="64">
        <v>32</v>
      </c>
      <c r="F10" s="45" t="s">
        <v>168</v>
      </c>
      <c r="G10" s="39" t="s">
        <v>185</v>
      </c>
      <c r="H10" s="64">
        <v>5</v>
      </c>
      <c r="I10" s="64">
        <v>-20</v>
      </c>
      <c r="J10" s="64">
        <v>5</v>
      </c>
      <c r="K10" s="45" t="s">
        <v>69</v>
      </c>
      <c r="L10" s="39" t="s">
        <v>186</v>
      </c>
      <c r="M10" s="64">
        <v>5</v>
      </c>
      <c r="N10" s="64">
        <v>-20</v>
      </c>
      <c r="O10" s="64">
        <v>5</v>
      </c>
      <c r="P10" s="45" t="s">
        <v>162</v>
      </c>
      <c r="Q10" s="39" t="s">
        <v>187</v>
      </c>
      <c r="R10" s="64">
        <v>5</v>
      </c>
      <c r="S10" s="64">
        <v>-20</v>
      </c>
      <c r="T10" s="64">
        <v>5</v>
      </c>
      <c r="U10" s="45" t="s">
        <v>178</v>
      </c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60</v>
      </c>
      <c r="E11" s="64">
        <v>62</v>
      </c>
      <c r="F11" s="45" t="s">
        <v>168</v>
      </c>
      <c r="G11" s="39" t="s">
        <v>185</v>
      </c>
      <c r="H11" s="64">
        <v>5</v>
      </c>
      <c r="I11" s="64">
        <v>-20</v>
      </c>
      <c r="J11" s="64">
        <v>5</v>
      </c>
      <c r="K11" s="45" t="s">
        <v>69</v>
      </c>
      <c r="L11" s="39" t="s">
        <v>186</v>
      </c>
      <c r="M11" s="64">
        <v>5</v>
      </c>
      <c r="N11" s="64">
        <v>-20</v>
      </c>
      <c r="O11" s="64">
        <v>5</v>
      </c>
      <c r="P11" s="45" t="s">
        <v>162</v>
      </c>
      <c r="Q11" s="39" t="s">
        <v>187</v>
      </c>
      <c r="R11" s="64">
        <v>5</v>
      </c>
      <c r="S11" s="64">
        <v>-20</v>
      </c>
      <c r="T11" s="64">
        <v>5</v>
      </c>
      <c r="U11" s="45" t="s">
        <v>178</v>
      </c>
      <c r="V11" s="39"/>
      <c r="W11" s="64"/>
      <c r="X11" s="64"/>
      <c r="Y11" s="64"/>
      <c r="Z11" s="16"/>
    </row>
    <row r="12" spans="1:26" x14ac:dyDescent="0.35">
      <c r="A12" s="43">
        <v>1</v>
      </c>
      <c r="B12" s="62" t="s">
        <v>31</v>
      </c>
      <c r="C12" s="64">
        <v>10</v>
      </c>
      <c r="D12" s="64">
        <v>90</v>
      </c>
      <c r="E12" s="64">
        <v>92</v>
      </c>
      <c r="F12" s="45" t="s">
        <v>168</v>
      </c>
      <c r="G12" s="39" t="s">
        <v>185</v>
      </c>
      <c r="H12" s="64">
        <v>5</v>
      </c>
      <c r="I12" s="64">
        <v>-20</v>
      </c>
      <c r="J12" s="64">
        <v>5</v>
      </c>
      <c r="K12" s="45" t="s">
        <v>69</v>
      </c>
      <c r="L12" s="39" t="s">
        <v>186</v>
      </c>
      <c r="M12" s="64">
        <v>5</v>
      </c>
      <c r="N12" s="64">
        <v>-20</v>
      </c>
      <c r="O12" s="64">
        <v>5</v>
      </c>
      <c r="P12" s="45" t="s">
        <v>162</v>
      </c>
      <c r="Q12" s="39" t="s">
        <v>187</v>
      </c>
      <c r="R12" s="64">
        <v>5</v>
      </c>
      <c r="S12" s="64">
        <v>-20</v>
      </c>
      <c r="T12" s="64">
        <v>5</v>
      </c>
      <c r="U12" s="45" t="s">
        <v>178</v>
      </c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120</v>
      </c>
      <c r="E13" s="64">
        <v>122</v>
      </c>
      <c r="F13" s="45" t="s">
        <v>168</v>
      </c>
      <c r="G13" s="39" t="s">
        <v>185</v>
      </c>
      <c r="H13" s="64">
        <v>5</v>
      </c>
      <c r="I13" s="64">
        <v>-20</v>
      </c>
      <c r="J13" s="64">
        <v>5</v>
      </c>
      <c r="K13" s="45" t="s">
        <v>69</v>
      </c>
      <c r="L13" s="39" t="s">
        <v>186</v>
      </c>
      <c r="M13" s="64">
        <v>5</v>
      </c>
      <c r="N13" s="64">
        <v>-20</v>
      </c>
      <c r="O13" s="64">
        <v>5</v>
      </c>
      <c r="P13" s="45" t="s">
        <v>162</v>
      </c>
      <c r="Q13" s="39" t="s">
        <v>187</v>
      </c>
      <c r="R13" s="64">
        <v>5</v>
      </c>
      <c r="S13" s="64">
        <v>-20</v>
      </c>
      <c r="T13" s="64">
        <v>5</v>
      </c>
      <c r="U13" s="45" t="s">
        <v>178</v>
      </c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150</v>
      </c>
      <c r="E14" s="64">
        <v>152</v>
      </c>
      <c r="F14" s="45" t="s">
        <v>168</v>
      </c>
      <c r="G14" s="39" t="s">
        <v>185</v>
      </c>
      <c r="H14" s="64">
        <v>5</v>
      </c>
      <c r="I14" s="64">
        <v>-20</v>
      </c>
      <c r="J14" s="64">
        <v>5</v>
      </c>
      <c r="K14" s="45" t="s">
        <v>69</v>
      </c>
      <c r="L14" s="39" t="s">
        <v>186</v>
      </c>
      <c r="M14" s="64">
        <v>5</v>
      </c>
      <c r="N14" s="64">
        <v>-20</v>
      </c>
      <c r="O14" s="64">
        <v>5</v>
      </c>
      <c r="P14" s="45" t="s">
        <v>162</v>
      </c>
      <c r="Q14" s="39" t="s">
        <v>187</v>
      </c>
      <c r="R14" s="64">
        <v>5</v>
      </c>
      <c r="S14" s="64">
        <v>-20</v>
      </c>
      <c r="T14" s="64">
        <v>5</v>
      </c>
      <c r="U14" s="45" t="s">
        <v>178</v>
      </c>
      <c r="V14" s="39"/>
      <c r="W14" s="64"/>
      <c r="X14" s="64"/>
      <c r="Y14" s="64"/>
      <c r="Z14" s="16"/>
    </row>
    <row r="15" spans="1:26" x14ac:dyDescent="0.35">
      <c r="A15" s="43"/>
      <c r="B15" s="62"/>
      <c r="C15" s="64"/>
      <c r="D15" s="64"/>
      <c r="E15" s="64"/>
      <c r="F15" s="45"/>
      <c r="G15" s="39"/>
      <c r="H15" s="64"/>
      <c r="I15" s="64"/>
      <c r="J15" s="64"/>
      <c r="K15" s="45"/>
      <c r="L15" s="39"/>
      <c r="M15" s="64"/>
      <c r="N15" s="64"/>
      <c r="O15" s="64"/>
      <c r="P15" s="45"/>
      <c r="Q15" s="39"/>
      <c r="R15" s="64"/>
      <c r="S15" s="64"/>
      <c r="T15" s="64"/>
      <c r="U15" s="45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39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45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48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4" spans="1:26" ht="15" thickBot="1" x14ac:dyDescent="0.4">
      <c r="V24" s="147"/>
      <c r="W24" s="148"/>
      <c r="X24" s="148"/>
      <c r="Y24" s="148"/>
      <c r="Z24" s="149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185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164</v>
      </c>
      <c r="H28" s="64">
        <v>0</v>
      </c>
      <c r="I28" s="64">
        <v>152</v>
      </c>
      <c r="J28" s="64">
        <v>-100</v>
      </c>
      <c r="L28" s="39" t="s">
        <v>186</v>
      </c>
      <c r="M28" s="14"/>
    </row>
    <row r="29" spans="1:26" x14ac:dyDescent="0.35">
      <c r="B29" s="64"/>
      <c r="C29" s="64"/>
      <c r="D29" s="64"/>
      <c r="E29" s="64"/>
      <c r="G29" s="64" t="s">
        <v>164</v>
      </c>
      <c r="H29" s="64">
        <v>0.37</v>
      </c>
      <c r="I29" s="64">
        <v>0.87</v>
      </c>
      <c r="J29" s="64">
        <v>-60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164</v>
      </c>
      <c r="H30" s="64">
        <v>30.37</v>
      </c>
      <c r="I30" s="64">
        <v>30.87</v>
      </c>
      <c r="J30" s="64">
        <v>-50</v>
      </c>
      <c r="L30" s="39" t="s">
        <v>187</v>
      </c>
      <c r="M30" s="14"/>
    </row>
    <row r="31" spans="1:26" x14ac:dyDescent="0.35">
      <c r="B31" s="64"/>
      <c r="C31" s="64"/>
      <c r="D31" s="64"/>
      <c r="E31" s="64"/>
      <c r="G31" s="64" t="s">
        <v>164</v>
      </c>
      <c r="H31" s="64">
        <v>60.37</v>
      </c>
      <c r="I31" s="64">
        <v>60.87</v>
      </c>
      <c r="J31" s="64">
        <v>-40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164</v>
      </c>
      <c r="H32" s="64">
        <v>90.37</v>
      </c>
      <c r="I32" s="64">
        <v>90.87</v>
      </c>
      <c r="J32" s="64">
        <v>-30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164</v>
      </c>
      <c r="H33" s="64">
        <v>120.37</v>
      </c>
      <c r="I33" s="64">
        <v>120.87</v>
      </c>
      <c r="J33" s="64">
        <v>-20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164</v>
      </c>
      <c r="H34" s="64">
        <v>150.37</v>
      </c>
      <c r="I34" s="64">
        <v>150.87</v>
      </c>
      <c r="J34" s="64">
        <v>-10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166</v>
      </c>
      <c r="H35" s="64">
        <v>0</v>
      </c>
      <c r="I35" s="64">
        <v>152</v>
      </c>
      <c r="J35" s="64">
        <v>-100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166</v>
      </c>
      <c r="H36" s="64">
        <v>0.37</v>
      </c>
      <c r="I36" s="64">
        <v>0.87</v>
      </c>
      <c r="J36" s="64">
        <v>-60</v>
      </c>
      <c r="L36" s="39"/>
      <c r="M36" s="14"/>
    </row>
    <row r="37" spans="2:13" x14ac:dyDescent="0.35">
      <c r="B37" s="64"/>
      <c r="C37" s="64"/>
      <c r="D37" s="64"/>
      <c r="E37" s="64"/>
      <c r="G37" s="64" t="s">
        <v>166</v>
      </c>
      <c r="H37" s="64">
        <v>30.37</v>
      </c>
      <c r="I37" s="64">
        <v>30.87</v>
      </c>
      <c r="J37" s="64">
        <v>-50</v>
      </c>
      <c r="L37" s="39"/>
      <c r="M37" s="14"/>
    </row>
    <row r="38" spans="2:13" x14ac:dyDescent="0.35">
      <c r="B38" s="64"/>
      <c r="C38" s="64"/>
      <c r="D38" s="64"/>
      <c r="E38" s="64"/>
      <c r="G38" s="64" t="s">
        <v>166</v>
      </c>
      <c r="H38" s="64">
        <v>60.37</v>
      </c>
      <c r="I38" s="64">
        <v>60.87</v>
      </c>
      <c r="J38" s="64">
        <v>-40</v>
      </c>
      <c r="L38" s="20"/>
      <c r="M38" s="14"/>
    </row>
    <row r="39" spans="2:13" x14ac:dyDescent="0.35">
      <c r="B39" s="64"/>
      <c r="C39" s="64"/>
      <c r="D39" s="64"/>
      <c r="E39" s="64"/>
      <c r="G39" s="64" t="s">
        <v>166</v>
      </c>
      <c r="H39" s="64">
        <v>90.37</v>
      </c>
      <c r="I39" s="64">
        <v>90.87</v>
      </c>
      <c r="J39" s="64">
        <v>-30</v>
      </c>
      <c r="L39" s="20"/>
      <c r="M39" s="14"/>
    </row>
    <row r="40" spans="2:13" x14ac:dyDescent="0.35">
      <c r="B40" s="64"/>
      <c r="C40" s="64"/>
      <c r="D40" s="64"/>
      <c r="E40" s="64"/>
      <c r="G40" s="64" t="s">
        <v>166</v>
      </c>
      <c r="H40" s="64">
        <v>120.37</v>
      </c>
      <c r="I40" s="64">
        <v>120.87</v>
      </c>
      <c r="J40" s="64">
        <v>-20</v>
      </c>
      <c r="L40" s="20"/>
      <c r="M40" s="14"/>
    </row>
    <row r="41" spans="2:13" x14ac:dyDescent="0.35">
      <c r="B41" s="64"/>
      <c r="C41" s="64"/>
      <c r="D41" s="64"/>
      <c r="E41" s="64"/>
      <c r="G41" s="64" t="s">
        <v>166</v>
      </c>
      <c r="H41" s="64">
        <v>150.37</v>
      </c>
      <c r="I41" s="64">
        <v>150.87</v>
      </c>
      <c r="J41" s="64">
        <v>-10</v>
      </c>
      <c r="L41" s="20"/>
      <c r="M41" s="14"/>
    </row>
    <row r="42" spans="2:13" x14ac:dyDescent="0.35">
      <c r="B42" s="64"/>
      <c r="C42" s="64"/>
      <c r="D42" s="64"/>
      <c r="E42" s="64"/>
      <c r="G42" s="64" t="s">
        <v>160</v>
      </c>
      <c r="H42" s="64">
        <v>0</v>
      </c>
      <c r="I42" s="64">
        <v>152</v>
      </c>
      <c r="J42" s="64">
        <v>-100</v>
      </c>
      <c r="L42" s="20"/>
      <c r="M42" s="14"/>
    </row>
    <row r="43" spans="2:13" x14ac:dyDescent="0.35">
      <c r="B43" s="64"/>
      <c r="C43" s="64"/>
      <c r="D43" s="64"/>
      <c r="E43" s="64"/>
      <c r="G43" s="64" t="s">
        <v>160</v>
      </c>
      <c r="H43" s="64">
        <v>0.37</v>
      </c>
      <c r="I43" s="64">
        <v>0.87</v>
      </c>
      <c r="J43" s="64">
        <v>-60</v>
      </c>
      <c r="L43" s="20"/>
      <c r="M43" s="14"/>
    </row>
    <row r="44" spans="2:13" x14ac:dyDescent="0.35">
      <c r="B44" s="64"/>
      <c r="C44" s="64"/>
      <c r="D44" s="64"/>
      <c r="E44" s="64"/>
      <c r="G44" s="64" t="s">
        <v>160</v>
      </c>
      <c r="H44" s="64">
        <v>30.37</v>
      </c>
      <c r="I44" s="64">
        <v>30.87</v>
      </c>
      <c r="J44" s="64">
        <v>-50</v>
      </c>
      <c r="L44" s="20"/>
      <c r="M44" s="14"/>
    </row>
    <row r="45" spans="2:13" x14ac:dyDescent="0.35">
      <c r="B45" s="64"/>
      <c r="C45" s="64"/>
      <c r="D45" s="64"/>
      <c r="E45" s="64"/>
      <c r="G45" s="64" t="s">
        <v>160</v>
      </c>
      <c r="H45" s="64">
        <v>60.37</v>
      </c>
      <c r="I45" s="64">
        <v>60.87</v>
      </c>
      <c r="J45" s="64">
        <v>-40</v>
      </c>
    </row>
    <row r="46" spans="2:13" x14ac:dyDescent="0.35">
      <c r="B46" s="64"/>
      <c r="C46" s="64"/>
      <c r="D46" s="64"/>
      <c r="E46" s="64"/>
      <c r="G46" s="64" t="s">
        <v>160</v>
      </c>
      <c r="H46" s="64">
        <v>90.37</v>
      </c>
      <c r="I46" s="64">
        <v>90.87</v>
      </c>
      <c r="J46" s="64">
        <v>-30</v>
      </c>
    </row>
    <row r="47" spans="2:13" x14ac:dyDescent="0.35">
      <c r="B47" s="64"/>
      <c r="C47" s="64"/>
      <c r="D47" s="64"/>
      <c r="E47" s="64"/>
      <c r="G47" s="64" t="s">
        <v>160</v>
      </c>
      <c r="H47" s="64">
        <v>120.37</v>
      </c>
      <c r="I47" s="64">
        <v>120.87</v>
      </c>
      <c r="J47" s="64">
        <v>-20</v>
      </c>
    </row>
    <row r="48" spans="2:13" x14ac:dyDescent="0.35">
      <c r="B48" s="64"/>
      <c r="C48" s="64"/>
      <c r="D48" s="64"/>
      <c r="E48" s="64"/>
      <c r="G48" s="64" t="s">
        <v>160</v>
      </c>
      <c r="H48" s="64">
        <v>150.37</v>
      </c>
      <c r="I48" s="64">
        <v>150.87</v>
      </c>
      <c r="J48" s="64">
        <v>-10</v>
      </c>
    </row>
    <row r="49" spans="2:10" x14ac:dyDescent="0.35">
      <c r="B49" s="64"/>
      <c r="C49" s="64"/>
      <c r="D49" s="64"/>
      <c r="E49" s="64"/>
      <c r="G49" s="64" t="s">
        <v>164</v>
      </c>
      <c r="H49" s="64">
        <v>0.87</v>
      </c>
      <c r="I49" s="64">
        <v>1.87</v>
      </c>
      <c r="J49" s="64">
        <v>-60</v>
      </c>
    </row>
    <row r="50" spans="2:10" x14ac:dyDescent="0.35">
      <c r="B50" s="64"/>
      <c r="C50" s="64"/>
      <c r="D50" s="64"/>
      <c r="E50" s="64"/>
      <c r="G50" s="64" t="s">
        <v>164</v>
      </c>
      <c r="H50" s="64">
        <v>30.87</v>
      </c>
      <c r="I50" s="64">
        <v>31.87</v>
      </c>
      <c r="J50" s="64">
        <v>-50</v>
      </c>
    </row>
    <row r="51" spans="2:10" x14ac:dyDescent="0.35">
      <c r="B51" s="64"/>
      <c r="C51" s="64"/>
      <c r="D51" s="64"/>
      <c r="E51" s="64"/>
      <c r="G51" s="64" t="s">
        <v>164</v>
      </c>
      <c r="H51" s="64">
        <v>60.87</v>
      </c>
      <c r="I51" s="64">
        <v>61.87</v>
      </c>
      <c r="J51" s="64">
        <v>-40</v>
      </c>
    </row>
    <row r="52" spans="2:10" x14ac:dyDescent="0.35">
      <c r="B52" s="64"/>
      <c r="C52" s="64"/>
      <c r="D52" s="64"/>
      <c r="E52" s="64"/>
      <c r="G52" s="64" t="s">
        <v>164</v>
      </c>
      <c r="H52" s="64">
        <v>90.87</v>
      </c>
      <c r="I52" s="64">
        <v>91.87</v>
      </c>
      <c r="J52" s="64">
        <v>-30</v>
      </c>
    </row>
    <row r="53" spans="2:10" x14ac:dyDescent="0.35">
      <c r="B53" s="64"/>
      <c r="C53" s="64"/>
      <c r="D53" s="64"/>
      <c r="E53" s="64"/>
      <c r="G53" s="64" t="s">
        <v>164</v>
      </c>
      <c r="H53" s="64">
        <v>120.87</v>
      </c>
      <c r="I53" s="64">
        <v>121.87</v>
      </c>
      <c r="J53" s="64">
        <v>-20</v>
      </c>
    </row>
    <row r="54" spans="2:10" x14ac:dyDescent="0.35">
      <c r="B54" s="64"/>
      <c r="C54" s="64"/>
      <c r="D54" s="64"/>
      <c r="E54" s="64"/>
      <c r="G54" s="64" t="s">
        <v>164</v>
      </c>
      <c r="H54" s="64">
        <v>150.87</v>
      </c>
      <c r="I54" s="64">
        <v>151.87</v>
      </c>
      <c r="J54" s="64">
        <v>-10</v>
      </c>
    </row>
    <row r="55" spans="2:10" x14ac:dyDescent="0.35">
      <c r="B55" s="64"/>
      <c r="C55" s="64"/>
      <c r="D55" s="64"/>
      <c r="E55" s="64"/>
      <c r="G55" s="64" t="s">
        <v>166</v>
      </c>
      <c r="H55" s="64">
        <v>0.87</v>
      </c>
      <c r="I55" s="64">
        <v>1.87</v>
      </c>
      <c r="J55" s="64">
        <v>-60</v>
      </c>
    </row>
    <row r="56" spans="2:10" x14ac:dyDescent="0.35">
      <c r="B56" s="64"/>
      <c r="C56" s="64"/>
      <c r="D56" s="64"/>
      <c r="E56" s="64"/>
      <c r="G56" s="64" t="s">
        <v>166</v>
      </c>
      <c r="H56" s="64">
        <v>30.87</v>
      </c>
      <c r="I56" s="64">
        <v>31.87</v>
      </c>
      <c r="J56" s="64">
        <v>-50</v>
      </c>
    </row>
    <row r="57" spans="2:10" x14ac:dyDescent="0.35">
      <c r="B57" s="64"/>
      <c r="C57" s="64"/>
      <c r="D57" s="64"/>
      <c r="E57" s="64"/>
      <c r="G57" s="64" t="s">
        <v>166</v>
      </c>
      <c r="H57" s="64">
        <v>60.87</v>
      </c>
      <c r="I57" s="64">
        <v>61.87</v>
      </c>
      <c r="J57" s="64">
        <v>-40</v>
      </c>
    </row>
    <row r="58" spans="2:10" x14ac:dyDescent="0.35">
      <c r="B58" s="64"/>
      <c r="C58" s="64"/>
      <c r="D58" s="64"/>
      <c r="E58" s="64"/>
      <c r="G58" s="64" t="s">
        <v>166</v>
      </c>
      <c r="H58" s="64">
        <v>90.87</v>
      </c>
      <c r="I58" s="64">
        <v>91.87</v>
      </c>
      <c r="J58" s="64">
        <v>-30</v>
      </c>
    </row>
    <row r="59" spans="2:10" x14ac:dyDescent="0.35">
      <c r="B59" s="64"/>
      <c r="C59" s="64"/>
      <c r="D59" s="64"/>
      <c r="E59" s="64"/>
      <c r="G59" s="64" t="s">
        <v>166</v>
      </c>
      <c r="H59" s="64">
        <v>120.87</v>
      </c>
      <c r="I59" s="64">
        <v>121.87</v>
      </c>
      <c r="J59" s="64">
        <v>-20</v>
      </c>
    </row>
    <row r="60" spans="2:10" x14ac:dyDescent="0.35">
      <c r="B60" s="64"/>
      <c r="C60" s="64"/>
      <c r="D60" s="64"/>
      <c r="E60" s="64"/>
      <c r="G60" s="64" t="s">
        <v>166</v>
      </c>
      <c r="H60" s="64">
        <v>150.87</v>
      </c>
      <c r="I60" s="64">
        <v>151.87</v>
      </c>
      <c r="J60" s="64">
        <v>-10</v>
      </c>
    </row>
    <row r="61" spans="2:10" x14ac:dyDescent="0.35">
      <c r="B61" s="64"/>
      <c r="C61" s="64"/>
      <c r="D61" s="64"/>
      <c r="E61" s="64"/>
      <c r="G61" s="64" t="s">
        <v>160</v>
      </c>
      <c r="H61" s="64">
        <v>0.87</v>
      </c>
      <c r="I61" s="64">
        <v>1.87</v>
      </c>
      <c r="J61" s="64">
        <v>-60</v>
      </c>
    </row>
    <row r="62" spans="2:10" x14ac:dyDescent="0.35">
      <c r="B62" s="64"/>
      <c r="C62" s="64"/>
      <c r="D62" s="64"/>
      <c r="E62" s="64"/>
      <c r="G62" s="64" t="s">
        <v>160</v>
      </c>
      <c r="H62" s="64">
        <v>30.87</v>
      </c>
      <c r="I62" s="64">
        <v>31.87</v>
      </c>
      <c r="J62" s="64">
        <v>-50</v>
      </c>
    </row>
    <row r="63" spans="2:10" x14ac:dyDescent="0.35">
      <c r="B63" s="64"/>
      <c r="C63" s="64"/>
      <c r="D63" s="64"/>
      <c r="E63" s="64"/>
      <c r="G63" s="64" t="s">
        <v>160</v>
      </c>
      <c r="H63" s="64">
        <v>60.87</v>
      </c>
      <c r="I63" s="64">
        <v>61.87</v>
      </c>
      <c r="J63" s="64">
        <v>-40</v>
      </c>
    </row>
    <row r="64" spans="2:10" x14ac:dyDescent="0.35">
      <c r="B64" s="64"/>
      <c r="C64" s="64"/>
      <c r="D64" s="64"/>
      <c r="E64" s="64"/>
      <c r="G64" s="64" t="s">
        <v>160</v>
      </c>
      <c r="H64" s="64">
        <v>90.87</v>
      </c>
      <c r="I64" s="64">
        <v>91.87</v>
      </c>
      <c r="J64" s="64">
        <v>-30</v>
      </c>
    </row>
    <row r="65" spans="2:10" x14ac:dyDescent="0.35">
      <c r="B65" s="64"/>
      <c r="C65" s="64"/>
      <c r="D65" s="64"/>
      <c r="E65" s="64"/>
      <c r="G65" s="64" t="s">
        <v>160</v>
      </c>
      <c r="H65" s="64">
        <v>120.87</v>
      </c>
      <c r="I65" s="64">
        <v>121.87</v>
      </c>
      <c r="J65" s="64">
        <v>-20</v>
      </c>
    </row>
    <row r="66" spans="2:10" x14ac:dyDescent="0.35">
      <c r="B66" s="64"/>
      <c r="C66" s="64"/>
      <c r="D66" s="64"/>
      <c r="E66" s="64"/>
      <c r="G66" s="64" t="s">
        <v>160</v>
      </c>
      <c r="H66" s="64">
        <v>150.87</v>
      </c>
      <c r="I66" s="64">
        <v>151.87</v>
      </c>
      <c r="J66" s="64">
        <v>-10</v>
      </c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85" priority="81" operator="notEqual">
      <formula>MAX($E$9:$E$23)</formula>
    </cfRule>
  </conditionalFormatting>
  <conditionalFormatting sqref="C28:D87">
    <cfRule type="cellIs" dxfId="84" priority="79" operator="greaterThan">
      <formula>$C$3</formula>
    </cfRule>
  </conditionalFormatting>
  <conditionalFormatting sqref="G28">
    <cfRule type="uniqueValues" dxfId="83" priority="60"/>
  </conditionalFormatting>
  <conditionalFormatting sqref="G28:G29 G31 G33">
    <cfRule type="uniqueValues" dxfId="82" priority="63"/>
  </conditionalFormatting>
  <conditionalFormatting sqref="G29:G34">
    <cfRule type="uniqueValues" dxfId="81" priority="61"/>
  </conditionalFormatting>
  <conditionalFormatting sqref="G35:G41">
    <cfRule type="uniqueValues" dxfId="80" priority="42"/>
    <cfRule type="uniqueValues" dxfId="79" priority="45"/>
  </conditionalFormatting>
  <conditionalFormatting sqref="G42:G48">
    <cfRule type="uniqueValues" dxfId="78" priority="35"/>
    <cfRule type="uniqueValues" dxfId="77" priority="38"/>
  </conditionalFormatting>
  <conditionalFormatting sqref="G49:G54">
    <cfRule type="uniqueValues" dxfId="76" priority="22"/>
    <cfRule type="uniqueValues" dxfId="75" priority="23"/>
  </conditionalFormatting>
  <conditionalFormatting sqref="G55:G61">
    <cfRule type="uniqueValues" dxfId="74" priority="13"/>
    <cfRule type="uniqueValues" dxfId="73" priority="14"/>
  </conditionalFormatting>
  <conditionalFormatting sqref="G61:G68">
    <cfRule type="uniqueValues" dxfId="72" priority="11"/>
    <cfRule type="uniqueValues" dxfId="71" priority="12"/>
  </conditionalFormatting>
  <conditionalFormatting sqref="G69:G72">
    <cfRule type="uniqueValues" dxfId="70" priority="78"/>
  </conditionalFormatting>
  <conditionalFormatting sqref="G73:G87">
    <cfRule type="uniqueValues" dxfId="69" priority="80"/>
  </conditionalFormatting>
  <conditionalFormatting sqref="H28">
    <cfRule type="cellIs" dxfId="68" priority="59" operator="greaterThan">
      <formula>$C$3</formula>
    </cfRule>
  </conditionalFormatting>
  <conditionalFormatting sqref="H35">
    <cfRule type="cellIs" dxfId="67" priority="9" operator="greaterThan">
      <formula>$C$3</formula>
    </cfRule>
  </conditionalFormatting>
  <conditionalFormatting sqref="H42">
    <cfRule type="cellIs" dxfId="66" priority="5" operator="greaterThan">
      <formula>$C$3</formula>
    </cfRule>
  </conditionalFormatting>
  <conditionalFormatting sqref="H29:I34">
    <cfRule type="cellIs" dxfId="65" priority="58" operator="greaterThan">
      <formula>$C$3</formula>
    </cfRule>
  </conditionalFormatting>
  <conditionalFormatting sqref="H36:I41">
    <cfRule type="cellIs" dxfId="64" priority="8" operator="greaterThan">
      <formula>$C$3</formula>
    </cfRule>
  </conditionalFormatting>
  <conditionalFormatting sqref="H43:I87">
    <cfRule type="cellIs" dxfId="63" priority="1" operator="greaterThan">
      <formula>$C$3</formula>
    </cfRule>
  </conditionalFormatting>
  <conditionalFormatting sqref="I28">
    <cfRule type="cellIs" dxfId="62" priority="57" operator="notEqual">
      <formula>MAX($E$9:$E$23)</formula>
    </cfRule>
  </conditionalFormatting>
  <conditionalFormatting sqref="I35">
    <cfRule type="cellIs" dxfId="61" priority="7" operator="notEqual">
      <formula>MAX($E$9:$E$23)</formula>
    </cfRule>
  </conditionalFormatting>
  <conditionalFormatting sqref="I42">
    <cfRule type="cellIs" dxfId="60" priority="3" operator="notEqual">
      <formula>MAX($E$9:$E$23)</formula>
    </cfRule>
  </conditionalFormatting>
  <dataValidations count="1">
    <dataValidation type="list" allowBlank="1" showInputMessage="1" showErrorMessage="1" sqref="Z9:Z23 P9:P23 K9:K23 U9:U23 F9:F23" xr:uid="{00000000-0002-0000-0A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87"/>
  <sheetViews>
    <sheetView zoomScale="70" zoomScaleNormal="70" workbookViewId="0">
      <selection activeCell="E28" sqref="E28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184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30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15</v>
      </c>
      <c r="D9" s="64">
        <v>0</v>
      </c>
      <c r="E9" s="64">
        <v>30</v>
      </c>
      <c r="F9" s="45" t="s">
        <v>168</v>
      </c>
      <c r="G9" s="39" t="s">
        <v>169</v>
      </c>
      <c r="H9" s="64">
        <v>8</v>
      </c>
      <c r="I9" s="64">
        <v>-110</v>
      </c>
      <c r="J9" s="64">
        <v>-70</v>
      </c>
      <c r="K9" s="45" t="s">
        <v>69</v>
      </c>
      <c r="L9" s="39" t="s">
        <v>171</v>
      </c>
      <c r="M9" s="64">
        <v>8</v>
      </c>
      <c r="N9" s="64">
        <v>-110</v>
      </c>
      <c r="O9" s="64">
        <v>-70</v>
      </c>
      <c r="P9" s="45" t="s">
        <v>162</v>
      </c>
      <c r="Q9" s="39" t="s">
        <v>161</v>
      </c>
      <c r="R9" s="64">
        <v>8</v>
      </c>
      <c r="S9" s="64">
        <v>-110</v>
      </c>
      <c r="T9" s="64">
        <v>-70</v>
      </c>
      <c r="U9" s="45" t="s">
        <v>178</v>
      </c>
      <c r="V9" s="39"/>
      <c r="W9" s="64"/>
      <c r="X9" s="64"/>
      <c r="Y9" s="64"/>
      <c r="Z9" s="16"/>
    </row>
    <row r="10" spans="1:26" x14ac:dyDescent="0.35">
      <c r="A10" s="43"/>
      <c r="B10" s="62"/>
      <c r="C10" s="64"/>
      <c r="D10" s="64"/>
      <c r="E10" s="64"/>
      <c r="F10" s="45"/>
      <c r="G10" s="39"/>
      <c r="H10" s="64"/>
      <c r="I10" s="64"/>
      <c r="J10" s="64"/>
      <c r="K10" s="45"/>
      <c r="L10" s="39"/>
      <c r="M10" s="64"/>
      <c r="N10" s="64"/>
      <c r="O10" s="64"/>
      <c r="P10" s="45"/>
      <c r="Q10" s="39"/>
      <c r="R10" s="64"/>
      <c r="S10" s="64"/>
      <c r="T10" s="64"/>
      <c r="U10" s="45"/>
      <c r="V10" s="39"/>
      <c r="W10" s="64"/>
      <c r="X10" s="64"/>
      <c r="Y10" s="64"/>
      <c r="Z10" s="16"/>
    </row>
    <row r="11" spans="1:26" x14ac:dyDescent="0.35">
      <c r="A11" s="43"/>
      <c r="B11" s="62"/>
      <c r="C11" s="64"/>
      <c r="D11" s="64"/>
      <c r="E11" s="64"/>
      <c r="F11" s="45"/>
      <c r="G11" s="39"/>
      <c r="H11" s="64"/>
      <c r="I11" s="64"/>
      <c r="J11" s="64"/>
      <c r="K11" s="45"/>
      <c r="L11" s="39"/>
      <c r="M11" s="64"/>
      <c r="N11" s="64"/>
      <c r="O11" s="64"/>
      <c r="P11" s="45"/>
      <c r="Q11" s="39"/>
      <c r="R11" s="64"/>
      <c r="S11" s="64"/>
      <c r="T11" s="64"/>
      <c r="U11" s="45"/>
      <c r="V11" s="39"/>
      <c r="W11" s="64"/>
      <c r="X11" s="64"/>
      <c r="Y11" s="64"/>
      <c r="Z11" s="16"/>
    </row>
    <row r="12" spans="1:26" x14ac:dyDescent="0.35">
      <c r="A12" s="43"/>
      <c r="B12" s="62"/>
      <c r="C12" s="64"/>
      <c r="D12" s="64"/>
      <c r="E12" s="64"/>
      <c r="F12" s="45"/>
      <c r="G12" s="39"/>
      <c r="H12" s="64"/>
      <c r="I12" s="64"/>
      <c r="J12" s="64"/>
      <c r="K12" s="45"/>
      <c r="L12" s="39"/>
      <c r="M12" s="64"/>
      <c r="N12" s="64"/>
      <c r="O12" s="64"/>
      <c r="P12" s="45"/>
      <c r="Q12" s="39"/>
      <c r="R12" s="64"/>
      <c r="S12" s="64"/>
      <c r="T12" s="64"/>
      <c r="U12" s="45"/>
      <c r="V12" s="39"/>
      <c r="W12" s="64"/>
      <c r="X12" s="64"/>
      <c r="Y12" s="64"/>
      <c r="Z12" s="16"/>
    </row>
    <row r="13" spans="1:26" x14ac:dyDescent="0.35">
      <c r="A13" s="43"/>
      <c r="B13" s="62"/>
      <c r="C13" s="64"/>
      <c r="D13" s="64"/>
      <c r="E13" s="64"/>
      <c r="F13" s="45"/>
      <c r="G13" s="39"/>
      <c r="H13" s="64"/>
      <c r="I13" s="64"/>
      <c r="J13" s="64"/>
      <c r="K13" s="45"/>
      <c r="L13" s="39"/>
      <c r="M13" s="64"/>
      <c r="N13" s="64"/>
      <c r="O13" s="64"/>
      <c r="P13" s="45"/>
      <c r="Q13" s="39"/>
      <c r="R13" s="64"/>
      <c r="S13" s="64"/>
      <c r="T13" s="64"/>
      <c r="U13" s="45"/>
      <c r="V13" s="39"/>
      <c r="W13" s="64"/>
      <c r="X13" s="64"/>
      <c r="Y13" s="64"/>
      <c r="Z13" s="16"/>
    </row>
    <row r="14" spans="1:26" x14ac:dyDescent="0.35">
      <c r="A14" s="43"/>
      <c r="B14" s="62"/>
      <c r="C14" s="64"/>
      <c r="D14" s="64"/>
      <c r="E14" s="64"/>
      <c r="F14" s="45"/>
      <c r="G14" s="39"/>
      <c r="H14" s="64"/>
      <c r="I14" s="64"/>
      <c r="J14" s="64"/>
      <c r="K14" s="45"/>
      <c r="L14" s="39"/>
      <c r="M14" s="64"/>
      <c r="N14" s="64"/>
      <c r="O14" s="64"/>
      <c r="P14" s="45"/>
      <c r="Q14" s="39"/>
      <c r="R14" s="64"/>
      <c r="S14" s="64"/>
      <c r="T14" s="64"/>
      <c r="U14" s="45"/>
      <c r="V14" s="39"/>
      <c r="W14" s="64"/>
      <c r="X14" s="64"/>
      <c r="Y14" s="64"/>
      <c r="Z14" s="16"/>
    </row>
    <row r="15" spans="1:26" x14ac:dyDescent="0.35">
      <c r="A15" s="43"/>
      <c r="B15" s="62"/>
      <c r="C15" s="64"/>
      <c r="D15" s="64"/>
      <c r="E15" s="64"/>
      <c r="F15" s="45"/>
      <c r="G15" s="39"/>
      <c r="H15" s="64"/>
      <c r="I15" s="64"/>
      <c r="J15" s="64"/>
      <c r="K15" s="45"/>
      <c r="L15" s="39"/>
      <c r="M15" s="64"/>
      <c r="N15" s="64"/>
      <c r="O15" s="64"/>
      <c r="P15" s="45"/>
      <c r="Q15" s="39"/>
      <c r="R15" s="64"/>
      <c r="S15" s="64"/>
      <c r="T15" s="64"/>
      <c r="U15" s="45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39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45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39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169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171</v>
      </c>
      <c r="M27" s="199"/>
      <c r="N27" s="200"/>
      <c r="O27" s="200"/>
      <c r="P27" s="200"/>
      <c r="Q27" s="200"/>
    </row>
    <row r="28" spans="1:26" x14ac:dyDescent="0.35">
      <c r="B28" s="64" t="s">
        <v>164</v>
      </c>
      <c r="C28" s="64">
        <v>0</v>
      </c>
      <c r="D28" s="64">
        <v>30</v>
      </c>
      <c r="E28" s="64">
        <v>-0.63493999999999995</v>
      </c>
      <c r="G28" s="64"/>
      <c r="H28" s="64"/>
      <c r="I28" s="64"/>
      <c r="J28" s="64"/>
      <c r="L28" s="39" t="s">
        <v>161</v>
      </c>
      <c r="M28" s="14"/>
    </row>
    <row r="29" spans="1:26" x14ac:dyDescent="0.35">
      <c r="B29" s="64" t="s">
        <v>166</v>
      </c>
      <c r="C29" s="64">
        <v>0</v>
      </c>
      <c r="D29" s="64">
        <v>30</v>
      </c>
      <c r="E29" s="64">
        <v>-2.4771000000000001</v>
      </c>
      <c r="G29" s="64"/>
      <c r="H29" s="64"/>
      <c r="I29" s="64"/>
      <c r="J29" s="64"/>
      <c r="L29" s="39"/>
      <c r="M29" s="14"/>
    </row>
    <row r="30" spans="1:26" x14ac:dyDescent="0.35">
      <c r="B30" s="64" t="s">
        <v>160</v>
      </c>
      <c r="C30" s="64">
        <v>0</v>
      </c>
      <c r="D30" s="64">
        <v>30</v>
      </c>
      <c r="E30" s="64">
        <v>-2.0857999999999999</v>
      </c>
      <c r="G30" s="64"/>
      <c r="H30" s="64"/>
      <c r="I30" s="64"/>
      <c r="J30" s="64"/>
      <c r="L30" s="39"/>
      <c r="M30" s="14"/>
    </row>
    <row r="31" spans="1:26" x14ac:dyDescent="0.35">
      <c r="B31" s="64" t="s">
        <v>164</v>
      </c>
      <c r="C31" s="64">
        <v>24</v>
      </c>
      <c r="D31" s="64">
        <v>29</v>
      </c>
      <c r="E31" s="64">
        <v>-1</v>
      </c>
      <c r="G31" s="64"/>
      <c r="H31" s="64"/>
      <c r="I31" s="64"/>
      <c r="J31" s="64"/>
      <c r="L31" s="39"/>
      <c r="M31" s="14"/>
    </row>
    <row r="32" spans="1:26" x14ac:dyDescent="0.35">
      <c r="B32" s="64" t="s">
        <v>166</v>
      </c>
      <c r="C32" s="64">
        <v>24</v>
      </c>
      <c r="D32" s="64">
        <v>29</v>
      </c>
      <c r="E32" s="64">
        <v>-1</v>
      </c>
      <c r="G32" s="64"/>
      <c r="H32" s="64"/>
      <c r="I32" s="64"/>
      <c r="J32" s="64"/>
      <c r="L32" s="39"/>
      <c r="M32" s="14"/>
    </row>
    <row r="33" spans="2:13" x14ac:dyDescent="0.35">
      <c r="B33" s="64" t="s">
        <v>160</v>
      </c>
      <c r="C33" s="64">
        <v>24</v>
      </c>
      <c r="D33" s="64">
        <v>29</v>
      </c>
      <c r="E33" s="64">
        <v>-1</v>
      </c>
      <c r="G33" s="64"/>
      <c r="H33" s="64"/>
      <c r="I33" s="64"/>
      <c r="J33" s="64"/>
      <c r="L33" s="39"/>
      <c r="M33" s="14"/>
    </row>
    <row r="34" spans="2:13" x14ac:dyDescent="0.35">
      <c r="B34" s="64"/>
      <c r="C34" s="64"/>
      <c r="D34" s="64"/>
      <c r="E34" s="64"/>
      <c r="G34" s="64"/>
      <c r="H34" s="64"/>
      <c r="I34" s="64"/>
      <c r="J34" s="64"/>
      <c r="L34" s="39"/>
      <c r="M34" s="14"/>
    </row>
    <row r="35" spans="2:13" x14ac:dyDescent="0.35">
      <c r="B35" s="64"/>
      <c r="C35" s="64"/>
      <c r="D35" s="64"/>
      <c r="E35" s="64"/>
      <c r="G35" s="64"/>
      <c r="H35" s="64"/>
      <c r="I35" s="64"/>
      <c r="J35" s="64"/>
      <c r="L35" s="39"/>
      <c r="M35" s="14"/>
    </row>
    <row r="36" spans="2:13" x14ac:dyDescent="0.35">
      <c r="B36" s="64"/>
      <c r="C36" s="64"/>
      <c r="D36" s="64"/>
      <c r="E36" s="64"/>
      <c r="G36" s="64"/>
      <c r="H36" s="64"/>
      <c r="I36" s="64"/>
      <c r="J36" s="64"/>
      <c r="L36" s="39"/>
      <c r="M36" s="14"/>
    </row>
    <row r="37" spans="2:13" x14ac:dyDescent="0.35">
      <c r="B37" s="64"/>
      <c r="C37" s="64"/>
      <c r="D37" s="64"/>
      <c r="E37" s="64"/>
      <c r="G37" s="64"/>
      <c r="H37" s="64"/>
      <c r="I37" s="64"/>
      <c r="J37" s="64"/>
      <c r="L37" s="39"/>
      <c r="M37" s="14"/>
    </row>
    <row r="38" spans="2:13" x14ac:dyDescent="0.35">
      <c r="B38" s="64"/>
      <c r="C38" s="64"/>
      <c r="D38" s="64"/>
      <c r="E38" s="64"/>
      <c r="G38" s="64"/>
      <c r="H38" s="64"/>
      <c r="I38" s="64"/>
      <c r="J38" s="64"/>
      <c r="L38" s="20"/>
      <c r="M38" s="14"/>
    </row>
    <row r="39" spans="2:13" x14ac:dyDescent="0.35">
      <c r="B39" s="64"/>
      <c r="C39" s="64"/>
      <c r="D39" s="64"/>
      <c r="E39" s="64"/>
      <c r="G39" s="64"/>
      <c r="H39" s="64"/>
      <c r="I39" s="64"/>
      <c r="J39" s="64"/>
      <c r="L39" s="20"/>
      <c r="M39" s="14"/>
    </row>
    <row r="40" spans="2:13" x14ac:dyDescent="0.35">
      <c r="B40" s="64"/>
      <c r="C40" s="64"/>
      <c r="D40" s="64"/>
      <c r="E40" s="64"/>
      <c r="G40" s="64"/>
      <c r="H40" s="64"/>
      <c r="I40" s="64"/>
      <c r="J40" s="64"/>
      <c r="L40" s="20"/>
      <c r="M40" s="14"/>
    </row>
    <row r="41" spans="2:13" x14ac:dyDescent="0.35">
      <c r="B41" s="64"/>
      <c r="C41" s="64"/>
      <c r="D41" s="64"/>
      <c r="E41" s="64"/>
      <c r="G41" s="64"/>
      <c r="H41" s="64"/>
      <c r="I41" s="64"/>
      <c r="J41" s="64"/>
      <c r="L41" s="20"/>
      <c r="M41" s="14"/>
    </row>
    <row r="42" spans="2:13" x14ac:dyDescent="0.35">
      <c r="B42" s="64"/>
      <c r="C42" s="64"/>
      <c r="D42" s="64"/>
      <c r="E42" s="64"/>
      <c r="G42" s="64"/>
      <c r="H42" s="64"/>
      <c r="I42" s="64"/>
      <c r="J42" s="64"/>
      <c r="L42" s="20"/>
      <c r="M42" s="14"/>
    </row>
    <row r="43" spans="2:13" x14ac:dyDescent="0.35">
      <c r="B43" s="64"/>
      <c r="C43" s="64"/>
      <c r="D43" s="64"/>
      <c r="E43" s="64"/>
      <c r="G43" s="64"/>
      <c r="H43" s="64"/>
      <c r="I43" s="64"/>
      <c r="J43" s="64"/>
      <c r="L43" s="20"/>
      <c r="M43" s="14"/>
    </row>
    <row r="44" spans="2:13" x14ac:dyDescent="0.35">
      <c r="B44" s="64"/>
      <c r="C44" s="64"/>
      <c r="D44" s="64"/>
      <c r="E44" s="64"/>
      <c r="G44" s="64"/>
      <c r="H44" s="64"/>
      <c r="I44" s="64"/>
      <c r="J44" s="64"/>
      <c r="L44" s="20"/>
      <c r="M44" s="14"/>
    </row>
    <row r="45" spans="2:13" x14ac:dyDescent="0.35">
      <c r="B45" s="64"/>
      <c r="C45" s="64"/>
      <c r="D45" s="64"/>
      <c r="E45" s="64"/>
      <c r="G45" s="64"/>
      <c r="H45" s="64"/>
      <c r="I45" s="64"/>
      <c r="J45" s="64"/>
    </row>
    <row r="46" spans="2:13" x14ac:dyDescent="0.35">
      <c r="B46" s="64"/>
      <c r="C46" s="64"/>
      <c r="D46" s="64"/>
      <c r="E46" s="64"/>
      <c r="G46" s="64"/>
      <c r="H46" s="64"/>
      <c r="I46" s="64"/>
      <c r="J46" s="64"/>
    </row>
    <row r="47" spans="2:13" x14ac:dyDescent="0.35">
      <c r="B47" s="64"/>
      <c r="C47" s="64"/>
      <c r="D47" s="64"/>
      <c r="E47" s="64"/>
      <c r="G47" s="64"/>
      <c r="H47" s="64"/>
      <c r="I47" s="64"/>
      <c r="J47" s="64"/>
    </row>
    <row r="48" spans="2:13" x14ac:dyDescent="0.35">
      <c r="B48" s="64"/>
      <c r="C48" s="64"/>
      <c r="D48" s="64"/>
      <c r="E48" s="64"/>
      <c r="G48" s="64"/>
      <c r="H48" s="64"/>
      <c r="I48" s="64"/>
      <c r="J48" s="64"/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dxfId="59" priority="35" operator="notEqual">
      <formula>MAX($E$9:$E$23)</formula>
    </cfRule>
  </conditionalFormatting>
  <conditionalFormatting sqref="C28:D87">
    <cfRule type="cellIs" dxfId="58" priority="1" operator="greaterThan">
      <formula>$C$3</formula>
    </cfRule>
  </conditionalFormatting>
  <conditionalFormatting sqref="G28">
    <cfRule type="uniqueValues" dxfId="57" priority="11"/>
  </conditionalFormatting>
  <conditionalFormatting sqref="G29:G36">
    <cfRule type="uniqueValues" dxfId="56" priority="37"/>
  </conditionalFormatting>
  <conditionalFormatting sqref="G35:G45">
    <cfRule type="uniqueValues" dxfId="55" priority="36"/>
  </conditionalFormatting>
  <conditionalFormatting sqref="G42">
    <cfRule type="uniqueValues" dxfId="54" priority="25"/>
  </conditionalFormatting>
  <conditionalFormatting sqref="G43:G49 G63">
    <cfRule type="uniqueValues" dxfId="53" priority="30"/>
  </conditionalFormatting>
  <conditionalFormatting sqref="G50:G55">
    <cfRule type="uniqueValues" dxfId="52" priority="21"/>
  </conditionalFormatting>
  <conditionalFormatting sqref="G56">
    <cfRule type="uniqueValues" dxfId="51" priority="22"/>
  </conditionalFormatting>
  <conditionalFormatting sqref="G57:G62">
    <cfRule type="uniqueValues" dxfId="50" priority="19"/>
  </conditionalFormatting>
  <conditionalFormatting sqref="G64:G72">
    <cfRule type="uniqueValues" dxfId="49" priority="32"/>
  </conditionalFormatting>
  <conditionalFormatting sqref="G73:G87">
    <cfRule type="uniqueValues" dxfId="48" priority="34"/>
  </conditionalFormatting>
  <conditionalFormatting sqref="H28">
    <cfRule type="cellIs" dxfId="47" priority="10" operator="greaterThan">
      <formula>$C$3</formula>
    </cfRule>
  </conditionalFormatting>
  <conditionalFormatting sqref="H42">
    <cfRule type="cellIs" dxfId="46" priority="24" operator="greaterThan">
      <formula>$C$3</formula>
    </cfRule>
  </conditionalFormatting>
  <conditionalFormatting sqref="H49">
    <cfRule type="cellIs" dxfId="45" priority="23" operator="greaterThan">
      <formula>$C$3</formula>
    </cfRule>
  </conditionalFormatting>
  <conditionalFormatting sqref="H56">
    <cfRule type="cellIs" dxfId="44" priority="20" operator="greaterThan">
      <formula>$C$3</formula>
    </cfRule>
  </conditionalFormatting>
  <conditionalFormatting sqref="H29:I41">
    <cfRule type="cellIs" dxfId="43" priority="2" operator="greaterThan">
      <formula>$C$3</formula>
    </cfRule>
  </conditionalFormatting>
  <conditionalFormatting sqref="H43:I48">
    <cfRule type="cellIs" dxfId="42" priority="17" operator="greaterThan">
      <formula>$C$3</formula>
    </cfRule>
  </conditionalFormatting>
  <conditionalFormatting sqref="H50:I55">
    <cfRule type="cellIs" dxfId="41" priority="16" operator="greaterThan">
      <formula>$C$3</formula>
    </cfRule>
  </conditionalFormatting>
  <conditionalFormatting sqref="H57:I87">
    <cfRule type="cellIs" dxfId="40" priority="15" operator="greaterThan">
      <formula>$C$3</formula>
    </cfRule>
  </conditionalFormatting>
  <conditionalFormatting sqref="I28">
    <cfRule type="cellIs" dxfId="39" priority="8" operator="notEqual">
      <formula>MAX($E$9:$E$23)</formula>
    </cfRule>
  </conditionalFormatting>
  <conditionalFormatting sqref="I42">
    <cfRule type="cellIs" dxfId="38" priority="14" operator="notEqual">
      <formula>MAX($E$9:$E$23)</formula>
    </cfRule>
  </conditionalFormatting>
  <conditionalFormatting sqref="I49">
    <cfRule type="cellIs" dxfId="37" priority="13" operator="notEqual">
      <formula>MAX($E$9:$E$23)</formula>
    </cfRule>
  </conditionalFormatting>
  <conditionalFormatting sqref="I56">
    <cfRule type="cellIs" dxfId="36" priority="12" operator="notEqual">
      <formula>MAX($E$9:$E$23)</formula>
    </cfRule>
  </conditionalFormatting>
  <dataValidations count="1">
    <dataValidation type="list" allowBlank="1" showInputMessage="1" showErrorMessage="1" sqref="Z9:Z23 K9:K23 P9:P23 F9:F23 U9:U23" xr:uid="{00000000-0002-0000-0B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87"/>
  <sheetViews>
    <sheetView zoomScale="90" zoomScaleNormal="90" workbookViewId="0">
      <selection sqref="A1:XFD1048576"/>
    </sheetView>
  </sheetViews>
  <sheetFormatPr defaultColWidth="9.1796875" defaultRowHeight="14.5" x14ac:dyDescent="0.35"/>
  <cols>
    <col min="1" max="2" width="8.453125" style="34" customWidth="1"/>
    <col min="3" max="3" width="13.26953125" style="34" customWidth="1"/>
    <col min="4" max="4" width="8.453125" style="34" customWidth="1"/>
    <col min="5" max="5" width="10.7265625" style="34" customWidth="1"/>
    <col min="6" max="6" width="9.1796875" style="34"/>
    <col min="7" max="7" width="14.81640625" style="34" customWidth="1"/>
    <col min="8" max="8" width="9" style="34" customWidth="1"/>
    <col min="9" max="9" width="8.453125" style="34" customWidth="1"/>
    <col min="10" max="10" width="10.1796875" style="34" customWidth="1"/>
    <col min="11" max="11" width="11.1796875" style="34" customWidth="1"/>
    <col min="12" max="12" width="17.54296875" style="34" customWidth="1"/>
    <col min="13" max="13" width="10.26953125" style="34" customWidth="1"/>
    <col min="14" max="14" width="8.453125" style="34" customWidth="1"/>
    <col min="15" max="16" width="10.1796875" style="34" customWidth="1"/>
    <col min="17" max="17" width="17" style="34" customWidth="1"/>
    <col min="18" max="19" width="8.453125" style="34" customWidth="1"/>
    <col min="20" max="20" width="10.26953125" style="34" customWidth="1"/>
    <col min="21" max="21" width="10.81640625" style="34" customWidth="1"/>
    <col min="22" max="22" width="16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197" t="s">
        <v>70</v>
      </c>
      <c r="G1" s="197"/>
      <c r="H1" s="197"/>
      <c r="I1" s="197"/>
      <c r="J1" s="197"/>
      <c r="K1" s="197"/>
      <c r="L1" s="51" t="s">
        <v>46</v>
      </c>
      <c r="M1" s="65" t="s">
        <v>135</v>
      </c>
      <c r="N1" s="32" t="s">
        <v>136</v>
      </c>
      <c r="T1" s="32" t="s">
        <v>74</v>
      </c>
    </row>
    <row r="2" spans="1:26" x14ac:dyDescent="0.35">
      <c r="A2" s="141" t="s">
        <v>21</v>
      </c>
      <c r="B2" s="31" t="s">
        <v>22</v>
      </c>
      <c r="C2" s="64" t="s">
        <v>146</v>
      </c>
      <c r="D2" s="31" t="s">
        <v>24</v>
      </c>
      <c r="E2" s="64">
        <v>1</v>
      </c>
      <c r="F2" s="35" t="s">
        <v>61</v>
      </c>
      <c r="G2" s="32" t="s">
        <v>57</v>
      </c>
      <c r="M2" s="65" t="s">
        <v>44</v>
      </c>
      <c r="N2" s="32" t="s">
        <v>49</v>
      </c>
      <c r="Q2" s="65" t="s">
        <v>54</v>
      </c>
      <c r="R2" s="32" t="s">
        <v>84</v>
      </c>
      <c r="T2" s="65" t="s">
        <v>75</v>
      </c>
      <c r="U2" s="34" t="s">
        <v>80</v>
      </c>
    </row>
    <row r="3" spans="1:26" x14ac:dyDescent="0.35">
      <c r="B3" s="31" t="s">
        <v>14</v>
      </c>
      <c r="C3" s="64">
        <v>430</v>
      </c>
      <c r="D3" s="31" t="s">
        <v>25</v>
      </c>
      <c r="E3" s="64">
        <v>1</v>
      </c>
      <c r="F3" s="51" t="s">
        <v>45</v>
      </c>
      <c r="G3" s="32" t="s">
        <v>58</v>
      </c>
      <c r="M3" s="65" t="s">
        <v>47</v>
      </c>
      <c r="N3" s="32" t="s">
        <v>48</v>
      </c>
      <c r="Q3" s="65" t="s">
        <v>55</v>
      </c>
      <c r="R3" s="32" t="s">
        <v>56</v>
      </c>
      <c r="T3" s="65" t="s">
        <v>76</v>
      </c>
      <c r="U3" s="34" t="s">
        <v>82</v>
      </c>
    </row>
    <row r="4" spans="1:26" x14ac:dyDescent="0.35">
      <c r="B4" s="31" t="s">
        <v>23</v>
      </c>
      <c r="C4" s="64">
        <v>5.0000000000000001E-4</v>
      </c>
      <c r="D4" s="31" t="s">
        <v>26</v>
      </c>
      <c r="E4" s="64">
        <v>1</v>
      </c>
      <c r="F4" s="35" t="s">
        <v>62</v>
      </c>
      <c r="G4" s="32" t="s">
        <v>59</v>
      </c>
      <c r="I4" s="141" t="s">
        <v>71</v>
      </c>
      <c r="J4" s="50" t="s">
        <v>72</v>
      </c>
      <c r="M4" s="65" t="s">
        <v>50</v>
      </c>
      <c r="N4" s="32" t="s">
        <v>52</v>
      </c>
      <c r="Q4" s="65" t="s">
        <v>86</v>
      </c>
      <c r="R4" s="32" t="s">
        <v>85</v>
      </c>
      <c r="T4" s="65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5" t="s">
        <v>51</v>
      </c>
      <c r="N5" s="32" t="s">
        <v>53</v>
      </c>
      <c r="Q5" s="65"/>
      <c r="R5" s="32"/>
      <c r="T5" s="65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180</v>
      </c>
      <c r="N6" s="32" t="s">
        <v>142</v>
      </c>
    </row>
    <row r="7" spans="1:26" ht="15" thickBot="1" x14ac:dyDescent="0.4">
      <c r="B7" s="186" t="s">
        <v>31</v>
      </c>
      <c r="C7" s="196"/>
      <c r="D7" s="196"/>
      <c r="E7" s="196"/>
      <c r="F7" s="201"/>
      <c r="G7" s="202" t="s">
        <v>35</v>
      </c>
      <c r="H7" s="196"/>
      <c r="I7" s="196"/>
      <c r="J7" s="196"/>
      <c r="K7" s="187"/>
      <c r="L7" s="186" t="s">
        <v>41</v>
      </c>
      <c r="M7" s="196"/>
      <c r="N7" s="196"/>
      <c r="O7" s="196"/>
      <c r="P7" s="187"/>
      <c r="Q7" s="186" t="s">
        <v>42</v>
      </c>
      <c r="R7" s="196"/>
      <c r="S7" s="196"/>
      <c r="T7" s="196"/>
      <c r="U7" s="187"/>
      <c r="V7" s="186" t="s">
        <v>43</v>
      </c>
      <c r="W7" s="196"/>
      <c r="X7" s="196"/>
      <c r="Y7" s="196"/>
      <c r="Z7" s="187"/>
    </row>
    <row r="8" spans="1:26" x14ac:dyDescent="0.35">
      <c r="A8" s="42" t="s">
        <v>40</v>
      </c>
      <c r="B8" s="61" t="s">
        <v>27</v>
      </c>
      <c r="C8" s="65" t="s">
        <v>30</v>
      </c>
      <c r="D8" s="65" t="s">
        <v>28</v>
      </c>
      <c r="E8" s="65" t="s">
        <v>29</v>
      </c>
      <c r="F8" s="140" t="s">
        <v>34</v>
      </c>
      <c r="G8" s="47" t="s">
        <v>27</v>
      </c>
      <c r="H8" s="65" t="s">
        <v>30</v>
      </c>
      <c r="I8" s="65" t="s">
        <v>32</v>
      </c>
      <c r="J8" s="65" t="s">
        <v>33</v>
      </c>
      <c r="K8" s="38" t="s">
        <v>34</v>
      </c>
      <c r="L8" s="37" t="s">
        <v>27</v>
      </c>
      <c r="M8" s="65" t="s">
        <v>30</v>
      </c>
      <c r="N8" s="65" t="s">
        <v>32</v>
      </c>
      <c r="O8" s="65" t="s">
        <v>33</v>
      </c>
      <c r="P8" s="38" t="s">
        <v>34</v>
      </c>
      <c r="Q8" s="37" t="s">
        <v>27</v>
      </c>
      <c r="R8" s="65" t="s">
        <v>30</v>
      </c>
      <c r="S8" s="65" t="s">
        <v>32</v>
      </c>
      <c r="T8" s="65" t="s">
        <v>33</v>
      </c>
      <c r="U8" s="38" t="s">
        <v>34</v>
      </c>
      <c r="V8" s="37" t="s">
        <v>27</v>
      </c>
      <c r="W8" s="65" t="s">
        <v>30</v>
      </c>
      <c r="X8" s="65" t="s">
        <v>32</v>
      </c>
      <c r="Y8" s="65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4">
        <v>10</v>
      </c>
      <c r="D9" s="64">
        <v>0</v>
      </c>
      <c r="E9" s="64">
        <v>30</v>
      </c>
      <c r="F9" s="45" t="s">
        <v>168</v>
      </c>
      <c r="G9" s="39" t="s">
        <v>181</v>
      </c>
      <c r="H9" s="64">
        <v>4</v>
      </c>
      <c r="I9" s="64">
        <v>-15</v>
      </c>
      <c r="J9" s="64">
        <v>5</v>
      </c>
      <c r="K9" s="45" t="s">
        <v>178</v>
      </c>
      <c r="L9" s="39"/>
      <c r="M9" s="64"/>
      <c r="N9" s="64"/>
      <c r="O9" s="64"/>
      <c r="P9" s="45"/>
      <c r="Q9" s="39"/>
      <c r="R9" s="64"/>
      <c r="S9" s="64"/>
      <c r="T9" s="64"/>
      <c r="U9" s="45"/>
      <c r="V9" s="39"/>
      <c r="W9" s="64"/>
      <c r="X9" s="64"/>
      <c r="Y9" s="64"/>
      <c r="Z9" s="16"/>
    </row>
    <row r="10" spans="1:26" x14ac:dyDescent="0.35">
      <c r="A10" s="43">
        <v>1</v>
      </c>
      <c r="B10" s="62" t="s">
        <v>31</v>
      </c>
      <c r="C10" s="64">
        <v>10</v>
      </c>
      <c r="D10" s="64">
        <v>80</v>
      </c>
      <c r="E10" s="64">
        <v>110</v>
      </c>
      <c r="F10" s="45" t="s">
        <v>168</v>
      </c>
      <c r="G10" s="39" t="s">
        <v>181</v>
      </c>
      <c r="H10" s="64">
        <v>4</v>
      </c>
      <c r="I10" s="64">
        <v>-15</v>
      </c>
      <c r="J10" s="64">
        <v>5</v>
      </c>
      <c r="K10" s="45" t="s">
        <v>178</v>
      </c>
      <c r="L10" s="39"/>
      <c r="M10" s="64"/>
      <c r="N10" s="64"/>
      <c r="O10" s="64"/>
      <c r="P10" s="45"/>
      <c r="Q10" s="39"/>
      <c r="R10" s="64"/>
      <c r="S10" s="64"/>
      <c r="T10" s="64"/>
      <c r="U10" s="45"/>
      <c r="V10" s="39"/>
      <c r="W10" s="64"/>
      <c r="X10" s="64"/>
      <c r="Y10" s="64"/>
      <c r="Z10" s="16"/>
    </row>
    <row r="11" spans="1:26" x14ac:dyDescent="0.35">
      <c r="A11" s="43">
        <v>1</v>
      </c>
      <c r="B11" s="62" t="s">
        <v>31</v>
      </c>
      <c r="C11" s="64">
        <v>10</v>
      </c>
      <c r="D11" s="64">
        <v>160</v>
      </c>
      <c r="E11" s="64">
        <v>190</v>
      </c>
      <c r="F11" s="45" t="s">
        <v>168</v>
      </c>
      <c r="G11" s="39" t="s">
        <v>181</v>
      </c>
      <c r="H11" s="64">
        <v>4</v>
      </c>
      <c r="I11" s="64">
        <v>-15</v>
      </c>
      <c r="J11" s="64">
        <v>5</v>
      </c>
      <c r="K11" s="45" t="s">
        <v>178</v>
      </c>
      <c r="L11" s="39"/>
      <c r="M11" s="64"/>
      <c r="N11" s="64"/>
      <c r="O11" s="64"/>
      <c r="P11" s="45"/>
      <c r="Q11" s="39"/>
      <c r="R11" s="64"/>
      <c r="S11" s="64"/>
      <c r="T11" s="64"/>
      <c r="U11" s="45"/>
      <c r="V11" s="39"/>
      <c r="W11" s="64"/>
      <c r="X11" s="64"/>
      <c r="Y11" s="64"/>
      <c r="Z11" s="16"/>
    </row>
    <row r="12" spans="1:26" x14ac:dyDescent="0.35">
      <c r="A12" s="43">
        <v>1</v>
      </c>
      <c r="B12" s="62" t="s">
        <v>31</v>
      </c>
      <c r="C12" s="64">
        <v>10</v>
      </c>
      <c r="D12" s="64">
        <v>240</v>
      </c>
      <c r="E12" s="64">
        <v>270</v>
      </c>
      <c r="F12" s="45" t="s">
        <v>168</v>
      </c>
      <c r="G12" s="39" t="s">
        <v>181</v>
      </c>
      <c r="H12" s="64">
        <v>4</v>
      </c>
      <c r="I12" s="64">
        <v>-15</v>
      </c>
      <c r="J12" s="64">
        <v>5</v>
      </c>
      <c r="K12" s="45" t="s">
        <v>178</v>
      </c>
      <c r="L12" s="39"/>
      <c r="M12" s="64"/>
      <c r="N12" s="64"/>
      <c r="O12" s="64"/>
      <c r="P12" s="45"/>
      <c r="Q12" s="39"/>
      <c r="R12" s="64"/>
      <c r="S12" s="64"/>
      <c r="T12" s="64"/>
      <c r="U12" s="45"/>
      <c r="V12" s="39"/>
      <c r="W12" s="64"/>
      <c r="X12" s="64"/>
      <c r="Y12" s="64"/>
      <c r="Z12" s="16"/>
    </row>
    <row r="13" spans="1:26" x14ac:dyDescent="0.35">
      <c r="A13" s="43">
        <v>1</v>
      </c>
      <c r="B13" s="62" t="s">
        <v>31</v>
      </c>
      <c r="C13" s="64">
        <v>10</v>
      </c>
      <c r="D13" s="64">
        <v>320</v>
      </c>
      <c r="E13" s="64">
        <v>350</v>
      </c>
      <c r="F13" s="45" t="s">
        <v>168</v>
      </c>
      <c r="G13" s="39" t="s">
        <v>181</v>
      </c>
      <c r="H13" s="64">
        <v>4</v>
      </c>
      <c r="I13" s="64">
        <v>-15</v>
      </c>
      <c r="J13" s="64">
        <v>5</v>
      </c>
      <c r="K13" s="45" t="s">
        <v>178</v>
      </c>
      <c r="L13" s="39"/>
      <c r="M13" s="64"/>
      <c r="N13" s="64"/>
      <c r="O13" s="64"/>
      <c r="P13" s="45"/>
      <c r="Q13" s="39"/>
      <c r="R13" s="64"/>
      <c r="S13" s="64"/>
      <c r="T13" s="64"/>
      <c r="U13" s="45"/>
      <c r="V13" s="39"/>
      <c r="W13" s="64"/>
      <c r="X13" s="64"/>
      <c r="Y13" s="64"/>
      <c r="Z13" s="16"/>
    </row>
    <row r="14" spans="1:26" x14ac:dyDescent="0.35">
      <c r="A14" s="43">
        <v>1</v>
      </c>
      <c r="B14" s="62" t="s">
        <v>31</v>
      </c>
      <c r="C14" s="64">
        <v>10</v>
      </c>
      <c r="D14" s="64">
        <v>400</v>
      </c>
      <c r="E14" s="64">
        <v>430</v>
      </c>
      <c r="F14" s="45" t="s">
        <v>168</v>
      </c>
      <c r="G14" s="39" t="s">
        <v>181</v>
      </c>
      <c r="H14" s="64">
        <v>4</v>
      </c>
      <c r="I14" s="64">
        <v>-15</v>
      </c>
      <c r="J14" s="64">
        <v>5</v>
      </c>
      <c r="K14" s="45" t="s">
        <v>178</v>
      </c>
      <c r="L14" s="39"/>
      <c r="M14" s="64"/>
      <c r="N14" s="64"/>
      <c r="O14" s="64"/>
      <c r="P14" s="45"/>
      <c r="Q14" s="39"/>
      <c r="R14" s="64"/>
      <c r="S14" s="64"/>
      <c r="T14" s="64"/>
      <c r="U14" s="45"/>
      <c r="V14" s="39"/>
      <c r="W14" s="64"/>
      <c r="X14" s="64"/>
      <c r="Y14" s="64"/>
      <c r="Z14" s="16"/>
    </row>
    <row r="15" spans="1:26" x14ac:dyDescent="0.35">
      <c r="A15" s="43"/>
      <c r="B15" s="62"/>
      <c r="C15" s="64"/>
      <c r="D15" s="64"/>
      <c r="E15" s="64"/>
      <c r="F15" s="45"/>
      <c r="G15" s="39"/>
      <c r="H15" s="64"/>
      <c r="I15" s="64"/>
      <c r="J15" s="64"/>
      <c r="K15" s="45"/>
      <c r="L15" s="39"/>
      <c r="M15" s="64"/>
      <c r="N15" s="64"/>
      <c r="O15" s="64"/>
      <c r="P15" s="45"/>
      <c r="Q15" s="39"/>
      <c r="R15" s="64"/>
      <c r="S15" s="64"/>
      <c r="T15" s="64"/>
      <c r="U15" s="45"/>
      <c r="V15" s="39"/>
      <c r="W15" s="64"/>
      <c r="X15" s="64"/>
      <c r="Y15" s="64"/>
      <c r="Z15" s="16"/>
    </row>
    <row r="16" spans="1:26" x14ac:dyDescent="0.35">
      <c r="A16" s="43"/>
      <c r="B16" s="62"/>
      <c r="C16" s="64"/>
      <c r="D16" s="64"/>
      <c r="E16" s="64"/>
      <c r="F16" s="45"/>
      <c r="G16" s="39"/>
      <c r="H16" s="64"/>
      <c r="I16" s="64"/>
      <c r="J16" s="64"/>
      <c r="K16" s="45"/>
      <c r="L16" s="39"/>
      <c r="M16" s="64"/>
      <c r="N16" s="64"/>
      <c r="O16" s="64"/>
      <c r="P16" s="45"/>
      <c r="Q16" s="39"/>
      <c r="R16" s="64"/>
      <c r="S16" s="64"/>
      <c r="T16" s="64"/>
      <c r="U16" s="45"/>
      <c r="V16" s="39"/>
      <c r="W16" s="64"/>
      <c r="X16" s="64"/>
      <c r="Y16" s="64"/>
      <c r="Z16" s="16"/>
    </row>
    <row r="17" spans="1:26" x14ac:dyDescent="0.35">
      <c r="A17" s="43"/>
      <c r="B17" s="62"/>
      <c r="C17" s="64"/>
      <c r="D17" s="64"/>
      <c r="E17" s="64"/>
      <c r="F17" s="45"/>
      <c r="G17" s="39"/>
      <c r="H17" s="64"/>
      <c r="I17" s="64"/>
      <c r="J17" s="64"/>
      <c r="K17" s="45"/>
      <c r="L17" s="39"/>
      <c r="M17" s="64"/>
      <c r="N17" s="64"/>
      <c r="O17" s="64"/>
      <c r="P17" s="45"/>
      <c r="Q17" s="39"/>
      <c r="R17" s="64"/>
      <c r="S17" s="64"/>
      <c r="T17" s="64"/>
      <c r="U17" s="16"/>
      <c r="V17" s="39"/>
      <c r="W17" s="64"/>
      <c r="X17" s="64"/>
      <c r="Y17" s="64"/>
      <c r="Z17" s="16"/>
    </row>
    <row r="18" spans="1:26" x14ac:dyDescent="0.35">
      <c r="A18" s="43"/>
      <c r="B18" s="62"/>
      <c r="C18" s="64"/>
      <c r="D18" s="64"/>
      <c r="E18" s="64"/>
      <c r="F18" s="45"/>
      <c r="G18" s="48"/>
      <c r="H18" s="64"/>
      <c r="I18" s="64"/>
      <c r="J18" s="64"/>
      <c r="K18" s="45"/>
      <c r="L18" s="39"/>
      <c r="M18" s="64"/>
      <c r="N18" s="64"/>
      <c r="O18" s="64"/>
      <c r="P18" s="45"/>
      <c r="Q18" s="39"/>
      <c r="R18" s="64"/>
      <c r="S18" s="64"/>
      <c r="T18" s="64"/>
      <c r="U18" s="16"/>
      <c r="V18" s="39"/>
      <c r="W18" s="64"/>
      <c r="X18" s="64"/>
      <c r="Y18" s="64"/>
      <c r="Z18" s="16"/>
    </row>
    <row r="19" spans="1:26" x14ac:dyDescent="0.35">
      <c r="A19" s="43"/>
      <c r="B19" s="62"/>
      <c r="C19" s="64"/>
      <c r="D19" s="64"/>
      <c r="E19" s="64"/>
      <c r="F19" s="45"/>
      <c r="G19" s="48"/>
      <c r="H19" s="64"/>
      <c r="I19" s="64"/>
      <c r="J19" s="64"/>
      <c r="K19" s="45"/>
      <c r="L19" s="39"/>
      <c r="M19" s="64"/>
      <c r="N19" s="64"/>
      <c r="O19" s="64"/>
      <c r="P19" s="45"/>
      <c r="Q19" s="39"/>
      <c r="R19" s="64"/>
      <c r="S19" s="64"/>
      <c r="T19" s="64"/>
      <c r="U19" s="16"/>
      <c r="V19" s="39"/>
      <c r="W19" s="64"/>
      <c r="X19" s="64"/>
      <c r="Y19" s="64"/>
      <c r="Z19" s="16"/>
    </row>
    <row r="20" spans="1:26" x14ac:dyDescent="0.35">
      <c r="A20" s="43"/>
      <c r="B20" s="62"/>
      <c r="C20" s="64"/>
      <c r="D20" s="64"/>
      <c r="E20" s="64"/>
      <c r="F20" s="45"/>
      <c r="G20" s="48"/>
      <c r="H20" s="64"/>
      <c r="I20" s="64"/>
      <c r="J20" s="64"/>
      <c r="K20" s="16"/>
      <c r="L20" s="39"/>
      <c r="M20" s="64"/>
      <c r="N20" s="64"/>
      <c r="O20" s="64"/>
      <c r="P20" s="16"/>
      <c r="Q20" s="39"/>
      <c r="R20" s="64"/>
      <c r="S20" s="64"/>
      <c r="T20" s="64"/>
      <c r="U20" s="16"/>
      <c r="V20" s="39"/>
      <c r="W20" s="64"/>
      <c r="X20" s="64"/>
      <c r="Y20" s="64"/>
      <c r="Z20" s="16"/>
    </row>
    <row r="21" spans="1:26" x14ac:dyDescent="0.35">
      <c r="A21" s="43"/>
      <c r="B21" s="62"/>
      <c r="C21" s="64"/>
      <c r="D21" s="64"/>
      <c r="E21" s="64"/>
      <c r="F21" s="45"/>
      <c r="G21" s="48"/>
      <c r="H21" s="64"/>
      <c r="I21" s="64"/>
      <c r="J21" s="64"/>
      <c r="K21" s="16"/>
      <c r="L21" s="39"/>
      <c r="M21" s="64"/>
      <c r="N21" s="64"/>
      <c r="O21" s="64"/>
      <c r="P21" s="16"/>
      <c r="Q21" s="39"/>
      <c r="R21" s="64"/>
      <c r="S21" s="64"/>
      <c r="T21" s="64"/>
      <c r="U21" s="16"/>
      <c r="V21" s="39"/>
      <c r="W21" s="64"/>
      <c r="X21" s="64"/>
      <c r="Y21" s="64"/>
      <c r="Z21" s="16"/>
    </row>
    <row r="22" spans="1:26" x14ac:dyDescent="0.35">
      <c r="A22" s="43"/>
      <c r="B22" s="62"/>
      <c r="C22" s="64"/>
      <c r="D22" s="64"/>
      <c r="E22" s="64"/>
      <c r="F22" s="45"/>
      <c r="G22" s="48"/>
      <c r="H22" s="64"/>
      <c r="I22" s="64"/>
      <c r="J22" s="64"/>
      <c r="K22" s="16"/>
      <c r="L22" s="39"/>
      <c r="M22" s="64"/>
      <c r="N22" s="64"/>
      <c r="O22" s="64"/>
      <c r="P22" s="16"/>
      <c r="Q22" s="39"/>
      <c r="R22" s="64"/>
      <c r="S22" s="64"/>
      <c r="T22" s="64"/>
      <c r="U22" s="16"/>
      <c r="V22" s="39"/>
      <c r="W22" s="64"/>
      <c r="X22" s="64"/>
      <c r="Y22" s="64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197" t="s">
        <v>64</v>
      </c>
      <c r="B25" s="197"/>
      <c r="C25" s="197"/>
      <c r="D25" s="197"/>
      <c r="E25" s="197"/>
      <c r="F25" s="197"/>
      <c r="G25" s="197"/>
      <c r="H25" s="197"/>
      <c r="I25" s="197"/>
      <c r="J25" s="197"/>
      <c r="L25" s="197" t="s">
        <v>65</v>
      </c>
      <c r="M25" s="197"/>
    </row>
    <row r="26" spans="1:26" ht="15" customHeight="1" x14ac:dyDescent="0.35">
      <c r="B26" s="163" t="s">
        <v>37</v>
      </c>
      <c r="C26" s="161"/>
      <c r="D26" s="161"/>
      <c r="E26" s="162"/>
      <c r="G26" s="198" t="s">
        <v>68</v>
      </c>
      <c r="H26" s="198"/>
      <c r="I26" s="198"/>
      <c r="J26" s="198"/>
      <c r="L26" s="39" t="s">
        <v>182</v>
      </c>
      <c r="M26" s="199" t="s">
        <v>66</v>
      </c>
      <c r="N26" s="200"/>
      <c r="O26" s="200"/>
      <c r="P26" s="200"/>
      <c r="Q26" s="200"/>
    </row>
    <row r="27" spans="1:26" x14ac:dyDescent="0.35">
      <c r="B27" s="65" t="s">
        <v>38</v>
      </c>
      <c r="C27" s="65" t="s">
        <v>28</v>
      </c>
      <c r="D27" s="65" t="s">
        <v>29</v>
      </c>
      <c r="E27" s="65" t="s">
        <v>39</v>
      </c>
      <c r="G27" s="65" t="s">
        <v>38</v>
      </c>
      <c r="H27" s="65" t="s">
        <v>28</v>
      </c>
      <c r="I27" s="65" t="s">
        <v>29</v>
      </c>
      <c r="J27" s="65" t="s">
        <v>67</v>
      </c>
      <c r="L27" s="39" t="s">
        <v>169</v>
      </c>
      <c r="M27" s="199"/>
      <c r="N27" s="200"/>
      <c r="O27" s="200"/>
      <c r="P27" s="200"/>
      <c r="Q27" s="200"/>
    </row>
    <row r="28" spans="1:26" x14ac:dyDescent="0.35">
      <c r="B28" s="64"/>
      <c r="C28" s="64"/>
      <c r="D28" s="64"/>
      <c r="E28" s="64"/>
      <c r="G28" s="64" t="s">
        <v>160</v>
      </c>
      <c r="H28" s="64">
        <v>0</v>
      </c>
      <c r="I28" s="64">
        <v>430</v>
      </c>
      <c r="J28" s="64">
        <v>-40</v>
      </c>
      <c r="L28" s="39" t="s">
        <v>183</v>
      </c>
      <c r="M28" s="14"/>
    </row>
    <row r="29" spans="1:26" x14ac:dyDescent="0.35">
      <c r="B29" s="64"/>
      <c r="C29" s="64"/>
      <c r="D29" s="64"/>
      <c r="E29" s="64"/>
      <c r="G29" s="64" t="s">
        <v>160</v>
      </c>
      <c r="H29" s="64">
        <v>6.25</v>
      </c>
      <c r="I29" s="64">
        <v>10.25</v>
      </c>
      <c r="J29" s="64">
        <v>-110</v>
      </c>
      <c r="L29" s="39" t="s">
        <v>171</v>
      </c>
      <c r="M29" s="14"/>
    </row>
    <row r="30" spans="1:26" x14ac:dyDescent="0.35">
      <c r="B30" s="64"/>
      <c r="C30" s="64"/>
      <c r="D30" s="64"/>
      <c r="E30" s="64"/>
      <c r="G30" s="64" t="s">
        <v>160</v>
      </c>
      <c r="H30" s="64">
        <v>86.25</v>
      </c>
      <c r="I30" s="64">
        <v>90.25</v>
      </c>
      <c r="J30" s="64">
        <v>-100</v>
      </c>
      <c r="L30" s="39" t="s">
        <v>181</v>
      </c>
      <c r="M30" s="14"/>
    </row>
    <row r="31" spans="1:26" x14ac:dyDescent="0.35">
      <c r="B31" s="64"/>
      <c r="C31" s="64"/>
      <c r="D31" s="64"/>
      <c r="E31" s="64"/>
      <c r="G31" s="64" t="s">
        <v>160</v>
      </c>
      <c r="H31" s="64">
        <v>166.25</v>
      </c>
      <c r="I31" s="64">
        <v>170.25</v>
      </c>
      <c r="J31" s="64">
        <v>-90</v>
      </c>
      <c r="L31" s="39" t="s">
        <v>161</v>
      </c>
      <c r="M31" s="14"/>
    </row>
    <row r="32" spans="1:26" x14ac:dyDescent="0.35">
      <c r="B32" s="64"/>
      <c r="C32" s="64"/>
      <c r="D32" s="64"/>
      <c r="E32" s="64"/>
      <c r="G32" s="64" t="s">
        <v>160</v>
      </c>
      <c r="H32" s="64">
        <v>246.25</v>
      </c>
      <c r="I32" s="64">
        <v>250.25</v>
      </c>
      <c r="J32" s="64">
        <v>-80</v>
      </c>
      <c r="L32" s="39"/>
      <c r="M32" s="14"/>
    </row>
    <row r="33" spans="2:13" x14ac:dyDescent="0.35">
      <c r="B33" s="64"/>
      <c r="C33" s="64"/>
      <c r="D33" s="64"/>
      <c r="E33" s="64"/>
      <c r="G33" s="64" t="s">
        <v>160</v>
      </c>
      <c r="H33" s="64">
        <v>326.25</v>
      </c>
      <c r="I33" s="64">
        <v>330.25</v>
      </c>
      <c r="J33" s="64">
        <v>-70</v>
      </c>
      <c r="L33" s="39"/>
      <c r="M33" s="14"/>
    </row>
    <row r="34" spans="2:13" x14ac:dyDescent="0.35">
      <c r="B34" s="64"/>
      <c r="C34" s="64"/>
      <c r="D34" s="64"/>
      <c r="E34" s="64"/>
      <c r="G34" s="64" t="s">
        <v>160</v>
      </c>
      <c r="H34" s="64">
        <v>406.25</v>
      </c>
      <c r="I34" s="64">
        <v>410.25</v>
      </c>
      <c r="J34" s="64">
        <v>-60</v>
      </c>
      <c r="L34" s="39"/>
      <c r="M34" s="14"/>
    </row>
    <row r="35" spans="2:13" x14ac:dyDescent="0.35">
      <c r="B35" s="64"/>
      <c r="C35" s="64"/>
      <c r="D35" s="64"/>
      <c r="E35" s="64"/>
      <c r="G35" s="64" t="s">
        <v>164</v>
      </c>
      <c r="H35" s="64">
        <v>0</v>
      </c>
      <c r="I35" s="64">
        <v>430</v>
      </c>
      <c r="J35" s="64">
        <v>-40</v>
      </c>
      <c r="L35" s="39"/>
      <c r="M35" s="14"/>
    </row>
    <row r="36" spans="2:13" x14ac:dyDescent="0.35">
      <c r="B36" s="64"/>
      <c r="C36" s="64"/>
      <c r="D36" s="64"/>
      <c r="E36" s="64"/>
      <c r="G36" s="64" t="s">
        <v>166</v>
      </c>
      <c r="H36" s="64">
        <v>0</v>
      </c>
      <c r="I36" s="64">
        <v>430</v>
      </c>
      <c r="J36" s="64">
        <v>-40</v>
      </c>
      <c r="L36" s="39"/>
      <c r="M36" s="14"/>
    </row>
    <row r="37" spans="2:13" x14ac:dyDescent="0.35">
      <c r="B37" s="64"/>
      <c r="C37" s="64"/>
      <c r="D37" s="64"/>
      <c r="E37" s="64"/>
      <c r="G37" s="64"/>
      <c r="H37" s="64"/>
      <c r="I37" s="64"/>
      <c r="J37" s="64"/>
      <c r="L37" s="39"/>
      <c r="M37" s="14"/>
    </row>
    <row r="38" spans="2:13" x14ac:dyDescent="0.35">
      <c r="B38" s="64"/>
      <c r="C38" s="64"/>
      <c r="D38" s="64"/>
      <c r="E38" s="64"/>
      <c r="G38" s="64"/>
      <c r="H38" s="64"/>
      <c r="I38" s="64"/>
      <c r="J38" s="64"/>
      <c r="L38" s="20"/>
      <c r="M38" s="14"/>
    </row>
    <row r="39" spans="2:13" x14ac:dyDescent="0.35">
      <c r="B39" s="64"/>
      <c r="C39" s="64"/>
      <c r="D39" s="64"/>
      <c r="E39" s="64"/>
      <c r="G39" s="64"/>
      <c r="H39" s="64"/>
      <c r="I39" s="64"/>
      <c r="J39" s="64"/>
      <c r="L39" s="20"/>
      <c r="M39" s="14"/>
    </row>
    <row r="40" spans="2:13" x14ac:dyDescent="0.35">
      <c r="B40" s="64"/>
      <c r="C40" s="64"/>
      <c r="D40" s="64"/>
      <c r="E40" s="64"/>
      <c r="G40" s="64"/>
      <c r="H40" s="64"/>
      <c r="I40" s="64"/>
      <c r="J40" s="64"/>
      <c r="L40" s="20"/>
      <c r="M40" s="14"/>
    </row>
    <row r="41" spans="2:13" x14ac:dyDescent="0.35">
      <c r="B41" s="64"/>
      <c r="C41" s="64"/>
      <c r="D41" s="64"/>
      <c r="E41" s="64"/>
      <c r="G41" s="64"/>
      <c r="H41" s="64"/>
      <c r="I41" s="64"/>
      <c r="J41" s="64"/>
      <c r="L41" s="20"/>
      <c r="M41" s="14"/>
    </row>
    <row r="42" spans="2:13" x14ac:dyDescent="0.35">
      <c r="B42" s="64"/>
      <c r="C42" s="64"/>
      <c r="D42" s="64"/>
      <c r="E42" s="64"/>
      <c r="G42" s="64"/>
      <c r="H42" s="64"/>
      <c r="I42" s="64"/>
      <c r="J42" s="64"/>
      <c r="L42" s="20"/>
      <c r="M42" s="14"/>
    </row>
    <row r="43" spans="2:13" x14ac:dyDescent="0.35">
      <c r="B43" s="64"/>
      <c r="C43" s="64"/>
      <c r="D43" s="64"/>
      <c r="E43" s="64"/>
      <c r="G43" s="64"/>
      <c r="H43" s="64"/>
      <c r="I43" s="64"/>
      <c r="J43" s="64"/>
      <c r="L43" s="20"/>
      <c r="M43" s="14"/>
    </row>
    <row r="44" spans="2:13" x14ac:dyDescent="0.35">
      <c r="B44" s="64"/>
      <c r="C44" s="64"/>
      <c r="D44" s="64"/>
      <c r="E44" s="64"/>
      <c r="G44" s="64"/>
      <c r="H44" s="64"/>
      <c r="I44" s="64"/>
      <c r="J44" s="64"/>
      <c r="L44" s="20"/>
      <c r="M44" s="14"/>
    </row>
    <row r="45" spans="2:13" x14ac:dyDescent="0.35">
      <c r="B45" s="64"/>
      <c r="C45" s="64"/>
      <c r="D45" s="64"/>
      <c r="E45" s="64"/>
      <c r="G45" s="64"/>
      <c r="H45" s="64"/>
      <c r="I45" s="64"/>
      <c r="J45" s="64"/>
    </row>
    <row r="46" spans="2:13" x14ac:dyDescent="0.35">
      <c r="B46" s="64"/>
      <c r="C46" s="64"/>
      <c r="D46" s="64"/>
      <c r="E46" s="64"/>
      <c r="G46" s="64"/>
      <c r="H46" s="64"/>
      <c r="I46" s="64"/>
      <c r="J46" s="64"/>
    </row>
    <row r="47" spans="2:13" x14ac:dyDescent="0.35">
      <c r="B47" s="64"/>
      <c r="C47" s="64"/>
      <c r="D47" s="64"/>
      <c r="E47" s="64"/>
      <c r="G47" s="64"/>
      <c r="H47" s="64"/>
      <c r="I47" s="64"/>
      <c r="J47" s="64"/>
    </row>
    <row r="48" spans="2:13" x14ac:dyDescent="0.35">
      <c r="B48" s="64"/>
      <c r="C48" s="64"/>
      <c r="D48" s="64"/>
      <c r="E48" s="64"/>
      <c r="G48" s="64"/>
      <c r="H48" s="64"/>
      <c r="I48" s="64"/>
      <c r="J48" s="64"/>
    </row>
    <row r="49" spans="2:10" x14ac:dyDescent="0.35">
      <c r="B49" s="64"/>
      <c r="C49" s="64"/>
      <c r="D49" s="64"/>
      <c r="E49" s="64"/>
      <c r="G49" s="64"/>
      <c r="H49" s="64"/>
      <c r="I49" s="64"/>
      <c r="J49" s="64"/>
    </row>
    <row r="50" spans="2:10" x14ac:dyDescent="0.35">
      <c r="B50" s="64"/>
      <c r="C50" s="64"/>
      <c r="D50" s="64"/>
      <c r="E50" s="64"/>
      <c r="G50" s="64"/>
      <c r="H50" s="64"/>
      <c r="I50" s="64"/>
      <c r="J50" s="64"/>
    </row>
    <row r="51" spans="2:10" x14ac:dyDescent="0.35">
      <c r="B51" s="64"/>
      <c r="C51" s="64"/>
      <c r="D51" s="64"/>
      <c r="E51" s="64"/>
      <c r="G51" s="64"/>
      <c r="H51" s="64"/>
      <c r="I51" s="64"/>
      <c r="J51" s="64"/>
    </row>
    <row r="52" spans="2:10" x14ac:dyDescent="0.35">
      <c r="B52" s="64"/>
      <c r="C52" s="64"/>
      <c r="D52" s="64"/>
      <c r="E52" s="64"/>
      <c r="G52" s="64"/>
      <c r="H52" s="64"/>
      <c r="I52" s="64"/>
      <c r="J52" s="64"/>
    </row>
    <row r="53" spans="2:10" x14ac:dyDescent="0.35">
      <c r="B53" s="64"/>
      <c r="C53" s="64"/>
      <c r="D53" s="64"/>
      <c r="E53" s="64"/>
      <c r="G53" s="64"/>
      <c r="H53" s="64"/>
      <c r="I53" s="64"/>
      <c r="J53" s="64"/>
    </row>
    <row r="54" spans="2:10" x14ac:dyDescent="0.35">
      <c r="B54" s="64"/>
      <c r="C54" s="64"/>
      <c r="D54" s="64"/>
      <c r="E54" s="64"/>
      <c r="G54" s="64"/>
      <c r="H54" s="64"/>
      <c r="I54" s="64"/>
      <c r="J54" s="64"/>
    </row>
    <row r="55" spans="2:10" x14ac:dyDescent="0.35">
      <c r="B55" s="64"/>
      <c r="C55" s="64"/>
      <c r="D55" s="64"/>
      <c r="E55" s="64"/>
      <c r="G55" s="64"/>
      <c r="H55" s="64"/>
      <c r="I55" s="64"/>
      <c r="J55" s="64"/>
    </row>
    <row r="56" spans="2:10" x14ac:dyDescent="0.35">
      <c r="B56" s="64"/>
      <c r="C56" s="64"/>
      <c r="D56" s="64"/>
      <c r="E56" s="64"/>
      <c r="G56" s="64"/>
      <c r="H56" s="64"/>
      <c r="I56" s="64"/>
      <c r="J56" s="64"/>
    </row>
    <row r="57" spans="2:10" x14ac:dyDescent="0.35">
      <c r="B57" s="64"/>
      <c r="C57" s="64"/>
      <c r="D57" s="64"/>
      <c r="E57" s="64"/>
      <c r="G57" s="64"/>
      <c r="H57" s="64"/>
      <c r="I57" s="64"/>
      <c r="J57" s="64"/>
    </row>
    <row r="58" spans="2:10" x14ac:dyDescent="0.35">
      <c r="B58" s="64"/>
      <c r="C58" s="64"/>
      <c r="D58" s="64"/>
      <c r="E58" s="64"/>
      <c r="G58" s="64"/>
      <c r="H58" s="64"/>
      <c r="I58" s="64"/>
      <c r="J58" s="64"/>
    </row>
    <row r="59" spans="2:10" x14ac:dyDescent="0.35">
      <c r="B59" s="64"/>
      <c r="C59" s="64"/>
      <c r="D59" s="64"/>
      <c r="E59" s="64"/>
      <c r="G59" s="64"/>
      <c r="H59" s="64"/>
      <c r="I59" s="64"/>
      <c r="J59" s="64"/>
    </row>
    <row r="60" spans="2:10" x14ac:dyDescent="0.35">
      <c r="B60" s="64"/>
      <c r="C60" s="64"/>
      <c r="D60" s="64"/>
      <c r="E60" s="64"/>
      <c r="G60" s="64"/>
      <c r="H60" s="64"/>
      <c r="I60" s="64"/>
      <c r="J60" s="64"/>
    </row>
    <row r="61" spans="2:10" x14ac:dyDescent="0.35">
      <c r="B61" s="64"/>
      <c r="C61" s="64"/>
      <c r="D61" s="64"/>
      <c r="E61" s="64"/>
      <c r="G61" s="64"/>
      <c r="H61" s="64"/>
      <c r="I61" s="64"/>
      <c r="J61" s="64"/>
    </row>
    <row r="62" spans="2:10" x14ac:dyDescent="0.35">
      <c r="B62" s="64"/>
      <c r="C62" s="64"/>
      <c r="D62" s="64"/>
      <c r="E62" s="64"/>
      <c r="G62" s="64"/>
      <c r="H62" s="64"/>
      <c r="I62" s="64"/>
      <c r="J62" s="64"/>
    </row>
    <row r="63" spans="2:10" x14ac:dyDescent="0.35">
      <c r="B63" s="64"/>
      <c r="C63" s="64"/>
      <c r="D63" s="64"/>
      <c r="E63" s="64"/>
      <c r="G63" s="64"/>
      <c r="H63" s="64"/>
      <c r="I63" s="64"/>
      <c r="J63" s="64"/>
    </row>
    <row r="64" spans="2:10" x14ac:dyDescent="0.35">
      <c r="B64" s="64"/>
      <c r="C64" s="64"/>
      <c r="D64" s="64"/>
      <c r="E64" s="64"/>
      <c r="G64" s="64"/>
      <c r="H64" s="64"/>
      <c r="I64" s="64"/>
      <c r="J64" s="64"/>
    </row>
    <row r="65" spans="2:10" x14ac:dyDescent="0.35">
      <c r="B65" s="64"/>
      <c r="C65" s="64"/>
      <c r="D65" s="64"/>
      <c r="E65" s="64"/>
      <c r="G65" s="64"/>
      <c r="H65" s="64"/>
      <c r="I65" s="64"/>
      <c r="J65" s="64"/>
    </row>
    <row r="66" spans="2:10" x14ac:dyDescent="0.35">
      <c r="B66" s="64"/>
      <c r="C66" s="64"/>
      <c r="D66" s="64"/>
      <c r="E66" s="64"/>
      <c r="G66" s="64"/>
      <c r="H66" s="64"/>
      <c r="I66" s="64"/>
      <c r="J66" s="64"/>
    </row>
    <row r="67" spans="2:10" x14ac:dyDescent="0.35">
      <c r="B67" s="64"/>
      <c r="C67" s="64"/>
      <c r="D67" s="64"/>
      <c r="E67" s="64"/>
      <c r="G67" s="64"/>
      <c r="H67" s="64"/>
      <c r="I67" s="64"/>
      <c r="J67" s="64"/>
    </row>
    <row r="68" spans="2:10" x14ac:dyDescent="0.35">
      <c r="B68" s="64"/>
      <c r="C68" s="64"/>
      <c r="D68" s="64"/>
      <c r="E68" s="64"/>
      <c r="G68" s="64"/>
      <c r="H68" s="64"/>
      <c r="I68" s="64"/>
      <c r="J68" s="64"/>
    </row>
    <row r="69" spans="2:10" x14ac:dyDescent="0.35">
      <c r="B69" s="64"/>
      <c r="C69" s="64"/>
      <c r="D69" s="64"/>
      <c r="E69" s="64"/>
      <c r="G69" s="64"/>
      <c r="H69" s="64"/>
      <c r="I69" s="64"/>
      <c r="J69" s="64"/>
    </row>
    <row r="70" spans="2:10" x14ac:dyDescent="0.35">
      <c r="B70" s="64"/>
      <c r="C70" s="64"/>
      <c r="D70" s="64"/>
      <c r="E70" s="64"/>
      <c r="G70" s="64"/>
      <c r="H70" s="64"/>
      <c r="I70" s="64"/>
      <c r="J70" s="64"/>
    </row>
    <row r="71" spans="2:10" x14ac:dyDescent="0.35">
      <c r="B71" s="64"/>
      <c r="C71" s="64"/>
      <c r="D71" s="64"/>
      <c r="E71" s="64"/>
      <c r="G71" s="64"/>
      <c r="H71" s="64"/>
      <c r="I71" s="64"/>
      <c r="J71" s="64"/>
    </row>
    <row r="72" spans="2:10" x14ac:dyDescent="0.35">
      <c r="B72" s="64"/>
      <c r="C72" s="64"/>
      <c r="D72" s="64"/>
      <c r="E72" s="64"/>
      <c r="G72" s="64"/>
      <c r="H72" s="64"/>
      <c r="I72" s="64"/>
      <c r="J72" s="64"/>
    </row>
    <row r="73" spans="2:10" x14ac:dyDescent="0.35">
      <c r="B73" s="64"/>
      <c r="C73" s="64"/>
      <c r="D73" s="64"/>
      <c r="E73" s="64"/>
      <c r="G73" s="64"/>
      <c r="H73" s="64"/>
      <c r="I73" s="64"/>
      <c r="J73" s="64"/>
    </row>
    <row r="74" spans="2:10" x14ac:dyDescent="0.35">
      <c r="B74" s="64"/>
      <c r="C74" s="64"/>
      <c r="D74" s="64"/>
      <c r="E74" s="64"/>
      <c r="G74" s="64"/>
      <c r="H74" s="64"/>
      <c r="I74" s="64"/>
      <c r="J74" s="64"/>
    </row>
    <row r="75" spans="2:10" x14ac:dyDescent="0.35">
      <c r="B75" s="64"/>
      <c r="C75" s="64"/>
      <c r="D75" s="64"/>
      <c r="E75" s="64"/>
      <c r="G75" s="64"/>
      <c r="H75" s="64"/>
      <c r="I75" s="64"/>
      <c r="J75" s="64"/>
    </row>
    <row r="76" spans="2:10" x14ac:dyDescent="0.35">
      <c r="B76" s="64"/>
      <c r="C76" s="64"/>
      <c r="D76" s="64"/>
      <c r="E76" s="64"/>
      <c r="G76" s="64"/>
      <c r="H76" s="64"/>
      <c r="I76" s="64"/>
      <c r="J76" s="64"/>
    </row>
    <row r="77" spans="2:10" x14ac:dyDescent="0.35">
      <c r="B77" s="64"/>
      <c r="C77" s="64"/>
      <c r="D77" s="64"/>
      <c r="E77" s="64"/>
      <c r="G77" s="64"/>
      <c r="H77" s="64"/>
      <c r="I77" s="64"/>
      <c r="J77" s="64"/>
    </row>
    <row r="78" spans="2:10" x14ac:dyDescent="0.35">
      <c r="B78" s="64"/>
      <c r="C78" s="64"/>
      <c r="D78" s="64"/>
      <c r="E78" s="64"/>
      <c r="G78" s="64"/>
      <c r="H78" s="64"/>
      <c r="I78" s="64"/>
      <c r="J78" s="64"/>
    </row>
    <row r="79" spans="2:10" x14ac:dyDescent="0.35">
      <c r="B79" s="64"/>
      <c r="C79" s="64"/>
      <c r="D79" s="64"/>
      <c r="E79" s="64"/>
      <c r="G79" s="64"/>
      <c r="H79" s="64"/>
      <c r="I79" s="64"/>
      <c r="J79" s="64"/>
    </row>
    <row r="80" spans="2:10" x14ac:dyDescent="0.35">
      <c r="B80" s="64"/>
      <c r="C80" s="64"/>
      <c r="D80" s="64"/>
      <c r="E80" s="64"/>
      <c r="G80" s="64"/>
      <c r="H80" s="64"/>
      <c r="I80" s="64"/>
      <c r="J80" s="64"/>
    </row>
    <row r="81" spans="2:10" x14ac:dyDescent="0.35">
      <c r="B81" s="64"/>
      <c r="C81" s="64"/>
      <c r="D81" s="64"/>
      <c r="E81" s="64"/>
      <c r="G81" s="64"/>
      <c r="H81" s="64"/>
      <c r="I81" s="64"/>
      <c r="J81" s="64"/>
    </row>
    <row r="82" spans="2:10" x14ac:dyDescent="0.35">
      <c r="B82" s="64"/>
      <c r="C82" s="64"/>
      <c r="D82" s="64"/>
      <c r="E82" s="64"/>
      <c r="G82" s="64"/>
      <c r="H82" s="64"/>
      <c r="I82" s="64"/>
      <c r="J82" s="64"/>
    </row>
    <row r="83" spans="2:10" x14ac:dyDescent="0.35">
      <c r="B83" s="64"/>
      <c r="C83" s="64"/>
      <c r="D83" s="64"/>
      <c r="E83" s="64"/>
      <c r="G83" s="64"/>
      <c r="H83" s="64"/>
      <c r="I83" s="64"/>
      <c r="J83" s="64"/>
    </row>
    <row r="84" spans="2:10" x14ac:dyDescent="0.35">
      <c r="B84" s="64"/>
      <c r="C84" s="64"/>
      <c r="D84" s="64"/>
      <c r="E84" s="64"/>
      <c r="G84" s="64"/>
      <c r="H84" s="64"/>
      <c r="I84" s="64"/>
      <c r="J84" s="64"/>
    </row>
    <row r="85" spans="2:10" x14ac:dyDescent="0.35">
      <c r="B85" s="64"/>
      <c r="C85" s="64"/>
      <c r="D85" s="64"/>
      <c r="E85" s="64"/>
      <c r="G85" s="64"/>
      <c r="H85" s="64"/>
      <c r="I85" s="64"/>
      <c r="J85" s="64"/>
    </row>
    <row r="86" spans="2:10" x14ac:dyDescent="0.35">
      <c r="B86" s="64"/>
      <c r="C86" s="64"/>
      <c r="D86" s="64"/>
      <c r="E86" s="64"/>
      <c r="G86" s="64"/>
      <c r="H86" s="64"/>
      <c r="I86" s="64"/>
      <c r="J86" s="64"/>
    </row>
    <row r="87" spans="2:10" x14ac:dyDescent="0.35">
      <c r="B87" s="64"/>
      <c r="C87" s="64"/>
      <c r="D87" s="64"/>
      <c r="E87" s="64"/>
      <c r="G87" s="64"/>
      <c r="H87" s="64"/>
      <c r="I87" s="64"/>
      <c r="J87" s="64"/>
    </row>
  </sheetData>
  <mergeCells count="11">
    <mergeCell ref="A25:J25"/>
    <mergeCell ref="L25:M25"/>
    <mergeCell ref="B26:E26"/>
    <mergeCell ref="G26:J26"/>
    <mergeCell ref="M26:Q27"/>
    <mergeCell ref="V7:Z7"/>
    <mergeCell ref="F1:K1"/>
    <mergeCell ref="B7:F7"/>
    <mergeCell ref="G7:K7"/>
    <mergeCell ref="L7:P7"/>
    <mergeCell ref="Q7:U7"/>
  </mergeCells>
  <conditionalFormatting sqref="C3">
    <cfRule type="cellIs" dxfId="35" priority="34" operator="notEqual">
      <formula>MAX($E$9:$E$23)</formula>
    </cfRule>
  </conditionalFormatting>
  <conditionalFormatting sqref="C28:D87">
    <cfRule type="cellIs" dxfId="34" priority="32" operator="greaterThan">
      <formula>$C$3</formula>
    </cfRule>
  </conditionalFormatting>
  <conditionalFormatting sqref="G28">
    <cfRule type="uniqueValues" dxfId="33" priority="10"/>
  </conditionalFormatting>
  <conditionalFormatting sqref="G29:G36">
    <cfRule type="uniqueValues" dxfId="32" priority="36"/>
  </conditionalFormatting>
  <conditionalFormatting sqref="G35:G45">
    <cfRule type="uniqueValues" dxfId="31" priority="35"/>
  </conditionalFormatting>
  <conditionalFormatting sqref="G42">
    <cfRule type="uniqueValues" dxfId="30" priority="24"/>
  </conditionalFormatting>
  <conditionalFormatting sqref="G43:G49 G63">
    <cfRule type="uniqueValues" dxfId="29" priority="29"/>
  </conditionalFormatting>
  <conditionalFormatting sqref="G50:G55">
    <cfRule type="uniqueValues" dxfId="28" priority="20"/>
  </conditionalFormatting>
  <conditionalFormatting sqref="G56">
    <cfRule type="uniqueValues" dxfId="27" priority="21"/>
  </conditionalFormatting>
  <conditionalFormatting sqref="G57:G62">
    <cfRule type="uniqueValues" dxfId="26" priority="18"/>
  </conditionalFormatting>
  <conditionalFormatting sqref="G64:G72">
    <cfRule type="uniqueValues" dxfId="25" priority="31"/>
  </conditionalFormatting>
  <conditionalFormatting sqref="G73:G87">
    <cfRule type="uniqueValues" dxfId="24" priority="33"/>
  </conditionalFormatting>
  <conditionalFormatting sqref="H28">
    <cfRule type="cellIs" dxfId="23" priority="9" operator="greaterThan">
      <formula>$C$3</formula>
    </cfRule>
  </conditionalFormatting>
  <conditionalFormatting sqref="H42">
    <cfRule type="cellIs" dxfId="22" priority="23" operator="greaterThan">
      <formula>$C$3</formula>
    </cfRule>
  </conditionalFormatting>
  <conditionalFormatting sqref="H49">
    <cfRule type="cellIs" dxfId="21" priority="22" operator="greaterThan">
      <formula>$C$3</formula>
    </cfRule>
  </conditionalFormatting>
  <conditionalFormatting sqref="H56">
    <cfRule type="cellIs" dxfId="20" priority="19" operator="greaterThan">
      <formula>$C$3</formula>
    </cfRule>
  </conditionalFormatting>
  <conditionalFormatting sqref="H29:I41">
    <cfRule type="cellIs" dxfId="19" priority="1" operator="greaterThan">
      <formula>$C$3</formula>
    </cfRule>
  </conditionalFormatting>
  <conditionalFormatting sqref="H43:I48">
    <cfRule type="cellIs" dxfId="18" priority="16" operator="greaterThan">
      <formula>$C$3</formula>
    </cfRule>
  </conditionalFormatting>
  <conditionalFormatting sqref="H50:I55">
    <cfRule type="cellIs" dxfId="17" priority="15" operator="greaterThan">
      <formula>$C$3</formula>
    </cfRule>
  </conditionalFormatting>
  <conditionalFormatting sqref="H57:I87">
    <cfRule type="cellIs" dxfId="16" priority="14" operator="greaterThan">
      <formula>$C$3</formula>
    </cfRule>
  </conditionalFormatting>
  <conditionalFormatting sqref="I28">
    <cfRule type="cellIs" dxfId="15" priority="7" operator="notEqual">
      <formula>MAX($E$9:$E$23)</formula>
    </cfRule>
  </conditionalFormatting>
  <conditionalFormatting sqref="I42">
    <cfRule type="cellIs" dxfId="14" priority="13" operator="notEqual">
      <formula>MAX($E$9:$E$23)</formula>
    </cfRule>
  </conditionalFormatting>
  <conditionalFormatting sqref="I49">
    <cfRule type="cellIs" dxfId="13" priority="12" operator="notEqual">
      <formula>MAX($E$9:$E$23)</formula>
    </cfRule>
  </conditionalFormatting>
  <conditionalFormatting sqref="I56">
    <cfRule type="cellIs" dxfId="12" priority="11" operator="notEqual">
      <formula>MAX($E$9:$E$23)</formula>
    </cfRule>
  </conditionalFormatting>
  <dataValidations count="1">
    <dataValidation type="list" allowBlank="1" showInputMessage="1" showErrorMessage="1" sqref="Z9:Z23 P9:P23 U9:U23 F9:F23 K9:K23" xr:uid="{00000000-0002-0000-0C00-000000000000}">
      <formula1>"green,red,yellow,blue,orange,cyan,black,white,magenta"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zoomScale="90" zoomScaleNormal="90" workbookViewId="0">
      <selection activeCell="C2" sqref="C2:W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07"/>
      <c r="B1" s="207"/>
      <c r="C1" s="207" t="s">
        <v>4</v>
      </c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</row>
    <row r="2" spans="1:30" ht="15" thickBot="1" x14ac:dyDescent="0.4">
      <c r="A2" s="207"/>
      <c r="B2" s="207"/>
      <c r="C2" s="128" t="str">
        <f>Neu!$B4</f>
        <v>B51s</v>
      </c>
      <c r="D2" s="99" t="str">
        <f>Neu!$B5</f>
        <v>B64s</v>
      </c>
      <c r="E2" s="99" t="str">
        <f>Neu!$B6</f>
        <v>B8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08" t="s">
        <v>5</v>
      </c>
      <c r="B3" s="206" t="str">
        <f>Neu!B4</f>
        <v>B51s</v>
      </c>
      <c r="C3" s="113"/>
      <c r="D3" s="114"/>
      <c r="E3" s="114"/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175</v>
      </c>
      <c r="Y3" s="1" t="s">
        <v>179</v>
      </c>
      <c r="Z3" s="66"/>
      <c r="AA3" s="66"/>
      <c r="AB3" s="66"/>
      <c r="AC3" s="66"/>
      <c r="AD3" s="66"/>
    </row>
    <row r="4" spans="1:30" ht="14.25" customHeight="1" x14ac:dyDescent="0.35">
      <c r="A4" s="208"/>
      <c r="B4" s="204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176</v>
      </c>
      <c r="Y4" s="139">
        <f>MAX($C$3:$W$44)-(ROW(Y4)-4)*0.5</f>
        <v>0</v>
      </c>
      <c r="Z4" s="66"/>
      <c r="AA4" s="66"/>
      <c r="AB4" s="66"/>
      <c r="AC4" s="66"/>
      <c r="AD4" s="66"/>
    </row>
    <row r="5" spans="1:30" ht="14.25" customHeight="1" x14ac:dyDescent="0.35">
      <c r="A5" s="208"/>
      <c r="B5" s="203" t="str">
        <f>Neu!B5</f>
        <v>B64s</v>
      </c>
      <c r="C5" s="119"/>
      <c r="D5" s="108"/>
      <c r="E5" s="110"/>
      <c r="F5" s="110"/>
      <c r="G5" s="110"/>
      <c r="H5" s="103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6"/>
      <c r="Y5" s="139">
        <f t="shared" ref="Y5:Y26" si="0">MAX($C$3:$W$44)-(ROW(Y5)-4)*0.5</f>
        <v>-0.5</v>
      </c>
      <c r="Z5" s="66"/>
      <c r="AA5" s="66"/>
      <c r="AB5" s="66"/>
      <c r="AC5" s="66"/>
      <c r="AD5" s="66"/>
    </row>
    <row r="6" spans="1:30" ht="14.25" customHeight="1" x14ac:dyDescent="0.35">
      <c r="A6" s="208"/>
      <c r="B6" s="204"/>
      <c r="C6" s="121"/>
      <c r="D6" s="112"/>
      <c r="E6" s="96"/>
      <c r="F6" s="96"/>
      <c r="G6" s="96"/>
      <c r="H6" s="97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6"/>
      <c r="Y6" s="139">
        <f t="shared" si="0"/>
        <v>-1</v>
      </c>
      <c r="Z6" s="66"/>
      <c r="AA6" s="66"/>
      <c r="AB6" s="66"/>
      <c r="AC6" s="66"/>
      <c r="AD6" s="66"/>
    </row>
    <row r="7" spans="1:30" ht="14.25" customHeight="1" x14ac:dyDescent="0.35">
      <c r="A7" s="208"/>
      <c r="B7" s="203" t="str">
        <f>Neu!B6</f>
        <v>B8</v>
      </c>
      <c r="C7" s="119"/>
      <c r="D7" s="110"/>
      <c r="E7" s="108"/>
      <c r="F7" s="110"/>
      <c r="G7" s="110"/>
      <c r="H7" s="103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6"/>
      <c r="Y7" s="139">
        <f t="shared" si="0"/>
        <v>-1.5</v>
      </c>
      <c r="Z7" s="66"/>
      <c r="AA7" s="66"/>
      <c r="AB7" s="66"/>
      <c r="AC7" s="66"/>
      <c r="AD7" s="66"/>
    </row>
    <row r="8" spans="1:30" ht="14.25" customHeight="1" x14ac:dyDescent="0.35">
      <c r="A8" s="208"/>
      <c r="B8" s="204"/>
      <c r="C8" s="121"/>
      <c r="D8" s="96"/>
      <c r="E8" s="112"/>
      <c r="F8" s="96"/>
      <c r="G8" s="96"/>
      <c r="H8" s="97"/>
      <c r="I8" s="96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6"/>
      <c r="Y8" s="139">
        <f t="shared" si="0"/>
        <v>-2</v>
      </c>
      <c r="Z8" s="66"/>
      <c r="AA8" s="66"/>
      <c r="AB8" s="66"/>
      <c r="AC8" s="66"/>
      <c r="AD8" s="66"/>
    </row>
    <row r="9" spans="1:30" ht="14.25" customHeight="1" x14ac:dyDescent="0.35">
      <c r="A9" s="208"/>
      <c r="B9" s="203">
        <f>Neu!B7</f>
        <v>0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6"/>
      <c r="Y9" s="139">
        <f t="shared" si="0"/>
        <v>-2.5</v>
      </c>
      <c r="Z9" s="66"/>
      <c r="AA9" s="66"/>
      <c r="AB9" s="66"/>
      <c r="AC9" s="66"/>
      <c r="AD9" s="66"/>
    </row>
    <row r="10" spans="1:30" ht="14.25" customHeight="1" x14ac:dyDescent="0.35">
      <c r="A10" s="208"/>
      <c r="B10" s="204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6"/>
      <c r="Y10" s="139">
        <f t="shared" si="0"/>
        <v>-3</v>
      </c>
      <c r="Z10" s="66"/>
      <c r="AA10" s="66"/>
      <c r="AB10" s="66"/>
      <c r="AC10" s="66"/>
      <c r="AD10" s="66"/>
    </row>
    <row r="11" spans="1:30" ht="14.25" customHeight="1" x14ac:dyDescent="0.35">
      <c r="A11" s="208"/>
      <c r="B11" s="203">
        <f>Neu!B8</f>
        <v>0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6"/>
      <c r="Y11" s="139">
        <f t="shared" si="0"/>
        <v>-3.5</v>
      </c>
      <c r="Z11" s="66"/>
      <c r="AA11" s="66"/>
      <c r="AB11" s="66"/>
      <c r="AC11" s="66"/>
      <c r="AD11" s="66"/>
    </row>
    <row r="12" spans="1:30" ht="14.25" customHeight="1" x14ac:dyDescent="0.35">
      <c r="A12" s="208"/>
      <c r="B12" s="204"/>
      <c r="C12" s="121"/>
      <c r="D12" s="96"/>
      <c r="E12" s="96"/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6"/>
      <c r="Y12" s="139">
        <f t="shared" si="0"/>
        <v>-4</v>
      </c>
      <c r="Z12" s="66"/>
      <c r="AA12" s="66"/>
      <c r="AB12" s="66"/>
      <c r="AC12" s="66"/>
      <c r="AD12" s="66"/>
    </row>
    <row r="13" spans="1:30" ht="14.25" customHeight="1" x14ac:dyDescent="0.35">
      <c r="A13" s="208"/>
      <c r="B13" s="203">
        <f>Neu!B9</f>
        <v>0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6"/>
      <c r="Y13" s="139">
        <f t="shared" si="0"/>
        <v>-4.5</v>
      </c>
      <c r="Z13" s="66"/>
      <c r="AA13" s="66"/>
      <c r="AB13" s="66"/>
      <c r="AC13" s="66"/>
      <c r="AD13" s="66"/>
    </row>
    <row r="14" spans="1:30" ht="14.25" customHeight="1" x14ac:dyDescent="0.35">
      <c r="A14" s="208"/>
      <c r="B14" s="204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6"/>
      <c r="Y14" s="139">
        <f t="shared" si="0"/>
        <v>-5</v>
      </c>
      <c r="Z14" s="66"/>
      <c r="AA14" s="66"/>
      <c r="AB14" s="66"/>
      <c r="AC14" s="66"/>
      <c r="AD14" s="66"/>
    </row>
    <row r="15" spans="1:30" ht="14.25" customHeight="1" x14ac:dyDescent="0.35">
      <c r="A15" s="208"/>
      <c r="B15" s="203">
        <f>Neu!B10</f>
        <v>0</v>
      </c>
      <c r="C15" s="119"/>
      <c r="D15" s="110"/>
      <c r="E15" s="110"/>
      <c r="F15" s="110"/>
      <c r="G15" s="110"/>
      <c r="H15" s="103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6"/>
      <c r="Y15" s="139">
        <f t="shared" si="0"/>
        <v>-5.5</v>
      </c>
      <c r="Z15" s="66"/>
      <c r="AA15" s="66"/>
      <c r="AB15" s="66"/>
      <c r="AC15" s="66"/>
      <c r="AD15" s="66"/>
    </row>
    <row r="16" spans="1:30" ht="14.25" customHeight="1" x14ac:dyDescent="0.35">
      <c r="A16" s="208"/>
      <c r="B16" s="204"/>
      <c r="C16" s="121"/>
      <c r="D16" s="96"/>
      <c r="E16" s="96"/>
      <c r="F16" s="96"/>
      <c r="G16" s="96"/>
      <c r="H16" s="97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6"/>
      <c r="Y16" s="139">
        <f t="shared" si="0"/>
        <v>-6</v>
      </c>
      <c r="Z16" s="66"/>
      <c r="AA16" s="66"/>
      <c r="AB16" s="66"/>
      <c r="AC16" s="66"/>
      <c r="AD16" s="66"/>
    </row>
    <row r="17" spans="1:30" ht="14.25" customHeight="1" x14ac:dyDescent="0.35">
      <c r="A17" s="208"/>
      <c r="B17" s="203">
        <f>Neu!B11</f>
        <v>0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6"/>
      <c r="Y17" s="139">
        <f t="shared" si="0"/>
        <v>-6.5</v>
      </c>
      <c r="Z17" s="66"/>
      <c r="AA17" s="66"/>
      <c r="AB17" s="66"/>
      <c r="AC17" s="66"/>
      <c r="AD17" s="66"/>
    </row>
    <row r="18" spans="1:30" ht="14.25" customHeight="1" x14ac:dyDescent="0.35">
      <c r="A18" s="208"/>
      <c r="B18" s="204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6"/>
      <c r="Y18" s="139">
        <f t="shared" si="0"/>
        <v>-7</v>
      </c>
      <c r="Z18" s="66"/>
      <c r="AA18" s="66"/>
      <c r="AB18" s="66"/>
      <c r="AC18" s="66"/>
      <c r="AD18" s="66"/>
    </row>
    <row r="19" spans="1:30" ht="14.25" customHeight="1" x14ac:dyDescent="0.35">
      <c r="A19" s="208"/>
      <c r="B19" s="203">
        <f>Neu!B12</f>
        <v>0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6"/>
      <c r="Y19" s="139">
        <f t="shared" si="0"/>
        <v>-7.5</v>
      </c>
      <c r="Z19" s="66"/>
      <c r="AA19" s="66"/>
      <c r="AB19" s="66"/>
      <c r="AC19" s="66"/>
      <c r="AD19" s="66"/>
    </row>
    <row r="20" spans="1:30" ht="14.25" customHeight="1" x14ac:dyDescent="0.35">
      <c r="A20" s="208"/>
      <c r="B20" s="204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6"/>
      <c r="Y20" s="139">
        <f t="shared" si="0"/>
        <v>-8</v>
      </c>
      <c r="Z20" s="66"/>
      <c r="AA20" s="66"/>
      <c r="AB20" s="66"/>
      <c r="AC20" s="66"/>
      <c r="AD20" s="66"/>
    </row>
    <row r="21" spans="1:30" ht="14.25" customHeight="1" x14ac:dyDescent="0.35">
      <c r="A21" s="208"/>
      <c r="B21" s="203">
        <f>Neu!B13</f>
        <v>0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6"/>
      <c r="Y21" s="139">
        <f t="shared" si="0"/>
        <v>-8.5</v>
      </c>
      <c r="Z21" s="66"/>
      <c r="AA21" s="66"/>
      <c r="AB21" s="66"/>
      <c r="AC21" s="66"/>
      <c r="AD21" s="66"/>
    </row>
    <row r="22" spans="1:30" ht="14.25" customHeight="1" x14ac:dyDescent="0.35">
      <c r="A22" s="208"/>
      <c r="B22" s="204"/>
      <c r="C22" s="121"/>
      <c r="D22" s="96"/>
      <c r="E22" s="96"/>
      <c r="F22" s="96"/>
      <c r="G22" s="96"/>
      <c r="H22" s="97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6"/>
      <c r="Y22" s="139">
        <f t="shared" si="0"/>
        <v>-9</v>
      </c>
      <c r="Z22" s="66"/>
      <c r="AA22" s="66"/>
      <c r="AB22" s="66"/>
      <c r="AC22" s="66"/>
      <c r="AD22" s="66"/>
    </row>
    <row r="23" spans="1:30" ht="14.25" customHeight="1" x14ac:dyDescent="0.35">
      <c r="A23" s="208"/>
      <c r="B23" s="203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6"/>
      <c r="Y23" s="139">
        <f t="shared" si="0"/>
        <v>-9.5</v>
      </c>
      <c r="Z23" s="66"/>
      <c r="AA23" s="66"/>
      <c r="AB23" s="66"/>
      <c r="AC23" s="66"/>
      <c r="AD23" s="66"/>
    </row>
    <row r="24" spans="1:30" ht="14.25" customHeight="1" x14ac:dyDescent="0.35">
      <c r="A24" s="208"/>
      <c r="B24" s="204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6"/>
      <c r="Y24" s="139">
        <f t="shared" si="0"/>
        <v>-10</v>
      </c>
      <c r="Z24" s="66"/>
      <c r="AA24" s="66"/>
      <c r="AB24" s="66"/>
      <c r="AC24" s="66"/>
      <c r="AD24" s="66"/>
    </row>
    <row r="25" spans="1:30" ht="14.25" customHeight="1" x14ac:dyDescent="0.35">
      <c r="A25" s="208"/>
      <c r="B25" s="203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6"/>
      <c r="Y25" s="139">
        <f t="shared" si="0"/>
        <v>-10.5</v>
      </c>
      <c r="Z25" s="66"/>
      <c r="AA25" s="66"/>
      <c r="AB25" s="66"/>
      <c r="AC25" s="66"/>
      <c r="AD25" s="66"/>
    </row>
    <row r="26" spans="1:30" ht="14.25" customHeight="1" x14ac:dyDescent="0.35">
      <c r="A26" s="208"/>
      <c r="B26" s="204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6"/>
      <c r="Y26" s="139">
        <f t="shared" si="0"/>
        <v>-11</v>
      </c>
      <c r="Z26" s="66"/>
      <c r="AA26" s="66"/>
      <c r="AB26" s="66"/>
      <c r="AC26" s="66"/>
      <c r="AD26" s="66"/>
    </row>
    <row r="27" spans="1:30" ht="14.25" customHeight="1" x14ac:dyDescent="0.35">
      <c r="A27" s="208"/>
      <c r="B27" s="203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6"/>
      <c r="Y27" s="66"/>
      <c r="Z27" s="66"/>
      <c r="AA27" s="66"/>
      <c r="AB27" s="66"/>
      <c r="AC27" s="66"/>
      <c r="AD27" s="66"/>
    </row>
    <row r="28" spans="1:30" ht="14.25" customHeight="1" x14ac:dyDescent="0.35">
      <c r="A28" s="208"/>
      <c r="B28" s="204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6"/>
      <c r="Y28" s="66"/>
      <c r="Z28" s="66"/>
      <c r="AA28" s="66"/>
      <c r="AB28" s="66"/>
      <c r="AC28" s="66"/>
      <c r="AD28" s="66"/>
    </row>
    <row r="29" spans="1:30" ht="14.25" customHeight="1" x14ac:dyDescent="0.35">
      <c r="A29" s="208"/>
      <c r="B29" s="203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6"/>
      <c r="Y29" s="66"/>
      <c r="Z29" s="66"/>
      <c r="AA29" s="66"/>
      <c r="AB29" s="66"/>
      <c r="AC29" s="66"/>
      <c r="AD29" s="66"/>
    </row>
    <row r="30" spans="1:30" ht="14.25" customHeight="1" x14ac:dyDescent="0.35">
      <c r="A30" s="208"/>
      <c r="B30" s="204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6"/>
      <c r="Y30" s="66"/>
      <c r="Z30" s="66"/>
      <c r="AA30" s="66"/>
      <c r="AB30" s="66"/>
      <c r="AC30" s="66"/>
      <c r="AD30" s="66"/>
    </row>
    <row r="31" spans="1:30" ht="14.25" customHeight="1" x14ac:dyDescent="0.35">
      <c r="A31" s="208"/>
      <c r="B31" s="203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6"/>
      <c r="Y31" s="66"/>
      <c r="Z31" s="66"/>
      <c r="AA31" s="66"/>
      <c r="AB31" s="66"/>
      <c r="AC31" s="66"/>
      <c r="AD31" s="66"/>
    </row>
    <row r="32" spans="1:30" ht="14.25" customHeight="1" x14ac:dyDescent="0.35">
      <c r="A32" s="208"/>
      <c r="B32" s="204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6"/>
      <c r="Y32" s="66"/>
      <c r="Z32" s="66"/>
      <c r="AA32" s="66"/>
      <c r="AB32" s="66"/>
      <c r="AC32" s="66"/>
      <c r="AD32" s="66"/>
    </row>
    <row r="33" spans="1:30" ht="14.25" customHeight="1" x14ac:dyDescent="0.35">
      <c r="A33" s="208"/>
      <c r="B33" s="203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6"/>
      <c r="Y33" s="66"/>
      <c r="Z33" s="66"/>
      <c r="AA33" s="66"/>
      <c r="AB33" s="66"/>
      <c r="AC33" s="66"/>
      <c r="AD33" s="66"/>
    </row>
    <row r="34" spans="1:30" ht="14.25" customHeight="1" x14ac:dyDescent="0.35">
      <c r="A34" s="208"/>
      <c r="B34" s="204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6"/>
      <c r="Y34" s="66"/>
      <c r="Z34" s="66"/>
      <c r="AA34" s="66"/>
      <c r="AB34" s="66"/>
      <c r="AC34" s="66"/>
      <c r="AD34" s="66"/>
    </row>
    <row r="35" spans="1:30" ht="14.25" customHeight="1" x14ac:dyDescent="0.35">
      <c r="A35" s="208"/>
      <c r="B35" s="203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6"/>
      <c r="Y35" s="66"/>
      <c r="Z35" s="66"/>
      <c r="AA35" s="66"/>
      <c r="AB35" s="66"/>
      <c r="AC35" s="66"/>
      <c r="AD35" s="66"/>
    </row>
    <row r="36" spans="1:30" ht="14.25" customHeight="1" x14ac:dyDescent="0.35">
      <c r="A36" s="208"/>
      <c r="B36" s="204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6"/>
      <c r="Y36" s="66"/>
      <c r="Z36" s="66"/>
      <c r="AA36" s="66"/>
      <c r="AB36" s="66"/>
      <c r="AC36" s="66"/>
      <c r="AD36" s="66"/>
    </row>
    <row r="37" spans="1:30" ht="14.25" customHeight="1" x14ac:dyDescent="0.35">
      <c r="A37" s="208"/>
      <c r="B37" s="203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6"/>
      <c r="Y37" s="66"/>
      <c r="Z37" s="66"/>
      <c r="AA37" s="66"/>
      <c r="AB37" s="66"/>
      <c r="AC37" s="66"/>
      <c r="AD37" s="66"/>
    </row>
    <row r="38" spans="1:30" ht="14.25" customHeight="1" x14ac:dyDescent="0.35">
      <c r="A38" s="208"/>
      <c r="B38" s="204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6"/>
      <c r="Y38" s="66"/>
      <c r="Z38" s="66"/>
      <c r="AA38" s="66"/>
      <c r="AB38" s="66"/>
      <c r="AC38" s="66"/>
      <c r="AD38" s="66"/>
    </row>
    <row r="39" spans="1:30" ht="14.25" customHeight="1" x14ac:dyDescent="0.35">
      <c r="A39" s="208"/>
      <c r="B39" s="203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6"/>
      <c r="Y39" s="66"/>
      <c r="Z39" s="66"/>
      <c r="AA39" s="66"/>
      <c r="AB39" s="66"/>
      <c r="AC39" s="66"/>
      <c r="AD39" s="66"/>
    </row>
    <row r="40" spans="1:30" ht="14.25" customHeight="1" x14ac:dyDescent="0.35">
      <c r="A40" s="208"/>
      <c r="B40" s="204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6"/>
      <c r="Y40" s="66"/>
      <c r="Z40" s="66"/>
      <c r="AA40" s="66"/>
      <c r="AB40" s="66"/>
      <c r="AC40" s="66"/>
      <c r="AD40" s="66"/>
    </row>
    <row r="41" spans="1:30" ht="14.25" customHeight="1" x14ac:dyDescent="0.35">
      <c r="A41" s="208"/>
      <c r="B41" s="203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6"/>
      <c r="Y41" s="66"/>
      <c r="Z41" s="66"/>
      <c r="AA41" s="66"/>
      <c r="AB41" s="66"/>
      <c r="AC41" s="66"/>
      <c r="AD41" s="66"/>
    </row>
    <row r="42" spans="1:30" ht="14.25" customHeight="1" x14ac:dyDescent="0.35">
      <c r="A42" s="208"/>
      <c r="B42" s="204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6"/>
      <c r="Y42" s="66"/>
      <c r="Z42" s="66"/>
      <c r="AA42" s="66"/>
      <c r="AB42" s="66"/>
      <c r="AC42" s="66"/>
      <c r="AD42" s="66"/>
    </row>
    <row r="43" spans="1:30" ht="14.25" customHeight="1" x14ac:dyDescent="0.35">
      <c r="A43" s="208"/>
      <c r="B43" s="203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6"/>
      <c r="Y43" s="66"/>
      <c r="Z43" s="66"/>
      <c r="AA43" s="66"/>
      <c r="AB43" s="66"/>
      <c r="AC43" s="66"/>
      <c r="AD43" s="66"/>
    </row>
    <row r="44" spans="1:30" ht="14.25" customHeight="1" thickBot="1" x14ac:dyDescent="0.4">
      <c r="A44" s="107"/>
      <c r="B44" s="205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6"/>
      <c r="Y44" s="66"/>
      <c r="Z44" s="66"/>
      <c r="AA44" s="66"/>
      <c r="AB44" s="66"/>
      <c r="AC44" s="66"/>
      <c r="AD44" s="66"/>
    </row>
    <row r="45" spans="1:30" x14ac:dyDescent="0.35"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spans="1:30" x14ac:dyDescent="0.35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spans="1:30" x14ac:dyDescent="0.35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spans="1:30" x14ac:dyDescent="0.35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spans="3:30" x14ac:dyDescent="0.35"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spans="3:30" x14ac:dyDescent="0.35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spans="3:30" x14ac:dyDescent="0.35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spans="3:30" x14ac:dyDescent="0.35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spans="3:30" x14ac:dyDescent="0.35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spans="3:30" x14ac:dyDescent="0.35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spans="3:30" x14ac:dyDescent="0.35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spans="3:30" x14ac:dyDescent="0.35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spans="3:30" x14ac:dyDescent="0.35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spans="3:30" x14ac:dyDescent="0.35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spans="3:30" x14ac:dyDescent="0.35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spans="3:30" x14ac:dyDescent="0.35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spans="3:30" x14ac:dyDescent="0.35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spans="3:30" x14ac:dyDescent="0.35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spans="3:30" x14ac:dyDescent="0.35"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spans="3:30" x14ac:dyDescent="0.35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spans="3:30" x14ac:dyDescent="0.35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spans="3:30" x14ac:dyDescent="0.35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spans="3:30" x14ac:dyDescent="0.35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spans="3:30" x14ac:dyDescent="0.35"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spans="3:30" x14ac:dyDescent="0.35"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spans="3:30" x14ac:dyDescent="0.35"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spans="3:30" x14ac:dyDescent="0.35"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spans="3:30" x14ac:dyDescent="0.35"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spans="3:30" x14ac:dyDescent="0.35"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spans="3:30" x14ac:dyDescent="0.35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spans="3:30" x14ac:dyDescent="0.35"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spans="3:30" x14ac:dyDescent="0.35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1" priority="4" operator="equal">
      <formula>0</formula>
    </cfRule>
  </conditionalFormatting>
  <conditionalFormatting sqref="C2:W2">
    <cfRule type="cellIs" dxfId="10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9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76"/>
  <sheetViews>
    <sheetView zoomScale="90" zoomScaleNormal="90" workbookViewId="0">
      <selection activeCell="E2" sqref="E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07"/>
      <c r="B1" s="207"/>
      <c r="C1" s="207" t="s">
        <v>4</v>
      </c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</row>
    <row r="2" spans="1:30" ht="15" thickBot="1" x14ac:dyDescent="0.4">
      <c r="A2" s="207"/>
      <c r="B2" s="207"/>
      <c r="C2" s="128" t="str">
        <f>Neu!$B4</f>
        <v>B51s</v>
      </c>
      <c r="D2" s="99" t="str">
        <f>Neu!$B5</f>
        <v>B64s</v>
      </c>
      <c r="E2" s="99" t="str">
        <f>Neu!$B6</f>
        <v>B8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08" t="s">
        <v>5</v>
      </c>
      <c r="B3" s="206" t="str">
        <f>Neu!B4</f>
        <v>B51s</v>
      </c>
      <c r="C3" s="132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175</v>
      </c>
      <c r="Y3" s="1" t="s">
        <v>179</v>
      </c>
      <c r="Z3" s="66"/>
      <c r="AA3" s="66"/>
      <c r="AB3" s="66"/>
      <c r="AC3" s="66"/>
      <c r="AD3" s="66"/>
    </row>
    <row r="4" spans="1:30" ht="14.25" customHeight="1" x14ac:dyDescent="0.35">
      <c r="A4" s="208"/>
      <c r="B4" s="204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176</v>
      </c>
      <c r="Y4" s="139">
        <f>MAX($C$3:$W$44)-(ROW(Y4)-4)*10</f>
        <v>0</v>
      </c>
      <c r="Z4" s="66"/>
      <c r="AA4" s="66"/>
      <c r="AB4" s="66"/>
      <c r="AC4" s="66"/>
      <c r="AD4" s="66"/>
    </row>
    <row r="5" spans="1:30" ht="14.25" customHeight="1" x14ac:dyDescent="0.35">
      <c r="A5" s="208"/>
      <c r="B5" s="203" t="str">
        <f>Neu!B5</f>
        <v>B64s</v>
      </c>
      <c r="C5" s="106"/>
      <c r="D5" s="108"/>
      <c r="E5" s="110"/>
      <c r="F5" s="110"/>
      <c r="G5" s="103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6"/>
      <c r="Y5" s="139">
        <f t="shared" ref="Y5:Y32" si="0">MAX($C$3:$W$44)-(ROW(Y5)-4)*10</f>
        <v>-10</v>
      </c>
      <c r="Z5" s="66"/>
      <c r="AA5" s="66"/>
      <c r="AB5" s="66"/>
      <c r="AC5" s="66"/>
      <c r="AD5" s="66"/>
    </row>
    <row r="6" spans="1:30" ht="14.25" customHeight="1" x14ac:dyDescent="0.35">
      <c r="A6" s="208"/>
      <c r="B6" s="204"/>
      <c r="C6" s="129"/>
      <c r="D6" s="112"/>
      <c r="E6" s="96"/>
      <c r="F6" s="96"/>
      <c r="G6" s="97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6"/>
      <c r="Y6" s="139">
        <f t="shared" si="0"/>
        <v>-20</v>
      </c>
      <c r="Z6" s="66"/>
      <c r="AA6" s="66"/>
      <c r="AB6" s="66"/>
      <c r="AC6" s="66"/>
      <c r="AD6" s="66"/>
    </row>
    <row r="7" spans="1:30" ht="14.25" customHeight="1" x14ac:dyDescent="0.35">
      <c r="A7" s="208"/>
      <c r="B7" s="203" t="str">
        <f>Neu!B6</f>
        <v>B8</v>
      </c>
      <c r="C7" s="106"/>
      <c r="D7" s="110"/>
      <c r="E7" s="108"/>
      <c r="F7" s="110"/>
      <c r="G7" s="103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6"/>
      <c r="Y7" s="139">
        <f t="shared" si="0"/>
        <v>-30</v>
      </c>
      <c r="Z7" s="66"/>
      <c r="AA7" s="66"/>
      <c r="AB7" s="66"/>
      <c r="AC7" s="66"/>
      <c r="AD7" s="66"/>
    </row>
    <row r="8" spans="1:30" ht="14.25" customHeight="1" x14ac:dyDescent="0.35">
      <c r="A8" s="208"/>
      <c r="B8" s="204"/>
      <c r="C8" s="129"/>
      <c r="D8" s="96"/>
      <c r="E8" s="112"/>
      <c r="F8" s="96"/>
      <c r="G8" s="97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6"/>
      <c r="Y8" s="139">
        <f t="shared" si="0"/>
        <v>-40</v>
      </c>
      <c r="Z8" s="66"/>
      <c r="AA8" s="66"/>
      <c r="AB8" s="66"/>
      <c r="AC8" s="66"/>
      <c r="AD8" s="66"/>
    </row>
    <row r="9" spans="1:30" ht="14.25" customHeight="1" x14ac:dyDescent="0.35">
      <c r="A9" s="208"/>
      <c r="B9" s="203">
        <f>Neu!B7</f>
        <v>0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6"/>
      <c r="Y9" s="139">
        <f t="shared" si="0"/>
        <v>-50</v>
      </c>
      <c r="Z9" s="66"/>
      <c r="AA9" s="66"/>
      <c r="AB9" s="66"/>
      <c r="AC9" s="66"/>
      <c r="AD9" s="66"/>
    </row>
    <row r="10" spans="1:30" ht="14.25" customHeight="1" x14ac:dyDescent="0.35">
      <c r="A10" s="208"/>
      <c r="B10" s="204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6"/>
      <c r="Y10" s="139">
        <f t="shared" si="0"/>
        <v>-60</v>
      </c>
      <c r="Z10" s="66"/>
      <c r="AA10" s="66"/>
      <c r="AB10" s="66"/>
      <c r="AC10" s="66"/>
      <c r="AD10" s="66"/>
    </row>
    <row r="11" spans="1:30" ht="14.25" customHeight="1" x14ac:dyDescent="0.35">
      <c r="A11" s="208"/>
      <c r="B11" s="203">
        <f>Neu!B8</f>
        <v>0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6"/>
      <c r="Y11" s="139">
        <f t="shared" si="0"/>
        <v>-70</v>
      </c>
      <c r="Z11" s="66"/>
      <c r="AA11" s="66"/>
      <c r="AB11" s="66"/>
      <c r="AC11" s="66"/>
      <c r="AD11" s="66"/>
    </row>
    <row r="12" spans="1:30" ht="14.25" customHeight="1" x14ac:dyDescent="0.35">
      <c r="A12" s="208"/>
      <c r="B12" s="204"/>
      <c r="C12" s="130"/>
      <c r="D12" s="111"/>
      <c r="E12" s="111"/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6"/>
      <c r="Y12" s="139">
        <f t="shared" si="0"/>
        <v>-80</v>
      </c>
      <c r="Z12" s="66"/>
      <c r="AA12" s="66"/>
      <c r="AB12" s="66"/>
      <c r="AC12" s="66"/>
      <c r="AD12" s="66"/>
    </row>
    <row r="13" spans="1:30" ht="14.25" customHeight="1" x14ac:dyDescent="0.35">
      <c r="A13" s="208"/>
      <c r="B13" s="203">
        <f>Neu!B9</f>
        <v>0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6"/>
      <c r="Y13" s="139">
        <f t="shared" si="0"/>
        <v>-90</v>
      </c>
      <c r="Z13" s="66"/>
      <c r="AA13" s="66"/>
      <c r="AB13" s="66"/>
      <c r="AC13" s="66"/>
      <c r="AD13" s="66"/>
    </row>
    <row r="14" spans="1:30" ht="14.25" customHeight="1" x14ac:dyDescent="0.35">
      <c r="A14" s="208"/>
      <c r="B14" s="204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6"/>
      <c r="Y14" s="139">
        <f t="shared" si="0"/>
        <v>-100</v>
      </c>
      <c r="Z14" s="66"/>
      <c r="AA14" s="66"/>
      <c r="AB14" s="66"/>
      <c r="AC14" s="66"/>
      <c r="AD14" s="66"/>
    </row>
    <row r="15" spans="1:30" ht="14.25" customHeight="1" x14ac:dyDescent="0.35">
      <c r="A15" s="208"/>
      <c r="B15" s="203">
        <f>Neu!B10</f>
        <v>0</v>
      </c>
      <c r="C15" s="106"/>
      <c r="D15" s="110"/>
      <c r="E15" s="110"/>
      <c r="F15" s="110"/>
      <c r="G15" s="103"/>
      <c r="H15" s="110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6"/>
      <c r="Y15" s="139">
        <f t="shared" si="0"/>
        <v>-110</v>
      </c>
      <c r="Z15" s="66"/>
      <c r="AA15" s="66"/>
      <c r="AB15" s="66"/>
      <c r="AC15" s="66"/>
      <c r="AD15" s="66"/>
    </row>
    <row r="16" spans="1:30" ht="14.25" customHeight="1" x14ac:dyDescent="0.35">
      <c r="A16" s="208"/>
      <c r="B16" s="204"/>
      <c r="C16" s="129"/>
      <c r="D16" s="96"/>
      <c r="E16" s="96"/>
      <c r="F16" s="96"/>
      <c r="G16" s="97"/>
      <c r="H16" s="96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6"/>
      <c r="Y16" s="139">
        <f t="shared" si="0"/>
        <v>-120</v>
      </c>
      <c r="Z16" s="66"/>
      <c r="AA16" s="66"/>
      <c r="AB16" s="66"/>
      <c r="AC16" s="66"/>
      <c r="AD16" s="66"/>
    </row>
    <row r="17" spans="1:30" ht="14.25" customHeight="1" x14ac:dyDescent="0.35">
      <c r="A17" s="208"/>
      <c r="B17" s="203">
        <f>Neu!B11</f>
        <v>0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6"/>
      <c r="Y17" s="139">
        <f t="shared" si="0"/>
        <v>-130</v>
      </c>
      <c r="Z17" s="66"/>
      <c r="AA17" s="66"/>
      <c r="AB17" s="66"/>
      <c r="AC17" s="66"/>
      <c r="AD17" s="66"/>
    </row>
    <row r="18" spans="1:30" ht="14.25" customHeight="1" x14ac:dyDescent="0.35">
      <c r="A18" s="208"/>
      <c r="B18" s="204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6"/>
      <c r="Y18" s="139">
        <f t="shared" si="0"/>
        <v>-140</v>
      </c>
      <c r="Z18" s="66"/>
      <c r="AA18" s="66"/>
      <c r="AB18" s="66"/>
      <c r="AC18" s="66"/>
      <c r="AD18" s="66"/>
    </row>
    <row r="19" spans="1:30" ht="14.25" customHeight="1" x14ac:dyDescent="0.35">
      <c r="A19" s="208"/>
      <c r="B19" s="203">
        <f>Neu!B12</f>
        <v>0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6"/>
      <c r="Y19" s="139">
        <f t="shared" si="0"/>
        <v>-150</v>
      </c>
      <c r="Z19" s="66"/>
      <c r="AA19" s="66"/>
      <c r="AB19" s="66"/>
      <c r="AC19" s="66"/>
      <c r="AD19" s="66"/>
    </row>
    <row r="20" spans="1:30" ht="14.25" customHeight="1" x14ac:dyDescent="0.35">
      <c r="A20" s="208"/>
      <c r="B20" s="204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6"/>
      <c r="Y20" s="139">
        <f t="shared" si="0"/>
        <v>-160</v>
      </c>
      <c r="Z20" s="66"/>
      <c r="AA20" s="66"/>
      <c r="AB20" s="66"/>
      <c r="AC20" s="66"/>
      <c r="AD20" s="66"/>
    </row>
    <row r="21" spans="1:30" ht="14.25" customHeight="1" x14ac:dyDescent="0.35">
      <c r="A21" s="208"/>
      <c r="B21" s="203">
        <f>Neu!B13</f>
        <v>0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6"/>
      <c r="Y21" s="139">
        <f t="shared" si="0"/>
        <v>-170</v>
      </c>
      <c r="Z21" s="66"/>
      <c r="AA21" s="66"/>
      <c r="AB21" s="66"/>
      <c r="AC21" s="66"/>
      <c r="AD21" s="66"/>
    </row>
    <row r="22" spans="1:30" ht="14.25" customHeight="1" x14ac:dyDescent="0.35">
      <c r="A22" s="208"/>
      <c r="B22" s="204"/>
      <c r="C22" s="129"/>
      <c r="D22" s="96"/>
      <c r="E22" s="96"/>
      <c r="F22" s="96"/>
      <c r="G22" s="97"/>
      <c r="H22" s="96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6"/>
      <c r="Y22" s="139">
        <f t="shared" si="0"/>
        <v>-180</v>
      </c>
      <c r="Z22" s="66"/>
      <c r="AA22" s="66"/>
      <c r="AB22" s="66"/>
      <c r="AC22" s="66"/>
      <c r="AD22" s="66"/>
    </row>
    <row r="23" spans="1:30" ht="14.25" customHeight="1" x14ac:dyDescent="0.35">
      <c r="A23" s="208"/>
      <c r="B23" s="203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6"/>
      <c r="Y23" s="139">
        <f t="shared" si="0"/>
        <v>-190</v>
      </c>
      <c r="Z23" s="66"/>
      <c r="AA23" s="66"/>
      <c r="AB23" s="66"/>
      <c r="AC23" s="66"/>
      <c r="AD23" s="66"/>
    </row>
    <row r="24" spans="1:30" ht="14.25" customHeight="1" x14ac:dyDescent="0.35">
      <c r="A24" s="208"/>
      <c r="B24" s="204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6"/>
      <c r="Y24" s="139">
        <f t="shared" si="0"/>
        <v>-200</v>
      </c>
      <c r="Z24" s="66"/>
      <c r="AA24" s="66"/>
      <c r="AB24" s="66"/>
      <c r="AC24" s="66"/>
      <c r="AD24" s="66"/>
    </row>
    <row r="25" spans="1:30" ht="14.25" customHeight="1" x14ac:dyDescent="0.35">
      <c r="A25" s="208"/>
      <c r="B25" s="203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6"/>
      <c r="Y25" s="139">
        <f t="shared" si="0"/>
        <v>-210</v>
      </c>
      <c r="Z25" s="66"/>
      <c r="AA25" s="66"/>
      <c r="AB25" s="66"/>
      <c r="AC25" s="66"/>
      <c r="AD25" s="66"/>
    </row>
    <row r="26" spans="1:30" ht="14.25" customHeight="1" x14ac:dyDescent="0.35">
      <c r="A26" s="208"/>
      <c r="B26" s="204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6"/>
      <c r="Y26" s="139">
        <f t="shared" si="0"/>
        <v>-220</v>
      </c>
      <c r="Z26" s="66"/>
      <c r="AA26" s="66"/>
      <c r="AB26" s="66"/>
      <c r="AC26" s="66"/>
      <c r="AD26" s="66"/>
    </row>
    <row r="27" spans="1:30" ht="14.25" customHeight="1" x14ac:dyDescent="0.35">
      <c r="A27" s="208"/>
      <c r="B27" s="203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6"/>
      <c r="Y27" s="139">
        <f t="shared" si="0"/>
        <v>-230</v>
      </c>
      <c r="Z27" s="66"/>
      <c r="AA27" s="66"/>
      <c r="AB27" s="66"/>
      <c r="AC27" s="66"/>
      <c r="AD27" s="66"/>
    </row>
    <row r="28" spans="1:30" ht="14.25" customHeight="1" x14ac:dyDescent="0.35">
      <c r="A28" s="208"/>
      <c r="B28" s="204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6"/>
      <c r="Y28" s="139">
        <f t="shared" si="0"/>
        <v>-240</v>
      </c>
      <c r="Z28" s="66"/>
      <c r="AA28" s="66"/>
      <c r="AB28" s="66"/>
      <c r="AC28" s="66"/>
      <c r="AD28" s="66"/>
    </row>
    <row r="29" spans="1:30" ht="14.25" customHeight="1" x14ac:dyDescent="0.35">
      <c r="A29" s="208"/>
      <c r="B29" s="203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6"/>
      <c r="Y29" s="139">
        <f t="shared" si="0"/>
        <v>-250</v>
      </c>
      <c r="Z29" s="66"/>
      <c r="AA29" s="66"/>
      <c r="AB29" s="66"/>
      <c r="AC29" s="66"/>
      <c r="AD29" s="66"/>
    </row>
    <row r="30" spans="1:30" ht="14.25" customHeight="1" x14ac:dyDescent="0.35">
      <c r="A30" s="208"/>
      <c r="B30" s="204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6"/>
      <c r="Y30" s="139">
        <f t="shared" si="0"/>
        <v>-260</v>
      </c>
      <c r="Z30" s="66"/>
      <c r="AA30" s="66"/>
      <c r="AB30" s="66"/>
      <c r="AC30" s="66"/>
      <c r="AD30" s="66"/>
    </row>
    <row r="31" spans="1:30" ht="14.25" customHeight="1" x14ac:dyDescent="0.35">
      <c r="A31" s="208"/>
      <c r="B31" s="203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6"/>
      <c r="Y31" s="139">
        <f t="shared" si="0"/>
        <v>-270</v>
      </c>
      <c r="Z31" s="66"/>
      <c r="AA31" s="66"/>
      <c r="AB31" s="66"/>
      <c r="AC31" s="66"/>
      <c r="AD31" s="66"/>
    </row>
    <row r="32" spans="1:30" ht="14.25" customHeight="1" x14ac:dyDescent="0.35">
      <c r="A32" s="208"/>
      <c r="B32" s="204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6"/>
      <c r="Y32" s="139">
        <f t="shared" si="0"/>
        <v>-280</v>
      </c>
      <c r="Z32" s="66"/>
      <c r="AA32" s="66"/>
      <c r="AB32" s="66"/>
      <c r="AC32" s="66"/>
      <c r="AD32" s="66"/>
    </row>
    <row r="33" spans="1:30" ht="14.25" customHeight="1" x14ac:dyDescent="0.35">
      <c r="A33" s="208"/>
      <c r="B33" s="203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6"/>
      <c r="Y33" s="66"/>
      <c r="Z33" s="66"/>
      <c r="AA33" s="66"/>
      <c r="AB33" s="66"/>
      <c r="AC33" s="66"/>
      <c r="AD33" s="66"/>
    </row>
    <row r="34" spans="1:30" ht="14.25" customHeight="1" x14ac:dyDescent="0.35">
      <c r="A34" s="208"/>
      <c r="B34" s="204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6"/>
      <c r="Y34" s="66"/>
      <c r="Z34" s="66"/>
      <c r="AA34" s="66"/>
      <c r="AB34" s="66"/>
      <c r="AC34" s="66"/>
      <c r="AD34" s="66"/>
    </row>
    <row r="35" spans="1:30" ht="14.25" customHeight="1" x14ac:dyDescent="0.35">
      <c r="A35" s="208"/>
      <c r="B35" s="203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6"/>
      <c r="Y35" s="66"/>
      <c r="Z35" s="66"/>
      <c r="AA35" s="66"/>
      <c r="AB35" s="66"/>
      <c r="AC35" s="66"/>
      <c r="AD35" s="66"/>
    </row>
    <row r="36" spans="1:30" ht="14.25" customHeight="1" x14ac:dyDescent="0.35">
      <c r="A36" s="208"/>
      <c r="B36" s="204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6"/>
      <c r="Y36" s="66"/>
      <c r="Z36" s="66"/>
      <c r="AA36" s="66"/>
      <c r="AB36" s="66"/>
      <c r="AC36" s="66"/>
      <c r="AD36" s="66"/>
    </row>
    <row r="37" spans="1:30" ht="14.25" customHeight="1" x14ac:dyDescent="0.35">
      <c r="A37" s="208"/>
      <c r="B37" s="203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6"/>
      <c r="Y37" s="66"/>
      <c r="Z37" s="66"/>
      <c r="AA37" s="66"/>
      <c r="AB37" s="66"/>
      <c r="AC37" s="66"/>
      <c r="AD37" s="66"/>
    </row>
    <row r="38" spans="1:30" ht="14.25" customHeight="1" x14ac:dyDescent="0.35">
      <c r="A38" s="208"/>
      <c r="B38" s="204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6"/>
      <c r="Y38" s="66"/>
      <c r="Z38" s="66"/>
      <c r="AA38" s="66"/>
      <c r="AB38" s="66"/>
      <c r="AC38" s="66"/>
      <c r="AD38" s="66"/>
    </row>
    <row r="39" spans="1:30" ht="14.25" customHeight="1" x14ac:dyDescent="0.35">
      <c r="A39" s="208"/>
      <c r="B39" s="203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6"/>
      <c r="Y39" s="66"/>
      <c r="Z39" s="66"/>
      <c r="AA39" s="66"/>
      <c r="AB39" s="66"/>
      <c r="AC39" s="66"/>
      <c r="AD39" s="66"/>
    </row>
    <row r="40" spans="1:30" ht="14.25" customHeight="1" x14ac:dyDescent="0.35">
      <c r="A40" s="208"/>
      <c r="B40" s="204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6"/>
      <c r="Y40" s="66"/>
      <c r="Z40" s="66"/>
      <c r="AA40" s="66"/>
      <c r="AB40" s="66"/>
      <c r="AC40" s="66"/>
      <c r="AD40" s="66"/>
    </row>
    <row r="41" spans="1:30" ht="14.25" customHeight="1" x14ac:dyDescent="0.35">
      <c r="A41" s="208"/>
      <c r="B41" s="203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6"/>
      <c r="Y41" s="66"/>
      <c r="Z41" s="66"/>
      <c r="AA41" s="66"/>
      <c r="AB41" s="66"/>
      <c r="AC41" s="66"/>
      <c r="AD41" s="66"/>
    </row>
    <row r="42" spans="1:30" ht="14.25" customHeight="1" x14ac:dyDescent="0.35">
      <c r="A42" s="208"/>
      <c r="B42" s="204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6"/>
      <c r="Y42" s="66"/>
      <c r="Z42" s="66"/>
      <c r="AA42" s="66"/>
      <c r="AB42" s="66"/>
      <c r="AC42" s="66"/>
      <c r="AD42" s="66"/>
    </row>
    <row r="43" spans="1:30" ht="14.25" customHeight="1" x14ac:dyDescent="0.35">
      <c r="A43" s="208"/>
      <c r="B43" s="203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6"/>
      <c r="Y43" s="66"/>
      <c r="Z43" s="66"/>
      <c r="AA43" s="66"/>
      <c r="AB43" s="66"/>
      <c r="AC43" s="66"/>
      <c r="AD43" s="66"/>
    </row>
    <row r="44" spans="1:30" ht="14.25" customHeight="1" thickBot="1" x14ac:dyDescent="0.4">
      <c r="A44" s="107"/>
      <c r="B44" s="205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6"/>
      <c r="Y44" s="66"/>
      <c r="Z44" s="66"/>
      <c r="AA44" s="66"/>
      <c r="AB44" s="66"/>
      <c r="AC44" s="66"/>
      <c r="AD44" s="66"/>
    </row>
    <row r="45" spans="1:30" x14ac:dyDescent="0.35"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spans="1:30" x14ac:dyDescent="0.35"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spans="1:30" x14ac:dyDescent="0.35"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spans="1:30" x14ac:dyDescent="0.35"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spans="3:30" x14ac:dyDescent="0.35"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spans="3:30" x14ac:dyDescent="0.35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spans="3:30" x14ac:dyDescent="0.35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spans="3:30" x14ac:dyDescent="0.35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spans="3:30" x14ac:dyDescent="0.35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spans="3:30" x14ac:dyDescent="0.35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spans="3:30" x14ac:dyDescent="0.35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spans="3:30" x14ac:dyDescent="0.35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spans="3:30" x14ac:dyDescent="0.35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spans="3:30" x14ac:dyDescent="0.35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spans="3:30" x14ac:dyDescent="0.35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spans="3:30" x14ac:dyDescent="0.35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spans="3:30" x14ac:dyDescent="0.35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spans="3:30" x14ac:dyDescent="0.35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spans="3:30" x14ac:dyDescent="0.35"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spans="3:30" x14ac:dyDescent="0.35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spans="3:30" x14ac:dyDescent="0.35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spans="3:30" x14ac:dyDescent="0.35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spans="3:30" x14ac:dyDescent="0.35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spans="3:30" x14ac:dyDescent="0.35"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spans="3:30" x14ac:dyDescent="0.35"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spans="3:30" x14ac:dyDescent="0.35"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spans="3:30" x14ac:dyDescent="0.35"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spans="3:30" x14ac:dyDescent="0.35"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spans="3:30" x14ac:dyDescent="0.35"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spans="3:30" x14ac:dyDescent="0.35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spans="3:30" x14ac:dyDescent="0.35"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spans="3:30" x14ac:dyDescent="0.35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8" priority="12" operator="equal">
      <formula>0</formula>
    </cfRule>
  </conditionalFormatting>
  <conditionalFormatting sqref="C2:W2">
    <cfRule type="cellIs" dxfId="7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6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29"/>
  <sheetViews>
    <sheetView zoomScale="70" zoomScaleNormal="70" workbookViewId="0">
      <selection activeCell="Z18" sqref="Z1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9" customWidth="1"/>
    <col min="36" max="36" width="7.453125" style="69" customWidth="1"/>
    <col min="37" max="16384" width="9.1796875" style="1"/>
  </cols>
  <sheetData>
    <row r="1" spans="1:38" ht="15" thickBot="1" x14ac:dyDescent="0.4">
      <c r="A1" s="207"/>
      <c r="B1" s="207"/>
      <c r="C1" s="207" t="s">
        <v>4</v>
      </c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AA1" s="210" t="s">
        <v>149</v>
      </c>
      <c r="AB1" s="211"/>
      <c r="AC1" s="68" t="s">
        <v>147</v>
      </c>
      <c r="AD1" s="4"/>
      <c r="AE1" s="209" t="s">
        <v>174</v>
      </c>
      <c r="AF1" s="209"/>
      <c r="AG1" s="209"/>
      <c r="AH1" s="209"/>
      <c r="AI1" s="209" t="s">
        <v>148</v>
      </c>
      <c r="AJ1" s="209"/>
    </row>
    <row r="2" spans="1:38" ht="15" thickBot="1" x14ac:dyDescent="0.4">
      <c r="A2" s="207"/>
      <c r="B2" s="207"/>
      <c r="C2" s="128" t="str">
        <f>Neu!$B4</f>
        <v>B51s</v>
      </c>
      <c r="D2" s="99" t="str">
        <f>Neu!$B5</f>
        <v>B64s</v>
      </c>
      <c r="E2" s="99" t="str">
        <f>Neu!$B6</f>
        <v>B8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65" t="s">
        <v>150</v>
      </c>
    </row>
    <row r="3" spans="1:38" ht="14.25" customHeight="1" x14ac:dyDescent="0.35">
      <c r="A3" s="208" t="s">
        <v>5</v>
      </c>
      <c r="B3" s="206" t="str">
        <f>Neu!B4</f>
        <v>B51s</v>
      </c>
      <c r="C3" s="113"/>
      <c r="D3" s="114"/>
      <c r="E3" s="114"/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7" t="s">
        <v>175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25"/>
      <c r="AB3" s="26"/>
      <c r="AC3" s="25"/>
      <c r="AD3" s="27"/>
      <c r="AE3" s="28"/>
      <c r="AF3" s="29"/>
      <c r="AG3" s="29"/>
      <c r="AH3" s="27"/>
      <c r="AK3" s="67"/>
    </row>
    <row r="4" spans="1:38" ht="14.25" customHeight="1" x14ac:dyDescent="0.35">
      <c r="A4" s="208"/>
      <c r="B4" s="204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7" t="s">
        <v>176</v>
      </c>
      <c r="Y4" s="1">
        <f t="shared" ref="Y4:Y43" si="1">COUNTIF($C$3:$W$44,ROW(Z4)-2)</f>
        <v>0</v>
      </c>
      <c r="Z4" s="1" t="str">
        <f t="shared" si="0"/>
        <v/>
      </c>
      <c r="AK4" s="67"/>
    </row>
    <row r="5" spans="1:38" ht="14.25" customHeight="1" x14ac:dyDescent="0.35">
      <c r="A5" s="208"/>
      <c r="B5" s="203" t="str">
        <f>Neu!B5</f>
        <v>B64s</v>
      </c>
      <c r="C5" s="119"/>
      <c r="D5" s="108"/>
      <c r="E5" s="110"/>
      <c r="F5" s="103"/>
      <c r="G5" s="110"/>
      <c r="H5" s="110"/>
      <c r="I5" s="110"/>
      <c r="J5" s="110"/>
      <c r="K5" s="103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208"/>
      <c r="B6" s="204"/>
      <c r="C6" s="121"/>
      <c r="D6" s="112"/>
      <c r="E6" s="96"/>
      <c r="F6" s="97"/>
      <c r="G6" s="96"/>
      <c r="H6" s="96"/>
      <c r="I6" s="96"/>
      <c r="J6" s="96"/>
      <c r="K6" s="97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208"/>
      <c r="B7" s="203" t="str">
        <f>Neu!B6</f>
        <v>B8</v>
      </c>
      <c r="C7" s="119"/>
      <c r="D7" s="110"/>
      <c r="E7" s="108"/>
      <c r="F7" s="103"/>
      <c r="G7" s="110"/>
      <c r="H7" s="110"/>
      <c r="I7" s="110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208"/>
      <c r="B8" s="204"/>
      <c r="C8" s="121"/>
      <c r="D8" s="96"/>
      <c r="E8" s="112"/>
      <c r="F8" s="97"/>
      <c r="G8" s="96"/>
      <c r="H8" s="96"/>
      <c r="I8" s="96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208"/>
      <c r="B9" s="203">
        <f>Neu!B7</f>
        <v>0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7" t="s">
        <v>172</v>
      </c>
    </row>
    <row r="10" spans="1:38" ht="14.25" customHeight="1" x14ac:dyDescent="0.35">
      <c r="A10" s="208"/>
      <c r="B10" s="204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7"/>
    </row>
    <row r="11" spans="1:38" ht="14.25" customHeight="1" x14ac:dyDescent="0.35">
      <c r="A11" s="208"/>
      <c r="B11" s="203">
        <f>Neu!B8</f>
        <v>0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208"/>
      <c r="B12" s="204"/>
      <c r="C12" s="121"/>
      <c r="D12" s="96"/>
      <c r="E12" s="96"/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208"/>
      <c r="B13" s="203">
        <f>Neu!B9</f>
        <v>0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177</v>
      </c>
    </row>
    <row r="14" spans="1:38" ht="14.25" customHeight="1" x14ac:dyDescent="0.35">
      <c r="A14" s="208"/>
      <c r="B14" s="204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208"/>
      <c r="B15" s="203">
        <f>Neu!B10</f>
        <v>0</v>
      </c>
      <c r="C15" s="119"/>
      <c r="D15" s="110"/>
      <c r="E15" s="110"/>
      <c r="F15" s="103"/>
      <c r="G15" s="110"/>
      <c r="H15" s="110"/>
      <c r="I15" s="108"/>
      <c r="J15" s="110"/>
      <c r="K15" s="103"/>
      <c r="L15" s="110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208"/>
      <c r="B16" s="204"/>
      <c r="C16" s="122"/>
      <c r="D16" s="111"/>
      <c r="E16" s="111"/>
      <c r="F16" s="102"/>
      <c r="G16" s="111"/>
      <c r="H16" s="111"/>
      <c r="I16" s="109"/>
      <c r="J16" s="111"/>
      <c r="K16" s="102"/>
      <c r="L16" s="111"/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208"/>
      <c r="B17" s="203">
        <f>Neu!B11</f>
        <v>0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208"/>
      <c r="B18" s="204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208"/>
      <c r="B19" s="203">
        <f>Neu!B12</f>
        <v>0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208"/>
      <c r="B20" s="204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208"/>
      <c r="B21" s="203">
        <f>Neu!B13</f>
        <v>0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208"/>
      <c r="B22" s="204"/>
      <c r="C22" s="121"/>
      <c r="D22" s="96"/>
      <c r="E22" s="96"/>
      <c r="F22" s="97"/>
      <c r="G22" s="96"/>
      <c r="H22" s="96"/>
      <c r="I22" s="96"/>
      <c r="J22" s="96"/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208"/>
      <c r="B23" s="203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208"/>
      <c r="B24" s="204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208"/>
      <c r="B25" s="203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208"/>
      <c r="B26" s="204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208"/>
      <c r="B27" s="203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208"/>
      <c r="B28" s="204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208"/>
      <c r="B29" s="203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208"/>
      <c r="B30" s="204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208"/>
      <c r="B31" s="203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208"/>
      <c r="B32" s="204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208"/>
      <c r="B33" s="203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208"/>
      <c r="B34" s="204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208"/>
      <c r="B35" s="203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208"/>
      <c r="B36" s="204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208"/>
      <c r="B37" s="203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208"/>
      <c r="B38" s="204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208"/>
      <c r="B39" s="203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208"/>
      <c r="B40" s="204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208"/>
      <c r="B41" s="203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208"/>
      <c r="B42" s="204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208"/>
      <c r="B43" s="203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205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173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C1:W1"/>
    <mergeCell ref="B3:B4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5" priority="7" operator="equal">
      <formula>0</formula>
    </cfRule>
  </conditionalFormatting>
  <conditionalFormatting sqref="C2:W2">
    <cfRule type="cellIs" dxfId="4" priority="8" operator="equal">
      <formula>0</formula>
    </cfRule>
  </conditionalFormatting>
  <conditionalFormatting sqref="C3:W44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1:Y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1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3"/>
  <sheetViews>
    <sheetView zoomScale="90" zoomScaleNormal="90" workbookViewId="0">
      <selection activeCell="G10" sqref="G10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12"/>
      <c r="B1" s="212"/>
      <c r="C1" s="212" t="s">
        <v>4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</row>
    <row r="2" spans="1:23" ht="15" thickBot="1" x14ac:dyDescent="0.4">
      <c r="A2" s="212"/>
      <c r="B2" s="212"/>
      <c r="C2" s="134" t="str">
        <f>Neu!B4</f>
        <v>B51s</v>
      </c>
      <c r="D2" s="135" t="str">
        <f>Neu!B5</f>
        <v>B64s</v>
      </c>
      <c r="E2" s="135" t="str">
        <f>Neu!B6</f>
        <v>B8</v>
      </c>
      <c r="F2" s="135">
        <f>Neu!B7</f>
        <v>0</v>
      </c>
      <c r="G2" s="135">
        <f>Neu!B8</f>
        <v>0</v>
      </c>
      <c r="H2" s="135">
        <f>Neu!B9</f>
        <v>0</v>
      </c>
      <c r="I2" s="135">
        <f>Neu!B10</f>
        <v>0</v>
      </c>
      <c r="J2" s="135">
        <f>Neu!B11</f>
        <v>0</v>
      </c>
      <c r="K2" s="135">
        <f>Neu!B12</f>
        <v>0</v>
      </c>
      <c r="L2" s="135">
        <f>Neu!B13</f>
        <v>0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213" t="s">
        <v>5</v>
      </c>
      <c r="B3" s="2" t="str">
        <f>Neu!B4</f>
        <v>B51s</v>
      </c>
      <c r="C3" s="77"/>
      <c r="D3" s="78">
        <f>C4</f>
        <v>0</v>
      </c>
      <c r="E3" s="78">
        <f>C5</f>
        <v>0</v>
      </c>
      <c r="F3" s="78">
        <f>C6</f>
        <v>0</v>
      </c>
      <c r="G3" s="7">
        <f>C7</f>
        <v>0</v>
      </c>
      <c r="H3" s="78">
        <f>C8</f>
        <v>0</v>
      </c>
      <c r="I3" s="78">
        <f>C9</f>
        <v>0</v>
      </c>
      <c r="J3" s="78">
        <f>C10</f>
        <v>0</v>
      </c>
      <c r="K3" s="78">
        <f>C11</f>
        <v>0</v>
      </c>
      <c r="L3" s="78">
        <f>C12</f>
        <v>0</v>
      </c>
      <c r="M3" s="7">
        <f>C13</f>
        <v>0</v>
      </c>
      <c r="N3" s="78">
        <f>C14</f>
        <v>0</v>
      </c>
      <c r="O3" s="78">
        <f>C14</f>
        <v>0</v>
      </c>
      <c r="P3" s="7">
        <f>C16</f>
        <v>0</v>
      </c>
      <c r="Q3" s="79">
        <f>C17</f>
        <v>0</v>
      </c>
      <c r="R3" s="79">
        <f>C18</f>
        <v>0</v>
      </c>
      <c r="S3" s="79">
        <f>C19</f>
        <v>0</v>
      </c>
      <c r="T3" s="79">
        <f>C20</f>
        <v>0</v>
      </c>
      <c r="U3" s="79">
        <f>C21</f>
        <v>0</v>
      </c>
      <c r="V3" s="79">
        <f>C22</f>
        <v>0</v>
      </c>
      <c r="W3" s="80">
        <f>C23</f>
        <v>0</v>
      </c>
    </row>
    <row r="4" spans="1:23" ht="29.15" customHeight="1" x14ac:dyDescent="0.35">
      <c r="A4" s="213"/>
      <c r="B4" s="3" t="str">
        <f>Neu!B5</f>
        <v>B64s</v>
      </c>
      <c r="C4" s="81"/>
      <c r="D4" s="73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4">
        <f>D17</f>
        <v>0</v>
      </c>
      <c r="R4" s="74">
        <f>D18</f>
        <v>0</v>
      </c>
      <c r="S4" s="72">
        <f>D19</f>
        <v>0</v>
      </c>
      <c r="T4" s="72">
        <f>D20</f>
        <v>0</v>
      </c>
      <c r="U4" s="72">
        <f>D21</f>
        <v>0</v>
      </c>
      <c r="V4" s="72">
        <f>D22</f>
        <v>0</v>
      </c>
      <c r="W4" s="6">
        <f>D23</f>
        <v>0</v>
      </c>
    </row>
    <row r="5" spans="1:23" ht="29.15" customHeight="1" x14ac:dyDescent="0.35">
      <c r="A5" s="213"/>
      <c r="B5" s="3" t="str">
        <f>Neu!B6</f>
        <v>B8</v>
      </c>
      <c r="C5" s="81"/>
      <c r="D5" s="7"/>
      <c r="E5" s="73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4">
        <f>E17</f>
        <v>0</v>
      </c>
      <c r="R5" s="74">
        <f>E18</f>
        <v>0</v>
      </c>
      <c r="S5" s="72">
        <f>E19</f>
        <v>0</v>
      </c>
      <c r="T5" s="72">
        <f>E20</f>
        <v>0</v>
      </c>
      <c r="U5" s="72">
        <f>E21</f>
        <v>0</v>
      </c>
      <c r="V5" s="72">
        <f>E22</f>
        <v>0</v>
      </c>
      <c r="W5" s="6">
        <f>E23</f>
        <v>0</v>
      </c>
    </row>
    <row r="6" spans="1:23" ht="29.15" customHeight="1" x14ac:dyDescent="0.35">
      <c r="A6" s="213"/>
      <c r="B6" s="3">
        <f>Neu!B7</f>
        <v>0</v>
      </c>
      <c r="C6" s="81"/>
      <c r="D6" s="7"/>
      <c r="E6" s="7"/>
      <c r="F6" s="73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4">
        <f>F17</f>
        <v>0</v>
      </c>
      <c r="R6" s="74">
        <f>F18</f>
        <v>0</v>
      </c>
      <c r="S6" s="72">
        <f>F19</f>
        <v>0</v>
      </c>
      <c r="T6" s="72">
        <f>F20</f>
        <v>0</v>
      </c>
      <c r="U6" s="72">
        <f>F21</f>
        <v>0</v>
      </c>
      <c r="V6" s="72">
        <f>F22</f>
        <v>0</v>
      </c>
      <c r="W6" s="6">
        <f>F23</f>
        <v>0</v>
      </c>
    </row>
    <row r="7" spans="1:23" ht="29.15" customHeight="1" x14ac:dyDescent="0.35">
      <c r="A7" s="213"/>
      <c r="B7" s="3">
        <f>Neu!B8</f>
        <v>0</v>
      </c>
      <c r="C7" s="81"/>
      <c r="D7" s="7"/>
      <c r="E7" s="7"/>
      <c r="F7" s="7"/>
      <c r="G7" s="73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4">
        <f>G17</f>
        <v>0</v>
      </c>
      <c r="R7" s="74">
        <f>G18</f>
        <v>0</v>
      </c>
      <c r="S7" s="72">
        <f>G19</f>
        <v>0</v>
      </c>
      <c r="T7" s="72">
        <f>G20</f>
        <v>0</v>
      </c>
      <c r="U7" s="72">
        <f>G21</f>
        <v>0</v>
      </c>
      <c r="V7" s="72">
        <f>G22</f>
        <v>0</v>
      </c>
      <c r="W7" s="6">
        <f>G23</f>
        <v>0</v>
      </c>
    </row>
    <row r="8" spans="1:23" ht="29.15" customHeight="1" x14ac:dyDescent="0.35">
      <c r="A8" s="213"/>
      <c r="B8" s="3">
        <f>Neu!B9</f>
        <v>0</v>
      </c>
      <c r="C8" s="81"/>
      <c r="D8" s="7"/>
      <c r="E8" s="7"/>
      <c r="F8" s="7"/>
      <c r="G8" s="7"/>
      <c r="H8" s="73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4">
        <f>H17</f>
        <v>0</v>
      </c>
      <c r="R8" s="74">
        <f>H18</f>
        <v>0</v>
      </c>
      <c r="S8" s="72">
        <f>H19</f>
        <v>0</v>
      </c>
      <c r="T8" s="72">
        <f>H20</f>
        <v>0</v>
      </c>
      <c r="U8" s="72">
        <f>H21</f>
        <v>0</v>
      </c>
      <c r="V8" s="72">
        <f>H22</f>
        <v>0</v>
      </c>
      <c r="W8" s="6">
        <f>H23</f>
        <v>0</v>
      </c>
    </row>
    <row r="9" spans="1:23" ht="29.15" customHeight="1" x14ac:dyDescent="0.35">
      <c r="A9" s="213"/>
      <c r="B9" s="3">
        <f>Neu!B10</f>
        <v>0</v>
      </c>
      <c r="C9" s="81"/>
      <c r="D9" s="7"/>
      <c r="E9" s="7"/>
      <c r="F9" s="7"/>
      <c r="G9" s="7"/>
      <c r="H9" s="7"/>
      <c r="I9" s="73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4">
        <f>I17</f>
        <v>0</v>
      </c>
      <c r="R9" s="74">
        <f>I18</f>
        <v>0</v>
      </c>
      <c r="S9" s="72">
        <f>I19</f>
        <v>0</v>
      </c>
      <c r="T9" s="72">
        <f>I20</f>
        <v>0</v>
      </c>
      <c r="U9" s="72">
        <f>I21</f>
        <v>0</v>
      </c>
      <c r="V9" s="72">
        <f>I22</f>
        <v>0</v>
      </c>
      <c r="W9" s="6">
        <f>I23</f>
        <v>0</v>
      </c>
    </row>
    <row r="10" spans="1:23" ht="29.15" customHeight="1" x14ac:dyDescent="0.35">
      <c r="A10" s="213"/>
      <c r="B10" s="3">
        <f>Neu!B11</f>
        <v>0</v>
      </c>
      <c r="C10" s="81"/>
      <c r="D10" s="7"/>
      <c r="E10" s="7"/>
      <c r="F10" s="7"/>
      <c r="G10" s="7"/>
      <c r="H10" s="7"/>
      <c r="I10" s="7"/>
      <c r="J10" s="73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4">
        <f>J17</f>
        <v>0</v>
      </c>
      <c r="R10" s="74">
        <f>J18</f>
        <v>0</v>
      </c>
      <c r="S10" s="72">
        <f>J19</f>
        <v>0</v>
      </c>
      <c r="T10" s="72">
        <f>J20</f>
        <v>0</v>
      </c>
      <c r="U10" s="72">
        <f>J21</f>
        <v>0</v>
      </c>
      <c r="V10" s="72">
        <f>J22</f>
        <v>0</v>
      </c>
      <c r="W10" s="6">
        <f>J23</f>
        <v>0</v>
      </c>
    </row>
    <row r="11" spans="1:23" ht="29.15" customHeight="1" x14ac:dyDescent="0.35">
      <c r="A11" s="213"/>
      <c r="B11" s="3">
        <f>Neu!B12</f>
        <v>0</v>
      </c>
      <c r="C11" s="81"/>
      <c r="D11" s="7"/>
      <c r="E11" s="7"/>
      <c r="F11" s="7"/>
      <c r="G11" s="7"/>
      <c r="H11" s="7"/>
      <c r="I11" s="7"/>
      <c r="J11" s="7"/>
      <c r="K11" s="73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4">
        <f>K17</f>
        <v>0</v>
      </c>
      <c r="R11" s="74">
        <f>K18</f>
        <v>0</v>
      </c>
      <c r="S11" s="72">
        <f>K19</f>
        <v>0</v>
      </c>
      <c r="T11" s="72">
        <f>K20</f>
        <v>0</v>
      </c>
      <c r="U11" s="72">
        <f>K21</f>
        <v>0</v>
      </c>
      <c r="V11" s="72">
        <f>K22</f>
        <v>0</v>
      </c>
      <c r="W11" s="6">
        <f>K23</f>
        <v>0</v>
      </c>
    </row>
    <row r="12" spans="1:23" ht="29.15" customHeight="1" x14ac:dyDescent="0.35">
      <c r="A12" s="213"/>
      <c r="B12" s="3">
        <f>Neu!B13</f>
        <v>0</v>
      </c>
      <c r="C12" s="81"/>
      <c r="D12" s="7"/>
      <c r="E12" s="7"/>
      <c r="F12" s="7"/>
      <c r="G12" s="7"/>
      <c r="H12" s="7"/>
      <c r="I12" s="7"/>
      <c r="J12" s="7"/>
      <c r="K12" s="7"/>
      <c r="L12" s="73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4">
        <f>L17</f>
        <v>0</v>
      </c>
      <c r="R12" s="74">
        <f>L18</f>
        <v>0</v>
      </c>
      <c r="S12" s="72">
        <f>L19</f>
        <v>0</v>
      </c>
      <c r="T12" s="72">
        <f>L20</f>
        <v>0</v>
      </c>
      <c r="U12" s="72">
        <f>L21</f>
        <v>0</v>
      </c>
      <c r="V12" s="72">
        <f>L22</f>
        <v>0</v>
      </c>
      <c r="W12" s="6">
        <f>L23</f>
        <v>0</v>
      </c>
    </row>
    <row r="13" spans="1:23" ht="29.15" customHeight="1" x14ac:dyDescent="0.35">
      <c r="A13" s="213"/>
      <c r="B13" s="3">
        <f>Neu!B14</f>
        <v>0</v>
      </c>
      <c r="C13" s="81"/>
      <c r="D13" s="7"/>
      <c r="E13" s="7"/>
      <c r="F13" s="7"/>
      <c r="G13" s="7"/>
      <c r="H13" s="7"/>
      <c r="I13" s="7"/>
      <c r="J13" s="7"/>
      <c r="K13" s="7"/>
      <c r="L13" s="7"/>
      <c r="M13" s="73"/>
      <c r="N13" s="7">
        <f>M14</f>
        <v>0</v>
      </c>
      <c r="O13" s="7">
        <f>M15</f>
        <v>0</v>
      </c>
      <c r="P13" s="7">
        <f>M16</f>
        <v>0</v>
      </c>
      <c r="Q13" s="74">
        <f>M17</f>
        <v>0</v>
      </c>
      <c r="R13" s="74">
        <f>M18</f>
        <v>0</v>
      </c>
      <c r="S13" s="72">
        <f>M19</f>
        <v>0</v>
      </c>
      <c r="T13" s="72">
        <f>M20</f>
        <v>0</v>
      </c>
      <c r="U13" s="72">
        <f>M21</f>
        <v>0</v>
      </c>
      <c r="V13" s="72">
        <f>M22</f>
        <v>0</v>
      </c>
      <c r="W13" s="6">
        <f>M23</f>
        <v>0</v>
      </c>
    </row>
    <row r="14" spans="1:23" ht="29.15" customHeight="1" x14ac:dyDescent="0.35">
      <c r="A14" s="213"/>
      <c r="B14" s="3">
        <f>Neu!B15</f>
        <v>0</v>
      </c>
      <c r="C14" s="81"/>
      <c r="D14" s="7"/>
      <c r="E14" s="7"/>
      <c r="F14" s="7"/>
      <c r="G14" s="7"/>
      <c r="H14" s="7"/>
      <c r="I14" s="7"/>
      <c r="J14" s="7"/>
      <c r="K14" s="7"/>
      <c r="L14" s="7"/>
      <c r="M14" s="7"/>
      <c r="N14" s="73"/>
      <c r="O14" s="7">
        <f>N15</f>
        <v>0</v>
      </c>
      <c r="P14" s="7">
        <f>N16</f>
        <v>0</v>
      </c>
      <c r="Q14" s="74">
        <f>N17</f>
        <v>0</v>
      </c>
      <c r="R14" s="74">
        <f>N18</f>
        <v>0</v>
      </c>
      <c r="S14" s="72">
        <f>N19</f>
        <v>0</v>
      </c>
      <c r="T14" s="72">
        <f>N20</f>
        <v>0</v>
      </c>
      <c r="U14" s="72">
        <f>N21</f>
        <v>0</v>
      </c>
      <c r="V14" s="72">
        <f>N22</f>
        <v>0</v>
      </c>
      <c r="W14" s="6">
        <f>N23</f>
        <v>0</v>
      </c>
    </row>
    <row r="15" spans="1:23" ht="29.15" customHeight="1" x14ac:dyDescent="0.35">
      <c r="A15" s="213"/>
      <c r="B15" s="3">
        <f>Neu!B16</f>
        <v>0</v>
      </c>
      <c r="C15" s="8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3"/>
      <c r="P15" s="7">
        <f>O16</f>
        <v>0</v>
      </c>
      <c r="Q15" s="74">
        <f>O17</f>
        <v>0</v>
      </c>
      <c r="R15" s="74">
        <f>O18</f>
        <v>0</v>
      </c>
      <c r="S15" s="72">
        <f>O19</f>
        <v>0</v>
      </c>
      <c r="T15" s="72">
        <f>O20</f>
        <v>0</v>
      </c>
      <c r="U15" s="72">
        <f>O21</f>
        <v>0</v>
      </c>
      <c r="V15" s="72">
        <f>O22</f>
        <v>0</v>
      </c>
      <c r="W15" s="6">
        <f>O23</f>
        <v>0</v>
      </c>
    </row>
    <row r="16" spans="1:23" ht="29.15" customHeight="1" x14ac:dyDescent="0.35">
      <c r="A16" s="213"/>
      <c r="B16" s="3">
        <f>Neu!B17</f>
        <v>0</v>
      </c>
      <c r="C16" s="8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3"/>
      <c r="Q16" s="74">
        <f>P17</f>
        <v>0</v>
      </c>
      <c r="R16" s="74">
        <f>P18</f>
        <v>0</v>
      </c>
      <c r="S16" s="72">
        <f>P19</f>
        <v>0</v>
      </c>
      <c r="T16" s="72">
        <f>P20</f>
        <v>0</v>
      </c>
      <c r="U16" s="72">
        <f>P21</f>
        <v>0</v>
      </c>
      <c r="V16" s="72">
        <f>P22</f>
        <v>0</v>
      </c>
      <c r="W16" s="6">
        <f>P23</f>
        <v>0</v>
      </c>
    </row>
    <row r="17" spans="1:23" ht="29.15" customHeight="1" x14ac:dyDescent="0.35">
      <c r="A17" s="213"/>
      <c r="B17" s="3">
        <f>Neu!B18</f>
        <v>0</v>
      </c>
      <c r="C17" s="82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6"/>
      <c r="R17" s="74">
        <f>Q18</f>
        <v>0</v>
      </c>
      <c r="S17" s="72">
        <f>Q19</f>
        <v>0</v>
      </c>
      <c r="T17" s="72">
        <f>Q20</f>
        <v>0</v>
      </c>
      <c r="U17" s="72">
        <f>Q21</f>
        <v>0</v>
      </c>
      <c r="V17" s="72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3"/>
      <c r="S18" s="72">
        <f>R19</f>
        <v>0</v>
      </c>
      <c r="T18" s="72">
        <f>R20</f>
        <v>0</v>
      </c>
      <c r="U18" s="72">
        <f>R21</f>
        <v>0</v>
      </c>
      <c r="V18" s="72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1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3"/>
      <c r="T19" s="72">
        <f>S20</f>
        <v>0</v>
      </c>
      <c r="U19" s="72">
        <f>S21</f>
        <v>0</v>
      </c>
      <c r="V19" s="72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3"/>
      <c r="U20" s="72">
        <f>T21</f>
        <v>0</v>
      </c>
      <c r="V20" s="72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3"/>
      <c r="V21" s="72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3"/>
      <c r="W22" s="6">
        <f>V23</f>
        <v>0</v>
      </c>
    </row>
    <row r="23" spans="1:23" ht="29.15" customHeight="1" thickBot="1" x14ac:dyDescent="0.4">
      <c r="B23" s="5">
        <f>Neu!B24</f>
        <v>0</v>
      </c>
      <c r="C23" s="8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4"/>
    </row>
  </sheetData>
  <mergeCells count="3">
    <mergeCell ref="A1:B2"/>
    <mergeCell ref="C1:Q1"/>
    <mergeCell ref="A3:A17"/>
  </mergeCells>
  <conditionalFormatting sqref="B3:B23">
    <cfRule type="cellIs" dxfId="3" priority="11" operator="equal">
      <formula>0</formula>
    </cfRule>
  </conditionalFormatting>
  <conditionalFormatting sqref="C2:W2">
    <cfRule type="cellIs" dxfId="2" priority="12" operator="equal">
      <formula>0</formula>
    </cfRule>
  </conditionalFormatting>
  <conditionalFormatting sqref="C3:W23">
    <cfRule type="colorScale" priority="10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1" priority="1" operator="equal">
      <formula>0</formula>
    </cfRule>
    <cfRule type="cellIs" dxfId="0" priority="9" operator="equal">
      <formula>0</formula>
    </cfRule>
  </conditionalFormatting>
  <conditionalFormatting sqref="E4:W4 F5:W5 G6:W6 H7:W7 I8:W8 J9:W9 K10:W10 L11:W11 M12:W12 N13:W13 O14:W14 P15:W15 Q16:W16 R17:W17 S18:W18 T19:W19 U20:W20 V21:W21 W22 D3:W3">
    <cfRule type="colorScale" priority="8">
      <colorScale>
        <cfvo type="min"/>
        <cfvo type="max"/>
        <color theme="4" tint="0.79998168889431442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selection activeCell="B3" sqref="B3"/>
    </sheetView>
  </sheetViews>
  <sheetFormatPr defaultColWidth="9.1796875" defaultRowHeight="14.5" x14ac:dyDescent="0.35"/>
  <cols>
    <col min="1" max="1" width="35.453125" style="21" customWidth="1"/>
    <col min="2" max="2" width="10.81640625" style="22" customWidth="1"/>
    <col min="3" max="3" width="9.1796875" style="22"/>
    <col min="4" max="4" width="17.1796875" style="22" customWidth="1"/>
    <col min="5" max="16384" width="9.1796875" style="22"/>
  </cols>
  <sheetData>
    <row r="1" spans="1:4" x14ac:dyDescent="0.35">
      <c r="A1" s="23"/>
      <c r="B1" s="24" t="s">
        <v>15</v>
      </c>
      <c r="C1" s="24" t="s">
        <v>16</v>
      </c>
      <c r="D1" s="24" t="s">
        <v>17</v>
      </c>
    </row>
    <row r="2" spans="1:4" x14ac:dyDescent="0.35">
      <c r="A2" s="23" t="s">
        <v>18</v>
      </c>
      <c r="B2" s="30">
        <v>0</v>
      </c>
      <c r="C2" s="30">
        <v>50</v>
      </c>
      <c r="D2" s="30">
        <v>10</v>
      </c>
    </row>
    <row r="3" spans="1:4" x14ac:dyDescent="0.35">
      <c r="A3" s="23" t="s">
        <v>20</v>
      </c>
      <c r="B3" s="30">
        <f>B2</f>
        <v>0</v>
      </c>
      <c r="C3" s="30">
        <v>200</v>
      </c>
      <c r="D3" s="30">
        <v>10</v>
      </c>
    </row>
    <row r="4" spans="1:4" x14ac:dyDescent="0.35">
      <c r="A4" s="23" t="s">
        <v>19</v>
      </c>
      <c r="B4" s="30">
        <f>B2</f>
        <v>0</v>
      </c>
      <c r="C4" s="30">
        <v>200</v>
      </c>
      <c r="D4" s="30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Neu</vt:lpstr>
      <vt:lpstr>rockon.smu</vt:lpstr>
      <vt:lpstr>rockon2.smu</vt:lpstr>
      <vt:lpstr>threshold.smu</vt:lpstr>
      <vt:lpstr>Kca.smu</vt:lpstr>
      <vt:lpstr>KTEA.smu</vt:lpstr>
      <vt:lpstr>K.smu</vt:lpstr>
      <vt:lpstr>KA.smu</vt:lpstr>
      <vt:lpstr>CaR2.smu</vt:lpstr>
      <vt:lpstr>CaR1.smu</vt:lpstr>
      <vt:lpstr>CaL.smu</vt:lpstr>
      <vt:lpstr>textv.smu</vt:lpstr>
      <vt:lpstr>Napp.smu</vt:lpstr>
      <vt:lpstr>IR.smu</vt:lpstr>
      <vt:lpstr>HCN.smu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2025-01-24T14:43:02Z</dcterms:modified>
</cp:coreProperties>
</file>